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ezazaha\Downloads\"/>
    </mc:Choice>
  </mc:AlternateContent>
  <xr:revisionPtr revIDLastSave="0" documentId="13_ncr:1_{410C59D8-CA30-4A70-8B72-882344AEA999}" xr6:coauthVersionLast="47" xr6:coauthVersionMax="47" xr10:uidLastSave="{00000000-0000-0000-0000-000000000000}"/>
  <bookViews>
    <workbookView xWindow="-110" yWindow="-110" windowWidth="19420" windowHeight="11500" activeTab="1" xr2:uid="{00000000-000D-0000-FFFF-FFFF00000000}"/>
  </bookViews>
  <sheets>
    <sheet name="Current" sheetId="1" r:id="rId1"/>
    <sheet name="30Days-Baseline" sheetId="2" r:id="rId2"/>
    <sheet name="Reviewed" sheetId="3" r:id="rId3"/>
  </sheets>
  <definedNames>
    <definedName name="_xlnm._FilterDatabase" localSheetId="1" hidden="1">'30Days-Baseline'!$A$1:$D$1141</definedName>
    <definedName name="_xlnm._FilterDatabase" localSheetId="0" hidden="1">Current!$A$1:$F$273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80" i="2" l="1"/>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D2414" i="2" l="1"/>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D1456" i="2" l="1"/>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D4" i="2"/>
  <c r="D17" i="2"/>
  <c r="D338" i="2"/>
  <c r="D345" i="2"/>
  <c r="D371" i="2"/>
  <c r="D448" i="2"/>
  <c r="D506" i="2"/>
  <c r="D606" i="2"/>
  <c r="D607" i="2"/>
  <c r="D608" i="2"/>
  <c r="D629" i="2"/>
  <c r="D630" i="2"/>
  <c r="D692" i="2"/>
  <c r="D693" i="2"/>
  <c r="D694" i="2"/>
  <c r="D695" i="2"/>
  <c r="D696" i="2"/>
  <c r="D733" i="2"/>
  <c r="D734" i="2"/>
  <c r="D735" i="2"/>
  <c r="D736" i="2"/>
  <c r="D846" i="2"/>
  <c r="D847" i="2"/>
  <c r="D848" i="2"/>
  <c r="D849" i="2"/>
  <c r="D850" i="2"/>
  <c r="D851" i="2"/>
  <c r="D852" i="2"/>
  <c r="D853" i="2"/>
  <c r="D854" i="2"/>
  <c r="D960" i="2"/>
  <c r="D961" i="2"/>
  <c r="D962" i="2"/>
  <c r="D963" i="2"/>
  <c r="D964" i="2"/>
  <c r="D965" i="2"/>
  <c r="D966" i="2"/>
  <c r="D967" i="2"/>
  <c r="D968" i="2"/>
  <c r="D969"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453" i="2"/>
  <c r="D1454" i="2"/>
  <c r="D1455" i="2"/>
  <c r="C4" i="2"/>
  <c r="C17" i="2"/>
  <c r="C338" i="2"/>
  <c r="C345" i="2"/>
  <c r="C371" i="2"/>
  <c r="C448" i="2"/>
  <c r="C506" i="2"/>
  <c r="C606" i="2"/>
  <c r="C607" i="2"/>
  <c r="C608" i="2"/>
  <c r="C629" i="2"/>
  <c r="C630" i="2"/>
  <c r="C692" i="2"/>
  <c r="C693" i="2"/>
  <c r="C694" i="2"/>
  <c r="C695" i="2"/>
  <c r="C696" i="2"/>
  <c r="C733" i="2"/>
  <c r="C734" i="2"/>
  <c r="C735" i="2"/>
  <c r="C736" i="2"/>
  <c r="C846" i="2"/>
  <c r="C847" i="2"/>
  <c r="C848" i="2"/>
  <c r="C849" i="2"/>
  <c r="C850" i="2"/>
  <c r="C851" i="2"/>
  <c r="C852" i="2"/>
  <c r="C853" i="2"/>
  <c r="C854" i="2"/>
  <c r="C960" i="2"/>
  <c r="C961" i="2"/>
  <c r="C962" i="2"/>
  <c r="C963" i="2"/>
  <c r="C964" i="2"/>
  <c r="C965" i="2"/>
  <c r="C966" i="2"/>
  <c r="C967" i="2"/>
  <c r="C968" i="2"/>
  <c r="C969"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453" i="2"/>
  <c r="C1454" i="2"/>
  <c r="C1455" i="2"/>
  <c r="D3" i="2"/>
  <c r="D7" i="2"/>
  <c r="D25" i="2"/>
  <c r="D72" i="2"/>
  <c r="D92" i="2"/>
  <c r="D103" i="2"/>
  <c r="D214" i="2"/>
  <c r="D222" i="2"/>
  <c r="D257" i="2"/>
  <c r="D279" i="2"/>
  <c r="D282" i="2"/>
  <c r="D337" i="2"/>
  <c r="D363" i="2"/>
  <c r="D404" i="2"/>
  <c r="D418" i="2"/>
  <c r="D419" i="2"/>
  <c r="D425" i="2"/>
  <c r="D426" i="2"/>
  <c r="D443" i="2"/>
  <c r="D444" i="2"/>
  <c r="D445" i="2"/>
  <c r="D446" i="2"/>
  <c r="D447" i="2"/>
  <c r="D457" i="2"/>
  <c r="D469" i="2"/>
  <c r="D483" i="2"/>
  <c r="D503" i="2"/>
  <c r="D504" i="2"/>
  <c r="D505" i="2"/>
  <c r="D520" i="2"/>
  <c r="D543" i="2"/>
  <c r="D544" i="2"/>
  <c r="D545" i="2"/>
  <c r="D570" i="2"/>
  <c r="D571" i="2"/>
  <c r="D572" i="2"/>
  <c r="D573" i="2"/>
  <c r="D574" i="2"/>
  <c r="D601" i="2"/>
  <c r="D602" i="2"/>
  <c r="D603" i="2"/>
  <c r="D604" i="2"/>
  <c r="D605" i="2"/>
  <c r="D621" i="2"/>
  <c r="D622" i="2"/>
  <c r="D623" i="2"/>
  <c r="D624" i="2"/>
  <c r="D625" i="2"/>
  <c r="D626" i="2"/>
  <c r="D627" i="2"/>
  <c r="D628" i="2"/>
  <c r="D673" i="2"/>
  <c r="D674" i="2"/>
  <c r="D675" i="2"/>
  <c r="D676" i="2"/>
  <c r="D677" i="2"/>
  <c r="D678" i="2"/>
  <c r="D679" i="2"/>
  <c r="D680" i="2"/>
  <c r="D681" i="2"/>
  <c r="D682" i="2"/>
  <c r="D683" i="2"/>
  <c r="D684" i="2"/>
  <c r="D685" i="2"/>
  <c r="D686" i="2"/>
  <c r="D687" i="2"/>
  <c r="D688" i="2"/>
  <c r="D689" i="2"/>
  <c r="D690" i="2"/>
  <c r="D691" i="2"/>
  <c r="D723" i="2"/>
  <c r="D724" i="2"/>
  <c r="D725" i="2"/>
  <c r="D726" i="2"/>
  <c r="D727" i="2"/>
  <c r="D728" i="2"/>
  <c r="D729" i="2"/>
  <c r="D730" i="2"/>
  <c r="D731" i="2"/>
  <c r="D732"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448" i="2"/>
  <c r="D1449" i="2"/>
  <c r="D1450" i="2"/>
  <c r="D1451" i="2"/>
  <c r="D1452" i="2"/>
  <c r="C3" i="2"/>
  <c r="C7" i="2"/>
  <c r="C25" i="2"/>
  <c r="C72" i="2"/>
  <c r="C92" i="2"/>
  <c r="C103" i="2"/>
  <c r="C214" i="2"/>
  <c r="C222" i="2"/>
  <c r="C257" i="2"/>
  <c r="C279" i="2"/>
  <c r="C282" i="2"/>
  <c r="C337" i="2"/>
  <c r="C363" i="2"/>
  <c r="C404" i="2"/>
  <c r="C418" i="2"/>
  <c r="C419" i="2"/>
  <c r="C425" i="2"/>
  <c r="C426" i="2"/>
  <c r="C443" i="2"/>
  <c r="C444" i="2"/>
  <c r="C445" i="2"/>
  <c r="C446" i="2"/>
  <c r="C447" i="2"/>
  <c r="C457" i="2"/>
  <c r="C469" i="2"/>
  <c r="C483" i="2"/>
  <c r="C503" i="2"/>
  <c r="C504" i="2"/>
  <c r="C505" i="2"/>
  <c r="C520" i="2"/>
  <c r="C543" i="2"/>
  <c r="C544" i="2"/>
  <c r="C545" i="2"/>
  <c r="C570" i="2"/>
  <c r="C571" i="2"/>
  <c r="C572" i="2"/>
  <c r="C573" i="2"/>
  <c r="C574" i="2"/>
  <c r="C601" i="2"/>
  <c r="C602" i="2"/>
  <c r="C603" i="2"/>
  <c r="C604" i="2"/>
  <c r="C605" i="2"/>
  <c r="C621" i="2"/>
  <c r="C622" i="2"/>
  <c r="C623" i="2"/>
  <c r="C624" i="2"/>
  <c r="C625" i="2"/>
  <c r="C626" i="2"/>
  <c r="C627" i="2"/>
  <c r="C628" i="2"/>
  <c r="C673" i="2"/>
  <c r="C674" i="2"/>
  <c r="C675" i="2"/>
  <c r="C676" i="2"/>
  <c r="C677" i="2"/>
  <c r="C678" i="2"/>
  <c r="C679" i="2"/>
  <c r="C680" i="2"/>
  <c r="C681" i="2"/>
  <c r="C682" i="2"/>
  <c r="C683" i="2"/>
  <c r="C684" i="2"/>
  <c r="C685" i="2"/>
  <c r="C686" i="2"/>
  <c r="C687" i="2"/>
  <c r="C688" i="2"/>
  <c r="C689" i="2"/>
  <c r="C690" i="2"/>
  <c r="C691" i="2"/>
  <c r="C723" i="2"/>
  <c r="C724" i="2"/>
  <c r="C725" i="2"/>
  <c r="C726" i="2"/>
  <c r="C727" i="2"/>
  <c r="C728" i="2"/>
  <c r="C729" i="2"/>
  <c r="C730" i="2"/>
  <c r="C731" i="2"/>
  <c r="C732"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448" i="2"/>
  <c r="C1449" i="2"/>
  <c r="C1450" i="2"/>
  <c r="C1451" i="2"/>
  <c r="C1452" i="2"/>
  <c r="D1422" i="2" l="1"/>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2" i="2"/>
  <c r="C5" i="2"/>
  <c r="C6" i="2"/>
  <c r="C8" i="2"/>
  <c r="C9" i="2"/>
  <c r="C10" i="2"/>
  <c r="C11" i="2"/>
  <c r="C12" i="2"/>
  <c r="C13" i="2"/>
  <c r="C14" i="2"/>
  <c r="C15" i="2"/>
  <c r="C16" i="2"/>
  <c r="C18" i="2"/>
  <c r="C19" i="2"/>
  <c r="C20" i="2"/>
  <c r="C21" i="2"/>
  <c r="C22" i="2"/>
  <c r="C23" i="2"/>
  <c r="C24"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3" i="2"/>
  <c r="C74" i="2"/>
  <c r="C75" i="2"/>
  <c r="C76" i="2"/>
  <c r="C77" i="2"/>
  <c r="C78" i="2"/>
  <c r="C79" i="2"/>
  <c r="C80" i="2"/>
  <c r="C81" i="2"/>
  <c r="C82" i="2"/>
  <c r="C83" i="2"/>
  <c r="C84" i="2"/>
  <c r="C85" i="2"/>
  <c r="C86" i="2"/>
  <c r="C87" i="2"/>
  <c r="C88" i="2"/>
  <c r="C89" i="2"/>
  <c r="C90" i="2"/>
  <c r="C91" i="2"/>
  <c r="C93" i="2"/>
  <c r="C94" i="2"/>
  <c r="C95" i="2"/>
  <c r="C96" i="2"/>
  <c r="C97" i="2"/>
  <c r="C98" i="2"/>
  <c r="C99" i="2"/>
  <c r="C100" i="2"/>
  <c r="C101" i="2"/>
  <c r="C102"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5" i="2"/>
  <c r="C216" i="2"/>
  <c r="C217" i="2"/>
  <c r="C218" i="2"/>
  <c r="C219" i="2"/>
  <c r="C220" i="2"/>
  <c r="C221"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8" i="2"/>
  <c r="C259" i="2"/>
  <c r="C260" i="2"/>
  <c r="C261" i="2"/>
  <c r="C262" i="2"/>
  <c r="C263" i="2"/>
  <c r="C264" i="2"/>
  <c r="C265" i="2"/>
  <c r="C266" i="2"/>
  <c r="C267" i="2"/>
  <c r="C268" i="2"/>
  <c r="C269" i="2"/>
  <c r="C270" i="2"/>
  <c r="C271" i="2"/>
  <c r="C272" i="2"/>
  <c r="C273" i="2"/>
  <c r="C274" i="2"/>
  <c r="C275" i="2"/>
  <c r="C276" i="2"/>
  <c r="C277" i="2"/>
  <c r="C278" i="2"/>
  <c r="C280" i="2"/>
  <c r="C281"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9" i="2"/>
  <c r="C340" i="2"/>
  <c r="C341" i="2"/>
  <c r="C342" i="2"/>
  <c r="C343" i="2"/>
  <c r="C344" i="2"/>
  <c r="C346" i="2"/>
  <c r="C347" i="2"/>
  <c r="C348" i="2"/>
  <c r="C349" i="2"/>
  <c r="C350" i="2"/>
  <c r="C351" i="2"/>
  <c r="C352" i="2"/>
  <c r="C353" i="2"/>
  <c r="C354" i="2"/>
  <c r="C355" i="2"/>
  <c r="C356" i="2"/>
  <c r="C357" i="2"/>
  <c r="C358" i="2"/>
  <c r="C359" i="2"/>
  <c r="C360" i="2"/>
  <c r="C361" i="2"/>
  <c r="C362" i="2"/>
  <c r="C364" i="2"/>
  <c r="C365" i="2"/>
  <c r="C366" i="2"/>
  <c r="C367" i="2"/>
  <c r="C368" i="2"/>
  <c r="C369" i="2"/>
  <c r="C370"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5" i="2"/>
  <c r="C406" i="2"/>
  <c r="C407" i="2"/>
  <c r="C408" i="2"/>
  <c r="C409" i="2"/>
  <c r="C410" i="2"/>
  <c r="C411" i="2"/>
  <c r="C412" i="2"/>
  <c r="C413" i="2"/>
  <c r="C414" i="2"/>
  <c r="C415" i="2"/>
  <c r="C416" i="2"/>
  <c r="C417" i="2"/>
  <c r="C420" i="2"/>
  <c r="C421" i="2"/>
  <c r="C422" i="2"/>
  <c r="C423" i="2"/>
  <c r="C424" i="2"/>
  <c r="C427" i="2"/>
  <c r="C428" i="2"/>
  <c r="C429" i="2"/>
  <c r="C430" i="2"/>
  <c r="C431" i="2"/>
  <c r="C432" i="2"/>
  <c r="C433" i="2"/>
  <c r="C434" i="2"/>
  <c r="C435" i="2"/>
  <c r="C436" i="2"/>
  <c r="C437" i="2"/>
  <c r="C438" i="2"/>
  <c r="C439" i="2"/>
  <c r="C440" i="2"/>
  <c r="C441" i="2"/>
  <c r="C442" i="2"/>
  <c r="C449" i="2"/>
  <c r="C450" i="2"/>
  <c r="C451" i="2"/>
  <c r="C452" i="2"/>
  <c r="C453" i="2"/>
  <c r="C454" i="2"/>
  <c r="C455" i="2"/>
  <c r="C456" i="2"/>
  <c r="C458" i="2"/>
  <c r="C459" i="2"/>
  <c r="C460" i="2"/>
  <c r="C461" i="2"/>
  <c r="C462" i="2"/>
  <c r="C463" i="2"/>
  <c r="C464" i="2"/>
  <c r="C465" i="2"/>
  <c r="C466" i="2"/>
  <c r="C467" i="2"/>
  <c r="C468" i="2"/>
  <c r="C470" i="2"/>
  <c r="C471" i="2"/>
  <c r="C472" i="2"/>
  <c r="C473" i="2"/>
  <c r="C474" i="2"/>
  <c r="C475" i="2"/>
  <c r="C476" i="2"/>
  <c r="C477" i="2"/>
  <c r="C478" i="2"/>
  <c r="C479" i="2"/>
  <c r="C480" i="2"/>
  <c r="C481" i="2"/>
  <c r="C482" i="2"/>
  <c r="C484" i="2"/>
  <c r="C485" i="2"/>
  <c r="C486" i="2"/>
  <c r="C487" i="2"/>
  <c r="C488" i="2"/>
  <c r="C489" i="2"/>
  <c r="C490" i="2"/>
  <c r="C491" i="2"/>
  <c r="C492" i="2"/>
  <c r="C493" i="2"/>
  <c r="C494" i="2"/>
  <c r="C495" i="2"/>
  <c r="C496" i="2"/>
  <c r="C497" i="2"/>
  <c r="C498" i="2"/>
  <c r="C499" i="2"/>
  <c r="C500" i="2"/>
  <c r="C501" i="2"/>
  <c r="C502" i="2"/>
  <c r="C507" i="2"/>
  <c r="C508" i="2"/>
  <c r="C509" i="2"/>
  <c r="C510" i="2"/>
  <c r="C511" i="2"/>
  <c r="C512" i="2"/>
  <c r="C513" i="2"/>
  <c r="C514" i="2"/>
  <c r="C515" i="2"/>
  <c r="C516" i="2"/>
  <c r="C517" i="2"/>
  <c r="C518" i="2"/>
  <c r="C519" i="2"/>
  <c r="C521" i="2"/>
  <c r="C522" i="2"/>
  <c r="C523" i="2"/>
  <c r="C524" i="2"/>
  <c r="C525" i="2"/>
  <c r="C526" i="2"/>
  <c r="C527" i="2"/>
  <c r="C528" i="2"/>
  <c r="C529" i="2"/>
  <c r="C530" i="2"/>
  <c r="C531" i="2"/>
  <c r="C532" i="2"/>
  <c r="C533" i="2"/>
  <c r="C534" i="2"/>
  <c r="C535" i="2"/>
  <c r="C536" i="2"/>
  <c r="C537" i="2"/>
  <c r="C538" i="2"/>
  <c r="C539" i="2"/>
  <c r="C540" i="2"/>
  <c r="C541" i="2"/>
  <c r="C542" i="2"/>
  <c r="C546" i="2"/>
  <c r="C547" i="2"/>
  <c r="C548" i="2"/>
  <c r="C549" i="2"/>
  <c r="C550" i="2"/>
  <c r="C551" i="2"/>
  <c r="C552" i="2"/>
  <c r="C553" i="2"/>
  <c r="C554" i="2"/>
  <c r="C555" i="2"/>
  <c r="C556" i="2"/>
  <c r="C557" i="2"/>
  <c r="C558" i="2"/>
  <c r="C559" i="2"/>
  <c r="C560" i="2"/>
  <c r="C561" i="2"/>
  <c r="C562" i="2"/>
  <c r="C563" i="2"/>
  <c r="C564" i="2"/>
  <c r="C565" i="2"/>
  <c r="C566" i="2"/>
  <c r="C567" i="2"/>
  <c r="C568" i="2"/>
  <c r="C569"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9" i="2"/>
  <c r="C610" i="2"/>
  <c r="C611" i="2"/>
  <c r="C612" i="2"/>
  <c r="C613" i="2"/>
  <c r="C614" i="2"/>
  <c r="C615" i="2"/>
  <c r="C616" i="2"/>
  <c r="C617" i="2"/>
  <c r="C618" i="2"/>
  <c r="C619" i="2"/>
  <c r="C62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D5" i="2"/>
  <c r="D6" i="2"/>
  <c r="D8" i="2"/>
  <c r="D9" i="2"/>
  <c r="D10" i="2"/>
  <c r="D11" i="2"/>
  <c r="D12" i="2"/>
  <c r="D13" i="2"/>
  <c r="D14" i="2"/>
  <c r="D15" i="2"/>
  <c r="D16" i="2"/>
  <c r="D18" i="2"/>
  <c r="D19" i="2"/>
  <c r="D20" i="2"/>
  <c r="D21" i="2"/>
  <c r="D22" i="2"/>
  <c r="D23" i="2"/>
  <c r="D24"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3" i="2"/>
  <c r="D74" i="2"/>
  <c r="D75" i="2"/>
  <c r="D76" i="2"/>
  <c r="D77" i="2"/>
  <c r="D78" i="2"/>
  <c r="D79" i="2"/>
  <c r="D80" i="2"/>
  <c r="D81" i="2"/>
  <c r="D82" i="2"/>
  <c r="D83" i="2"/>
  <c r="D84" i="2"/>
  <c r="D85" i="2"/>
  <c r="D86" i="2"/>
  <c r="D87" i="2"/>
  <c r="D88" i="2"/>
  <c r="D89" i="2"/>
  <c r="D90" i="2"/>
  <c r="D91" i="2"/>
  <c r="D93" i="2"/>
  <c r="D94" i="2"/>
  <c r="D95" i="2"/>
  <c r="D96" i="2"/>
  <c r="D97" i="2"/>
  <c r="D98" i="2"/>
  <c r="D99" i="2"/>
  <c r="D100" i="2"/>
  <c r="D101" i="2"/>
  <c r="D102"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5" i="2"/>
  <c r="D216" i="2"/>
  <c r="D217" i="2"/>
  <c r="D218" i="2"/>
  <c r="D219" i="2"/>
  <c r="D220" i="2"/>
  <c r="D221"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8" i="2"/>
  <c r="D259" i="2"/>
  <c r="D260" i="2"/>
  <c r="D261" i="2"/>
  <c r="D262" i="2"/>
  <c r="D263" i="2"/>
  <c r="D264" i="2"/>
  <c r="D265" i="2"/>
  <c r="D266" i="2"/>
  <c r="D267" i="2"/>
  <c r="D268" i="2"/>
  <c r="D269" i="2"/>
  <c r="D270" i="2"/>
  <c r="D271" i="2"/>
  <c r="D272" i="2"/>
  <c r="D273" i="2"/>
  <c r="D274" i="2"/>
  <c r="D275" i="2"/>
  <c r="D276" i="2"/>
  <c r="D277" i="2"/>
  <c r="D278" i="2"/>
  <c r="D280" i="2"/>
  <c r="D281"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9" i="2"/>
  <c r="D340" i="2"/>
  <c r="D341" i="2"/>
  <c r="D342" i="2"/>
  <c r="D343" i="2"/>
  <c r="D344" i="2"/>
  <c r="D346" i="2"/>
  <c r="D347" i="2"/>
  <c r="D348" i="2"/>
  <c r="D349" i="2"/>
  <c r="D350" i="2"/>
  <c r="D351" i="2"/>
  <c r="D352" i="2"/>
  <c r="D353" i="2"/>
  <c r="D354" i="2"/>
  <c r="D355" i="2"/>
  <c r="D356" i="2"/>
  <c r="D357" i="2"/>
  <c r="D358" i="2"/>
  <c r="D359" i="2"/>
  <c r="D360" i="2"/>
  <c r="D361" i="2"/>
  <c r="D362" i="2"/>
  <c r="D364" i="2"/>
  <c r="D365" i="2"/>
  <c r="D366" i="2"/>
  <c r="D367" i="2"/>
  <c r="D368" i="2"/>
  <c r="D369" i="2"/>
  <c r="D370"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5" i="2"/>
  <c r="D406" i="2"/>
  <c r="D407" i="2"/>
  <c r="D408" i="2"/>
  <c r="D409" i="2"/>
  <c r="D410" i="2"/>
  <c r="D411" i="2"/>
  <c r="D412" i="2"/>
  <c r="D413" i="2"/>
  <c r="D414" i="2"/>
  <c r="D415" i="2"/>
  <c r="D416" i="2"/>
  <c r="D417" i="2"/>
  <c r="D420" i="2"/>
  <c r="D421" i="2"/>
  <c r="D422" i="2"/>
  <c r="D423" i="2"/>
  <c r="D424" i="2"/>
  <c r="D427" i="2"/>
  <c r="D428" i="2"/>
  <c r="D429" i="2"/>
  <c r="D430" i="2"/>
  <c r="D431" i="2"/>
  <c r="D432" i="2"/>
  <c r="D433" i="2"/>
  <c r="D434" i="2"/>
  <c r="D435" i="2"/>
  <c r="D436" i="2"/>
  <c r="D437" i="2"/>
  <c r="D438" i="2"/>
  <c r="D439" i="2"/>
  <c r="D440" i="2"/>
  <c r="D441" i="2"/>
  <c r="D442" i="2"/>
  <c r="D449" i="2"/>
  <c r="D450" i="2"/>
  <c r="D451" i="2"/>
  <c r="D452" i="2"/>
  <c r="D453" i="2"/>
  <c r="D454" i="2"/>
  <c r="D455" i="2"/>
  <c r="D456" i="2"/>
  <c r="D458" i="2"/>
  <c r="D459" i="2"/>
  <c r="D460" i="2"/>
  <c r="D461" i="2"/>
  <c r="D462" i="2"/>
  <c r="D463" i="2"/>
  <c r="D464" i="2"/>
  <c r="D465" i="2"/>
  <c r="D466" i="2"/>
  <c r="D467" i="2"/>
  <c r="D468" i="2"/>
  <c r="D470" i="2"/>
  <c r="D471" i="2"/>
  <c r="D472" i="2"/>
  <c r="D473" i="2"/>
  <c r="D474" i="2"/>
  <c r="D475" i="2"/>
  <c r="D476" i="2"/>
  <c r="D477" i="2"/>
  <c r="D478" i="2"/>
  <c r="D479" i="2"/>
  <c r="D480" i="2"/>
  <c r="D481" i="2"/>
  <c r="D482" i="2"/>
  <c r="D484" i="2"/>
  <c r="D485" i="2"/>
  <c r="D486" i="2"/>
  <c r="D487" i="2"/>
  <c r="D488" i="2"/>
  <c r="D489" i="2"/>
  <c r="D490" i="2"/>
  <c r="D491" i="2"/>
  <c r="D492" i="2"/>
  <c r="D493" i="2"/>
  <c r="D494" i="2"/>
  <c r="D495" i="2"/>
  <c r="D496" i="2"/>
  <c r="D497" i="2"/>
  <c r="D498" i="2"/>
  <c r="D499" i="2"/>
  <c r="D500" i="2"/>
  <c r="D501" i="2"/>
  <c r="D502" i="2"/>
  <c r="D507" i="2"/>
  <c r="D508" i="2"/>
  <c r="D509" i="2"/>
  <c r="D510" i="2"/>
  <c r="D511" i="2"/>
  <c r="D512" i="2"/>
  <c r="D513" i="2"/>
  <c r="D514" i="2"/>
  <c r="D515" i="2"/>
  <c r="D516" i="2"/>
  <c r="D517" i="2"/>
  <c r="D518" i="2"/>
  <c r="D519" i="2"/>
  <c r="D521" i="2"/>
  <c r="D522" i="2"/>
  <c r="D523" i="2"/>
  <c r="D524" i="2"/>
  <c r="D525" i="2"/>
  <c r="D526" i="2"/>
  <c r="D527" i="2"/>
  <c r="D528" i="2"/>
  <c r="D529" i="2"/>
  <c r="D530" i="2"/>
  <c r="D531" i="2"/>
  <c r="D532" i="2"/>
  <c r="D533" i="2"/>
  <c r="D534" i="2"/>
  <c r="D535" i="2"/>
  <c r="D536" i="2"/>
  <c r="D537" i="2"/>
  <c r="D538" i="2"/>
  <c r="D539" i="2"/>
  <c r="D540" i="2"/>
  <c r="D541" i="2"/>
  <c r="D542" i="2"/>
  <c r="D546" i="2"/>
  <c r="D547" i="2"/>
  <c r="D548" i="2"/>
  <c r="D549" i="2"/>
  <c r="D550" i="2"/>
  <c r="D551" i="2"/>
  <c r="D552" i="2"/>
  <c r="D553" i="2"/>
  <c r="D554" i="2"/>
  <c r="D555" i="2"/>
  <c r="D556" i="2"/>
  <c r="D557" i="2"/>
  <c r="D558" i="2"/>
  <c r="D559" i="2"/>
  <c r="D560" i="2"/>
  <c r="D561" i="2"/>
  <c r="D562" i="2"/>
  <c r="D563" i="2"/>
  <c r="D564" i="2"/>
  <c r="D565" i="2"/>
  <c r="D566" i="2"/>
  <c r="D567" i="2"/>
  <c r="D568" i="2"/>
  <c r="D569"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9" i="2"/>
  <c r="D610" i="2"/>
  <c r="D611" i="2"/>
  <c r="D612" i="2"/>
  <c r="D613" i="2"/>
  <c r="D614" i="2"/>
  <c r="D615" i="2"/>
  <c r="D616" i="2"/>
  <c r="D617" i="2"/>
  <c r="D618" i="2"/>
  <c r="D619" i="2"/>
  <c r="D62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2" i="2"/>
  <c r="F227" i="1" l="1"/>
  <c r="F228" i="1"/>
  <c r="F229" i="1"/>
  <c r="F230" i="1"/>
  <c r="F231" i="1"/>
  <c r="C231" i="1" s="1"/>
  <c r="D231" i="1" s="1"/>
  <c r="F232" i="1"/>
  <c r="C232" i="1" s="1"/>
  <c r="D232" i="1" s="1"/>
  <c r="F233" i="1"/>
  <c r="C233" i="1" s="1"/>
  <c r="D233" i="1" s="1"/>
  <c r="F234" i="1"/>
  <c r="C234" i="1" s="1"/>
  <c r="D234" i="1" s="1"/>
  <c r="F235" i="1"/>
  <c r="F236" i="1"/>
  <c r="F237" i="1"/>
  <c r="F238" i="1"/>
  <c r="F239" i="1"/>
  <c r="C239" i="1" s="1"/>
  <c r="D239" i="1" s="1"/>
  <c r="F240" i="1"/>
  <c r="C240" i="1" s="1"/>
  <c r="D240" i="1" s="1"/>
  <c r="F241" i="1"/>
  <c r="F242" i="1"/>
  <c r="F243" i="1"/>
  <c r="F244" i="1"/>
  <c r="F245" i="1"/>
  <c r="F246" i="1"/>
  <c r="F247" i="1"/>
  <c r="C247" i="1" s="1"/>
  <c r="D247" i="1" s="1"/>
  <c r="F248" i="1"/>
  <c r="C248" i="1" s="1"/>
  <c r="D248" i="1" s="1"/>
  <c r="F249" i="1"/>
  <c r="F250" i="1"/>
  <c r="F251" i="1"/>
  <c r="F252" i="1"/>
  <c r="F253" i="1"/>
  <c r="F254" i="1"/>
  <c r="F255" i="1"/>
  <c r="C255" i="1" s="1"/>
  <c r="D255" i="1" s="1"/>
  <c r="F256" i="1"/>
  <c r="C256" i="1" s="1"/>
  <c r="D256" i="1" s="1"/>
  <c r="F257" i="1"/>
  <c r="F258" i="1"/>
  <c r="F259" i="1"/>
  <c r="F260" i="1"/>
  <c r="F261" i="1"/>
  <c r="F262" i="1"/>
  <c r="F263" i="1"/>
  <c r="C263" i="1" s="1"/>
  <c r="D263" i="1" s="1"/>
  <c r="F264" i="1"/>
  <c r="C264" i="1" s="1"/>
  <c r="D264" i="1" s="1"/>
  <c r="F265" i="1"/>
  <c r="F266" i="1"/>
  <c r="F267" i="1"/>
  <c r="F268" i="1"/>
  <c r="F269" i="1"/>
  <c r="F270" i="1"/>
  <c r="F271" i="1"/>
  <c r="C271" i="1" s="1"/>
  <c r="D271" i="1" s="1"/>
  <c r="F272" i="1"/>
  <c r="C272" i="1" s="1"/>
  <c r="D272" i="1" s="1"/>
  <c r="F273"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C227" i="1"/>
  <c r="D227" i="1" s="1"/>
  <c r="C228" i="1"/>
  <c r="D228" i="1" s="1"/>
  <c r="C229" i="1"/>
  <c r="D229" i="1" s="1"/>
  <c r="C230" i="1"/>
  <c r="D230" i="1" s="1"/>
  <c r="C235" i="1"/>
  <c r="D235" i="1" s="1"/>
  <c r="C236" i="1"/>
  <c r="D236" i="1" s="1"/>
  <c r="C237" i="1"/>
  <c r="D237" i="1" s="1"/>
  <c r="C238" i="1"/>
  <c r="D238" i="1" s="1"/>
  <c r="C241" i="1"/>
  <c r="D241" i="1" s="1"/>
  <c r="C242" i="1"/>
  <c r="D242" i="1" s="1"/>
  <c r="C243" i="1"/>
  <c r="D243" i="1" s="1"/>
  <c r="C244" i="1"/>
  <c r="D244" i="1" s="1"/>
  <c r="C245" i="1"/>
  <c r="D245" i="1" s="1"/>
  <c r="C246" i="1"/>
  <c r="D246" i="1" s="1"/>
  <c r="C249" i="1"/>
  <c r="D249" i="1" s="1"/>
  <c r="C250" i="1"/>
  <c r="D250" i="1" s="1"/>
  <c r="C251" i="1"/>
  <c r="D251" i="1" s="1"/>
  <c r="C252" i="1"/>
  <c r="D252" i="1" s="1"/>
  <c r="C253" i="1"/>
  <c r="D253" i="1" s="1"/>
  <c r="C254" i="1"/>
  <c r="D254" i="1" s="1"/>
  <c r="C257" i="1"/>
  <c r="D257" i="1" s="1"/>
  <c r="C258" i="1"/>
  <c r="D258" i="1" s="1"/>
  <c r="C259" i="1"/>
  <c r="D259" i="1" s="1"/>
  <c r="C260" i="1"/>
  <c r="D260" i="1" s="1"/>
  <c r="C261" i="1"/>
  <c r="D261" i="1" s="1"/>
  <c r="C262" i="1"/>
  <c r="D262" i="1" s="1"/>
  <c r="C265" i="1"/>
  <c r="D265" i="1" s="1"/>
  <c r="C266" i="1"/>
  <c r="D266" i="1" s="1"/>
  <c r="C267" i="1"/>
  <c r="D267" i="1" s="1"/>
  <c r="C268" i="1"/>
  <c r="D268" i="1" s="1"/>
  <c r="C269" i="1"/>
  <c r="D269" i="1" s="1"/>
  <c r="C270" i="1"/>
  <c r="D270" i="1" s="1"/>
  <c r="C273" i="1"/>
  <c r="D273" i="1" s="1"/>
  <c r="E373" i="1" l="1"/>
  <c r="F373" i="1"/>
  <c r="E374" i="1"/>
  <c r="F374" i="1"/>
  <c r="E375" i="1"/>
  <c r="F375" i="1"/>
  <c r="E376" i="1"/>
  <c r="F376" i="1"/>
  <c r="E377" i="1"/>
  <c r="F377" i="1"/>
  <c r="E378" i="1"/>
  <c r="F378" i="1"/>
  <c r="E379" i="1"/>
  <c r="F379" i="1"/>
  <c r="E380" i="1"/>
  <c r="F380" i="1"/>
  <c r="E381" i="1"/>
  <c r="F381" i="1"/>
  <c r="E382" i="1"/>
  <c r="F382" i="1"/>
  <c r="E383" i="1"/>
  <c r="F383" i="1"/>
  <c r="E384" i="1"/>
  <c r="F384" i="1"/>
  <c r="E385" i="1"/>
  <c r="F385" i="1"/>
  <c r="E386" i="1"/>
  <c r="F386" i="1"/>
  <c r="E387" i="1"/>
  <c r="F387" i="1"/>
  <c r="E388" i="1"/>
  <c r="F388" i="1"/>
  <c r="E389" i="1"/>
  <c r="F389" i="1"/>
  <c r="E390" i="1"/>
  <c r="F390" i="1"/>
  <c r="E391" i="1"/>
  <c r="F391" i="1"/>
  <c r="E392" i="1"/>
  <c r="F392" i="1"/>
  <c r="E393" i="1"/>
  <c r="F393" i="1"/>
  <c r="E394" i="1"/>
  <c r="F394" i="1"/>
  <c r="E395" i="1"/>
  <c r="F395" i="1"/>
  <c r="E396" i="1"/>
  <c r="F396" i="1"/>
  <c r="E397" i="1"/>
  <c r="F397" i="1"/>
  <c r="E398" i="1"/>
  <c r="F398" i="1"/>
  <c r="E399" i="1"/>
  <c r="F399" i="1"/>
  <c r="E400" i="1"/>
  <c r="F400" i="1"/>
  <c r="E401" i="1"/>
  <c r="F401" i="1"/>
  <c r="E402" i="1"/>
  <c r="F402" i="1"/>
  <c r="E403" i="1"/>
  <c r="F403" i="1"/>
  <c r="E404" i="1"/>
  <c r="F404" i="1"/>
  <c r="E405" i="1"/>
  <c r="F405" i="1"/>
  <c r="E406" i="1"/>
  <c r="F406" i="1"/>
  <c r="E407" i="1"/>
  <c r="F407" i="1"/>
  <c r="E408" i="1"/>
  <c r="F408" i="1"/>
  <c r="E409" i="1"/>
  <c r="F409" i="1"/>
  <c r="E410" i="1"/>
  <c r="F410" i="1"/>
  <c r="E411" i="1"/>
  <c r="F411" i="1"/>
  <c r="E412" i="1"/>
  <c r="F412" i="1"/>
  <c r="E413" i="1"/>
  <c r="F413" i="1"/>
  <c r="E414" i="1"/>
  <c r="F414" i="1"/>
  <c r="E415" i="1"/>
  <c r="F415" i="1"/>
  <c r="E416" i="1"/>
  <c r="F416" i="1"/>
  <c r="E417" i="1"/>
  <c r="F417" i="1"/>
  <c r="E418" i="1"/>
  <c r="F418" i="1"/>
  <c r="E419" i="1"/>
  <c r="F419" i="1"/>
  <c r="E420" i="1"/>
  <c r="F420" i="1"/>
  <c r="E421" i="1"/>
  <c r="F421" i="1"/>
  <c r="E422" i="1"/>
  <c r="F422" i="1"/>
  <c r="E423" i="1"/>
  <c r="F423" i="1"/>
  <c r="E424" i="1"/>
  <c r="F424" i="1"/>
  <c r="E425" i="1"/>
  <c r="F425" i="1"/>
  <c r="E426" i="1"/>
  <c r="F426" i="1"/>
  <c r="E427" i="1"/>
  <c r="F427" i="1"/>
  <c r="E428" i="1"/>
  <c r="F428" i="1"/>
  <c r="E429" i="1"/>
  <c r="F429" i="1"/>
  <c r="E430" i="1"/>
  <c r="F430" i="1"/>
  <c r="E431" i="1"/>
  <c r="F431" i="1"/>
  <c r="E432" i="1"/>
  <c r="F432" i="1"/>
  <c r="E433" i="1"/>
  <c r="F433" i="1"/>
  <c r="E434" i="1"/>
  <c r="F434" i="1"/>
  <c r="E435" i="1"/>
  <c r="F435" i="1"/>
  <c r="E436" i="1"/>
  <c r="F436" i="1"/>
  <c r="E437" i="1"/>
  <c r="F437" i="1"/>
  <c r="E438" i="1"/>
  <c r="F438" i="1"/>
  <c r="E439" i="1"/>
  <c r="F439" i="1"/>
  <c r="E440" i="1"/>
  <c r="F440" i="1"/>
  <c r="E441" i="1"/>
  <c r="F441" i="1"/>
  <c r="E442" i="1"/>
  <c r="F442" i="1"/>
  <c r="E443" i="1"/>
  <c r="F443" i="1"/>
  <c r="E444" i="1"/>
  <c r="F444" i="1"/>
  <c r="E445" i="1"/>
  <c r="F445" i="1"/>
  <c r="E446" i="1"/>
  <c r="F446" i="1"/>
  <c r="E447" i="1"/>
  <c r="F447" i="1"/>
  <c r="E448" i="1"/>
  <c r="F448" i="1"/>
  <c r="E449" i="1"/>
  <c r="F449" i="1"/>
  <c r="E450" i="1"/>
  <c r="F450" i="1"/>
  <c r="E451" i="1"/>
  <c r="F451" i="1"/>
  <c r="E452" i="1"/>
  <c r="F452" i="1"/>
  <c r="E453" i="1"/>
  <c r="F453" i="1"/>
  <c r="E454" i="1"/>
  <c r="F454" i="1"/>
  <c r="E455" i="1"/>
  <c r="F455" i="1"/>
  <c r="E456" i="1"/>
  <c r="F456" i="1"/>
  <c r="E457" i="1"/>
  <c r="F457" i="1"/>
  <c r="E458" i="1"/>
  <c r="F458" i="1"/>
  <c r="E459" i="1"/>
  <c r="F459" i="1"/>
  <c r="E460" i="1"/>
  <c r="F460" i="1"/>
  <c r="E461" i="1"/>
  <c r="F461" i="1"/>
  <c r="E462" i="1"/>
  <c r="F462" i="1"/>
  <c r="E463" i="1"/>
  <c r="F463" i="1"/>
  <c r="E464" i="1"/>
  <c r="F464" i="1"/>
  <c r="E465" i="1"/>
  <c r="F465" i="1"/>
  <c r="E466" i="1"/>
  <c r="F466" i="1"/>
  <c r="E467" i="1"/>
  <c r="F467" i="1"/>
  <c r="E468" i="1"/>
  <c r="F468" i="1"/>
  <c r="E469" i="1"/>
  <c r="F469" i="1"/>
  <c r="E470" i="1"/>
  <c r="F470" i="1"/>
  <c r="E471" i="1"/>
  <c r="F471" i="1"/>
  <c r="E472" i="1"/>
  <c r="F472" i="1"/>
  <c r="E473" i="1"/>
  <c r="F473" i="1"/>
  <c r="E474" i="1"/>
  <c r="F474" i="1"/>
  <c r="E475" i="1"/>
  <c r="F475" i="1"/>
  <c r="E476" i="1"/>
  <c r="F476" i="1"/>
  <c r="E477" i="1"/>
  <c r="F477" i="1"/>
  <c r="E478" i="1"/>
  <c r="F478" i="1"/>
  <c r="E479" i="1"/>
  <c r="F479" i="1"/>
  <c r="E480" i="1"/>
  <c r="F480" i="1"/>
  <c r="E481" i="1"/>
  <c r="F481" i="1"/>
  <c r="E482" i="1"/>
  <c r="F482" i="1"/>
  <c r="E483" i="1"/>
  <c r="F483" i="1"/>
  <c r="E484" i="1"/>
  <c r="F484" i="1"/>
  <c r="E485" i="1"/>
  <c r="F485" i="1"/>
  <c r="E486" i="1"/>
  <c r="F486" i="1"/>
  <c r="E487" i="1"/>
  <c r="F487" i="1"/>
  <c r="E488" i="1"/>
  <c r="F488" i="1"/>
  <c r="E489" i="1"/>
  <c r="F489" i="1"/>
  <c r="E490" i="1"/>
  <c r="F490" i="1"/>
  <c r="E491" i="1"/>
  <c r="F491" i="1"/>
  <c r="E492" i="1"/>
  <c r="F492" i="1"/>
  <c r="E493" i="1"/>
  <c r="F493" i="1"/>
  <c r="E494" i="1"/>
  <c r="F494" i="1"/>
  <c r="E495" i="1"/>
  <c r="F495" i="1"/>
  <c r="E496" i="1"/>
  <c r="F496" i="1"/>
  <c r="E497" i="1"/>
  <c r="F497" i="1"/>
  <c r="E498" i="1"/>
  <c r="F498" i="1"/>
  <c r="E499" i="1"/>
  <c r="F499" i="1"/>
  <c r="E500" i="1"/>
  <c r="F500" i="1"/>
  <c r="E501" i="1"/>
  <c r="F501" i="1"/>
  <c r="E502" i="1"/>
  <c r="F502" i="1"/>
  <c r="E503" i="1"/>
  <c r="F503" i="1"/>
  <c r="E504" i="1"/>
  <c r="F504" i="1"/>
  <c r="E505" i="1"/>
  <c r="F505" i="1"/>
  <c r="E506" i="1"/>
  <c r="F506" i="1"/>
  <c r="E507" i="1"/>
  <c r="F507" i="1"/>
  <c r="E508" i="1"/>
  <c r="F508" i="1"/>
  <c r="E509" i="1"/>
  <c r="F509" i="1"/>
  <c r="E510" i="1"/>
  <c r="F510" i="1"/>
  <c r="E511" i="1"/>
  <c r="F511" i="1"/>
  <c r="E512" i="1"/>
  <c r="F512" i="1"/>
  <c r="E513" i="1"/>
  <c r="F513" i="1"/>
  <c r="E514" i="1"/>
  <c r="F514" i="1"/>
  <c r="E515" i="1"/>
  <c r="F515" i="1"/>
  <c r="E516" i="1"/>
  <c r="F516" i="1"/>
  <c r="E517" i="1"/>
  <c r="F517" i="1"/>
  <c r="E518" i="1"/>
  <c r="F518" i="1"/>
  <c r="E519" i="1"/>
  <c r="F519" i="1"/>
  <c r="E520" i="1"/>
  <c r="F520" i="1"/>
  <c r="E521" i="1"/>
  <c r="F521" i="1"/>
  <c r="E522" i="1"/>
  <c r="F522" i="1"/>
  <c r="E523" i="1"/>
  <c r="F523" i="1"/>
  <c r="E524" i="1"/>
  <c r="F524" i="1"/>
  <c r="E525" i="1"/>
  <c r="F525" i="1"/>
  <c r="E526" i="1"/>
  <c r="F526" i="1"/>
  <c r="E527" i="1"/>
  <c r="F527" i="1"/>
  <c r="E528" i="1"/>
  <c r="F528" i="1"/>
  <c r="E529" i="1"/>
  <c r="F529" i="1"/>
  <c r="E530" i="1"/>
  <c r="F530" i="1"/>
  <c r="E531" i="1"/>
  <c r="F531" i="1"/>
  <c r="E532" i="1"/>
  <c r="F532" i="1"/>
  <c r="E533" i="1"/>
  <c r="F533" i="1"/>
  <c r="E534" i="1"/>
  <c r="F534" i="1"/>
  <c r="E535" i="1"/>
  <c r="F535" i="1"/>
  <c r="E536" i="1"/>
  <c r="F536" i="1"/>
  <c r="E537" i="1"/>
  <c r="F537" i="1"/>
  <c r="E538" i="1"/>
  <c r="F538" i="1"/>
  <c r="E539" i="1"/>
  <c r="F539" i="1"/>
  <c r="E540" i="1"/>
  <c r="F540" i="1"/>
  <c r="E541" i="1"/>
  <c r="F541" i="1"/>
  <c r="E542" i="1"/>
  <c r="F542" i="1"/>
  <c r="E543" i="1"/>
  <c r="F543" i="1"/>
  <c r="E544" i="1"/>
  <c r="F544" i="1"/>
  <c r="E545" i="1"/>
  <c r="F545" i="1"/>
  <c r="E546" i="1"/>
  <c r="F546" i="1"/>
  <c r="E547" i="1"/>
  <c r="F547" i="1"/>
  <c r="E548" i="1"/>
  <c r="F548" i="1"/>
  <c r="E549" i="1"/>
  <c r="F549" i="1"/>
  <c r="E550" i="1"/>
  <c r="F550" i="1"/>
  <c r="E551" i="1"/>
  <c r="F551" i="1"/>
  <c r="E552" i="1"/>
  <c r="F552" i="1"/>
  <c r="E553" i="1"/>
  <c r="F553" i="1"/>
  <c r="E554" i="1"/>
  <c r="F554" i="1"/>
  <c r="E555" i="1"/>
  <c r="F555" i="1"/>
  <c r="E556" i="1"/>
  <c r="F556" i="1"/>
  <c r="E557" i="1"/>
  <c r="F557" i="1"/>
  <c r="E558" i="1"/>
  <c r="F558" i="1"/>
  <c r="E559" i="1"/>
  <c r="F559" i="1"/>
  <c r="E560" i="1"/>
  <c r="F560" i="1"/>
  <c r="E561" i="1"/>
  <c r="F561" i="1"/>
  <c r="E562" i="1"/>
  <c r="F562" i="1"/>
  <c r="E563" i="1"/>
  <c r="F563" i="1"/>
  <c r="E564" i="1"/>
  <c r="F564" i="1"/>
  <c r="E565" i="1"/>
  <c r="F565" i="1"/>
  <c r="E566" i="1"/>
  <c r="F566" i="1"/>
  <c r="E567" i="1"/>
  <c r="F567" i="1"/>
  <c r="E568" i="1"/>
  <c r="F568" i="1"/>
  <c r="E569" i="1"/>
  <c r="F569" i="1"/>
  <c r="E570" i="1"/>
  <c r="F570" i="1"/>
  <c r="E571" i="1"/>
  <c r="F571" i="1"/>
  <c r="E572" i="1"/>
  <c r="F572" i="1"/>
  <c r="E573" i="1"/>
  <c r="F573" i="1"/>
  <c r="E574" i="1"/>
  <c r="F574" i="1"/>
  <c r="E575" i="1"/>
  <c r="F575" i="1"/>
  <c r="E576" i="1"/>
  <c r="F576" i="1"/>
  <c r="E577" i="1"/>
  <c r="F577" i="1"/>
  <c r="E578" i="1"/>
  <c r="F578" i="1"/>
  <c r="E579" i="1"/>
  <c r="F579" i="1"/>
  <c r="E580" i="1"/>
  <c r="F580" i="1"/>
  <c r="E581" i="1"/>
  <c r="F581" i="1"/>
  <c r="E582" i="1"/>
  <c r="F582" i="1"/>
  <c r="E583" i="1"/>
  <c r="F583" i="1"/>
  <c r="E584" i="1"/>
  <c r="F584" i="1"/>
  <c r="E585" i="1"/>
  <c r="F585" i="1"/>
  <c r="E586" i="1"/>
  <c r="F586" i="1"/>
  <c r="E587" i="1"/>
  <c r="F587" i="1"/>
  <c r="E588" i="1"/>
  <c r="F588" i="1"/>
  <c r="E589" i="1"/>
  <c r="F589" i="1"/>
  <c r="E590" i="1"/>
  <c r="F590" i="1"/>
  <c r="E591" i="1"/>
  <c r="F591" i="1"/>
  <c r="E592" i="1"/>
  <c r="F592" i="1"/>
  <c r="E593" i="1"/>
  <c r="F593" i="1"/>
  <c r="E594" i="1"/>
  <c r="F594" i="1"/>
  <c r="E595" i="1"/>
  <c r="F595" i="1"/>
  <c r="E596" i="1"/>
  <c r="F596" i="1"/>
  <c r="E597" i="1"/>
  <c r="F597" i="1"/>
  <c r="E598" i="1"/>
  <c r="F598" i="1"/>
  <c r="E599" i="1"/>
  <c r="F599" i="1"/>
  <c r="E600" i="1"/>
  <c r="F600" i="1"/>
  <c r="E601" i="1"/>
  <c r="F601" i="1"/>
  <c r="E602" i="1"/>
  <c r="F602" i="1"/>
  <c r="E603" i="1"/>
  <c r="F603" i="1"/>
  <c r="E604" i="1"/>
  <c r="F604" i="1"/>
  <c r="E605" i="1"/>
  <c r="F605" i="1"/>
  <c r="E606" i="1"/>
  <c r="F606" i="1"/>
  <c r="E607" i="1"/>
  <c r="F607" i="1"/>
  <c r="E608" i="1"/>
  <c r="F608" i="1"/>
  <c r="E609" i="1"/>
  <c r="F609" i="1"/>
  <c r="E610" i="1"/>
  <c r="F610" i="1"/>
  <c r="E611" i="1"/>
  <c r="F611" i="1"/>
  <c r="E612" i="1"/>
  <c r="F612" i="1"/>
  <c r="E613" i="1"/>
  <c r="F613" i="1"/>
  <c r="E614" i="1"/>
  <c r="F614" i="1"/>
  <c r="E615" i="1"/>
  <c r="F615" i="1"/>
  <c r="E616" i="1"/>
  <c r="F616" i="1"/>
  <c r="E617" i="1"/>
  <c r="F617" i="1"/>
  <c r="E618" i="1"/>
  <c r="F618" i="1"/>
  <c r="E619" i="1"/>
  <c r="F619" i="1"/>
  <c r="E620" i="1"/>
  <c r="F620" i="1"/>
  <c r="E621" i="1"/>
  <c r="F621" i="1"/>
  <c r="E622" i="1"/>
  <c r="F622" i="1"/>
  <c r="E623" i="1"/>
  <c r="F623" i="1"/>
  <c r="E624" i="1"/>
  <c r="F624" i="1"/>
  <c r="E625" i="1"/>
  <c r="F625" i="1"/>
  <c r="E626" i="1"/>
  <c r="F626" i="1"/>
  <c r="E627" i="1"/>
  <c r="F627" i="1"/>
  <c r="E628" i="1"/>
  <c r="F628" i="1"/>
  <c r="E629" i="1"/>
  <c r="F629" i="1"/>
  <c r="E630" i="1"/>
  <c r="F630" i="1"/>
  <c r="E631" i="1"/>
  <c r="F631" i="1"/>
  <c r="E632" i="1"/>
  <c r="F632" i="1"/>
  <c r="E633" i="1"/>
  <c r="F633" i="1"/>
  <c r="E634" i="1"/>
  <c r="F634" i="1"/>
  <c r="E635" i="1"/>
  <c r="F635" i="1"/>
  <c r="E636" i="1"/>
  <c r="F636" i="1"/>
  <c r="E637" i="1"/>
  <c r="F637" i="1"/>
  <c r="E638" i="1"/>
  <c r="F638" i="1"/>
  <c r="E639" i="1"/>
  <c r="F639" i="1"/>
  <c r="E640" i="1"/>
  <c r="F640" i="1"/>
  <c r="E641" i="1"/>
  <c r="F641" i="1"/>
  <c r="E642" i="1"/>
  <c r="F642" i="1"/>
  <c r="E643" i="1"/>
  <c r="F643" i="1"/>
  <c r="E644" i="1"/>
  <c r="F644" i="1"/>
  <c r="E645" i="1"/>
  <c r="F645" i="1"/>
  <c r="E646" i="1"/>
  <c r="F646" i="1"/>
  <c r="E647" i="1"/>
  <c r="F647" i="1"/>
  <c r="E648" i="1"/>
  <c r="F648" i="1"/>
  <c r="E649" i="1"/>
  <c r="F649" i="1"/>
  <c r="E650" i="1"/>
  <c r="F650" i="1"/>
  <c r="E651" i="1"/>
  <c r="F651" i="1"/>
  <c r="E652" i="1"/>
  <c r="F652" i="1"/>
  <c r="E653" i="1"/>
  <c r="F653" i="1"/>
  <c r="E654" i="1"/>
  <c r="F654" i="1"/>
  <c r="E655" i="1"/>
  <c r="F655" i="1"/>
  <c r="E656" i="1"/>
  <c r="F656" i="1"/>
  <c r="E657" i="1"/>
  <c r="F657" i="1"/>
  <c r="E658" i="1"/>
  <c r="F658" i="1"/>
  <c r="E659" i="1"/>
  <c r="F659" i="1"/>
  <c r="E660" i="1"/>
  <c r="F660" i="1"/>
  <c r="E661" i="1"/>
  <c r="F661" i="1"/>
  <c r="E662" i="1"/>
  <c r="F662" i="1"/>
  <c r="E663" i="1"/>
  <c r="F663" i="1"/>
  <c r="E664" i="1"/>
  <c r="F664" i="1"/>
  <c r="E665" i="1"/>
  <c r="F665" i="1"/>
  <c r="E666" i="1"/>
  <c r="F666" i="1"/>
  <c r="E667" i="1"/>
  <c r="F667" i="1"/>
  <c r="E668" i="1"/>
  <c r="F668" i="1"/>
  <c r="E669" i="1"/>
  <c r="F669" i="1"/>
  <c r="E670" i="1"/>
  <c r="F670" i="1"/>
  <c r="E671" i="1"/>
  <c r="F671" i="1"/>
  <c r="E672" i="1"/>
  <c r="F672" i="1"/>
  <c r="E673" i="1"/>
  <c r="F673" i="1"/>
  <c r="E674" i="1"/>
  <c r="F674" i="1"/>
  <c r="E675" i="1"/>
  <c r="F675" i="1"/>
  <c r="E676" i="1"/>
  <c r="F676" i="1"/>
  <c r="E677" i="1"/>
  <c r="F677" i="1"/>
  <c r="E678" i="1"/>
  <c r="F678" i="1"/>
  <c r="E679" i="1"/>
  <c r="F679" i="1"/>
  <c r="E680" i="1"/>
  <c r="F680" i="1"/>
  <c r="E681" i="1"/>
  <c r="F681" i="1"/>
  <c r="E682" i="1"/>
  <c r="F682" i="1"/>
  <c r="E683" i="1"/>
  <c r="F683" i="1"/>
  <c r="E684" i="1"/>
  <c r="F684" i="1"/>
  <c r="E685" i="1"/>
  <c r="F685" i="1"/>
  <c r="E686" i="1"/>
  <c r="F686" i="1"/>
  <c r="E687" i="1"/>
  <c r="F687" i="1"/>
  <c r="E688" i="1"/>
  <c r="F688" i="1"/>
  <c r="E689" i="1"/>
  <c r="F689" i="1"/>
  <c r="E690" i="1"/>
  <c r="F690" i="1"/>
  <c r="E691" i="1"/>
  <c r="F691" i="1"/>
  <c r="E692" i="1"/>
  <c r="F692" i="1"/>
  <c r="E693" i="1"/>
  <c r="F693" i="1"/>
  <c r="E694" i="1"/>
  <c r="F694" i="1"/>
  <c r="E695" i="1"/>
  <c r="F695" i="1"/>
  <c r="E696" i="1"/>
  <c r="F696" i="1"/>
  <c r="E697" i="1"/>
  <c r="F697" i="1"/>
  <c r="E698" i="1"/>
  <c r="F698" i="1"/>
  <c r="E699" i="1"/>
  <c r="F699" i="1"/>
  <c r="E700" i="1"/>
  <c r="F700" i="1"/>
  <c r="E701" i="1"/>
  <c r="F701" i="1"/>
  <c r="E702" i="1"/>
  <c r="F702" i="1"/>
  <c r="E703" i="1"/>
  <c r="F703" i="1"/>
  <c r="E704" i="1"/>
  <c r="F704" i="1"/>
  <c r="E705" i="1"/>
  <c r="F705" i="1"/>
  <c r="E706" i="1"/>
  <c r="F706" i="1"/>
  <c r="E707" i="1"/>
  <c r="F707" i="1"/>
  <c r="E708" i="1"/>
  <c r="F708" i="1"/>
  <c r="E709" i="1"/>
  <c r="F709" i="1"/>
  <c r="E710" i="1"/>
  <c r="F710" i="1"/>
  <c r="E711" i="1"/>
  <c r="F711" i="1"/>
  <c r="E712" i="1"/>
  <c r="F712" i="1"/>
  <c r="E713" i="1"/>
  <c r="F713" i="1"/>
  <c r="E714" i="1"/>
  <c r="F714" i="1"/>
  <c r="E715" i="1"/>
  <c r="F715" i="1"/>
  <c r="E716" i="1"/>
  <c r="F716" i="1"/>
  <c r="E717" i="1"/>
  <c r="F717" i="1"/>
  <c r="E718" i="1"/>
  <c r="F718" i="1"/>
  <c r="E719" i="1"/>
  <c r="F719" i="1"/>
  <c r="E720" i="1"/>
  <c r="F720" i="1"/>
  <c r="E721" i="1"/>
  <c r="F721" i="1"/>
  <c r="E722" i="1"/>
  <c r="F722" i="1"/>
  <c r="E723" i="1"/>
  <c r="F723" i="1"/>
  <c r="E724" i="1"/>
  <c r="F724" i="1"/>
  <c r="E725" i="1"/>
  <c r="F725" i="1"/>
  <c r="E726" i="1"/>
  <c r="F726" i="1"/>
  <c r="E727" i="1"/>
  <c r="F727" i="1"/>
  <c r="E728" i="1"/>
  <c r="F728" i="1"/>
  <c r="E729" i="1"/>
  <c r="F729" i="1"/>
  <c r="E730" i="1"/>
  <c r="F730" i="1"/>
  <c r="E731" i="1"/>
  <c r="F731" i="1"/>
  <c r="E732" i="1"/>
  <c r="F732" i="1"/>
  <c r="E733" i="1"/>
  <c r="F733" i="1"/>
  <c r="E734" i="1"/>
  <c r="F734" i="1"/>
  <c r="E735" i="1"/>
  <c r="F735" i="1"/>
  <c r="E736" i="1"/>
  <c r="F736" i="1"/>
  <c r="E737" i="1"/>
  <c r="F737" i="1"/>
  <c r="E738" i="1"/>
  <c r="F738" i="1"/>
  <c r="E739" i="1"/>
  <c r="F739" i="1"/>
  <c r="E740" i="1"/>
  <c r="F740" i="1"/>
  <c r="E741" i="1"/>
  <c r="F741" i="1"/>
  <c r="E742" i="1"/>
  <c r="F742" i="1"/>
  <c r="E743" i="1"/>
  <c r="F743" i="1"/>
  <c r="E744" i="1"/>
  <c r="F744" i="1"/>
  <c r="E745" i="1"/>
  <c r="F745" i="1"/>
  <c r="E746" i="1"/>
  <c r="F746" i="1"/>
  <c r="E747" i="1"/>
  <c r="F747" i="1"/>
  <c r="E748" i="1"/>
  <c r="F748" i="1"/>
  <c r="E749" i="1"/>
  <c r="F749" i="1"/>
  <c r="E750" i="1"/>
  <c r="F750" i="1"/>
  <c r="E751" i="1"/>
  <c r="F751" i="1"/>
  <c r="E752" i="1"/>
  <c r="F752" i="1"/>
  <c r="E753" i="1"/>
  <c r="F753" i="1"/>
  <c r="E754" i="1"/>
  <c r="F754" i="1"/>
  <c r="E755" i="1"/>
  <c r="F755" i="1"/>
  <c r="E756" i="1"/>
  <c r="F756" i="1"/>
  <c r="E757" i="1"/>
  <c r="F757" i="1"/>
  <c r="E758" i="1"/>
  <c r="F758" i="1"/>
  <c r="E759" i="1"/>
  <c r="F759" i="1"/>
  <c r="E760" i="1"/>
  <c r="F760" i="1"/>
  <c r="E761" i="1"/>
  <c r="F761" i="1"/>
  <c r="E762" i="1"/>
  <c r="F762" i="1"/>
  <c r="E763" i="1"/>
  <c r="F763" i="1"/>
  <c r="E764" i="1"/>
  <c r="F764" i="1"/>
  <c r="E765" i="1"/>
  <c r="F765" i="1"/>
  <c r="E766" i="1"/>
  <c r="F766" i="1"/>
  <c r="E767" i="1"/>
  <c r="F767" i="1"/>
  <c r="E768" i="1"/>
  <c r="F768" i="1"/>
  <c r="E769" i="1"/>
  <c r="F769" i="1"/>
  <c r="E770" i="1"/>
  <c r="F770" i="1"/>
  <c r="E771" i="1"/>
  <c r="F771" i="1"/>
  <c r="E772" i="1"/>
  <c r="F772" i="1"/>
  <c r="E773" i="1"/>
  <c r="F773" i="1"/>
  <c r="E774" i="1"/>
  <c r="F774" i="1"/>
  <c r="E775" i="1"/>
  <c r="F775" i="1"/>
  <c r="E776" i="1"/>
  <c r="F776" i="1"/>
  <c r="E777" i="1"/>
  <c r="F777" i="1"/>
  <c r="E778" i="1"/>
  <c r="F778" i="1"/>
  <c r="E779" i="1"/>
  <c r="F779" i="1"/>
  <c r="E780" i="1"/>
  <c r="F780" i="1"/>
  <c r="E781" i="1"/>
  <c r="F781" i="1"/>
  <c r="E782" i="1"/>
  <c r="F782" i="1"/>
  <c r="E783" i="1"/>
  <c r="F783" i="1"/>
  <c r="E784" i="1"/>
  <c r="F784" i="1"/>
  <c r="E785" i="1"/>
  <c r="F785" i="1"/>
  <c r="E786" i="1"/>
  <c r="F786" i="1"/>
  <c r="E787" i="1"/>
  <c r="F787" i="1"/>
  <c r="E788" i="1"/>
  <c r="F788" i="1"/>
  <c r="E789" i="1"/>
  <c r="F789" i="1"/>
  <c r="E790" i="1"/>
  <c r="F790" i="1"/>
  <c r="E791" i="1"/>
  <c r="F791" i="1"/>
  <c r="E792" i="1"/>
  <c r="F792" i="1"/>
  <c r="E793" i="1"/>
  <c r="F793" i="1"/>
  <c r="E794" i="1"/>
  <c r="F794" i="1"/>
  <c r="E795" i="1"/>
  <c r="F795" i="1"/>
  <c r="E796" i="1"/>
  <c r="F796" i="1"/>
  <c r="E797" i="1"/>
  <c r="F797" i="1"/>
  <c r="E798" i="1"/>
  <c r="F798" i="1"/>
  <c r="E799" i="1"/>
  <c r="F799" i="1"/>
  <c r="E800" i="1"/>
  <c r="F800" i="1"/>
  <c r="E801" i="1"/>
  <c r="F801" i="1"/>
  <c r="E802" i="1"/>
  <c r="F802" i="1"/>
  <c r="E803" i="1"/>
  <c r="F803" i="1"/>
  <c r="E804" i="1"/>
  <c r="F804" i="1"/>
  <c r="E805" i="1"/>
  <c r="F805" i="1"/>
  <c r="E806" i="1"/>
  <c r="F806" i="1"/>
  <c r="E807" i="1"/>
  <c r="F807" i="1"/>
  <c r="E808" i="1"/>
  <c r="F808" i="1"/>
  <c r="E809" i="1"/>
  <c r="F809" i="1"/>
  <c r="E810" i="1"/>
  <c r="F810" i="1"/>
  <c r="E811" i="1"/>
  <c r="F811" i="1"/>
  <c r="E812" i="1"/>
  <c r="F812" i="1"/>
  <c r="E813" i="1"/>
  <c r="F813" i="1"/>
  <c r="E814" i="1"/>
  <c r="F814" i="1"/>
  <c r="E815" i="1"/>
  <c r="F815" i="1"/>
  <c r="E816" i="1"/>
  <c r="F816" i="1"/>
  <c r="E817" i="1"/>
  <c r="F817" i="1"/>
  <c r="E818" i="1"/>
  <c r="F818" i="1"/>
  <c r="E819" i="1"/>
  <c r="F819" i="1"/>
  <c r="E820" i="1"/>
  <c r="F820" i="1"/>
  <c r="E821" i="1"/>
  <c r="F821" i="1"/>
  <c r="E822" i="1"/>
  <c r="F822" i="1"/>
  <c r="E823" i="1"/>
  <c r="F823" i="1"/>
  <c r="E824" i="1"/>
  <c r="F824" i="1"/>
  <c r="E825" i="1"/>
  <c r="F825" i="1"/>
  <c r="E826" i="1"/>
  <c r="F826" i="1"/>
  <c r="E827" i="1"/>
  <c r="F827" i="1"/>
  <c r="E828" i="1"/>
  <c r="F828" i="1"/>
  <c r="E829" i="1"/>
  <c r="F829" i="1"/>
  <c r="E830" i="1"/>
  <c r="F830" i="1"/>
  <c r="E831" i="1"/>
  <c r="F831" i="1"/>
  <c r="E832" i="1"/>
  <c r="F832" i="1"/>
  <c r="E833" i="1"/>
  <c r="F833" i="1"/>
  <c r="E834" i="1"/>
  <c r="F834" i="1"/>
  <c r="E835" i="1"/>
  <c r="F835" i="1"/>
  <c r="E836" i="1"/>
  <c r="F836" i="1"/>
  <c r="E837" i="1"/>
  <c r="F837" i="1"/>
  <c r="E838" i="1"/>
  <c r="F838" i="1"/>
  <c r="E839" i="1"/>
  <c r="F839" i="1"/>
  <c r="E840" i="1"/>
  <c r="F840" i="1"/>
  <c r="E841" i="1"/>
  <c r="F841" i="1"/>
  <c r="E842" i="1"/>
  <c r="F842" i="1"/>
  <c r="E843" i="1"/>
  <c r="F843" i="1"/>
  <c r="E844" i="1"/>
  <c r="F844" i="1"/>
  <c r="E845" i="1"/>
  <c r="F845" i="1"/>
  <c r="E846" i="1"/>
  <c r="F846" i="1"/>
  <c r="E847" i="1"/>
  <c r="F847" i="1"/>
  <c r="E848" i="1"/>
  <c r="F848" i="1"/>
  <c r="E849" i="1"/>
  <c r="F849" i="1"/>
  <c r="E850" i="1"/>
  <c r="F850" i="1"/>
  <c r="E851" i="1"/>
  <c r="F851" i="1"/>
  <c r="E852" i="1"/>
  <c r="F852" i="1"/>
  <c r="E853" i="1"/>
  <c r="F853" i="1"/>
  <c r="E854" i="1"/>
  <c r="F854" i="1"/>
  <c r="E855" i="1"/>
  <c r="F855" i="1"/>
  <c r="E856" i="1"/>
  <c r="F856" i="1"/>
  <c r="E857" i="1"/>
  <c r="F857" i="1"/>
  <c r="E858" i="1"/>
  <c r="F858" i="1"/>
  <c r="E859" i="1"/>
  <c r="F859" i="1"/>
  <c r="E860" i="1"/>
  <c r="F860" i="1"/>
  <c r="E861" i="1"/>
  <c r="F861" i="1"/>
  <c r="E862" i="1"/>
  <c r="F862" i="1"/>
  <c r="E863" i="1"/>
  <c r="F863" i="1"/>
  <c r="E864" i="1"/>
  <c r="F864" i="1"/>
  <c r="E865" i="1"/>
  <c r="F865" i="1"/>
  <c r="E866" i="1"/>
  <c r="F866" i="1"/>
  <c r="E867" i="1"/>
  <c r="F867" i="1"/>
  <c r="E868" i="1"/>
  <c r="F868" i="1"/>
  <c r="E869" i="1"/>
  <c r="F869" i="1"/>
  <c r="E870" i="1"/>
  <c r="F870" i="1"/>
  <c r="E871" i="1"/>
  <c r="F871" i="1"/>
  <c r="E872" i="1"/>
  <c r="F872" i="1"/>
  <c r="E873" i="1"/>
  <c r="F873" i="1"/>
  <c r="E874" i="1"/>
  <c r="F874" i="1"/>
  <c r="E875" i="1"/>
  <c r="F875" i="1"/>
  <c r="E876" i="1"/>
  <c r="F876" i="1"/>
  <c r="E877" i="1"/>
  <c r="F877" i="1"/>
  <c r="E878" i="1"/>
  <c r="F878" i="1"/>
  <c r="E879" i="1"/>
  <c r="F879" i="1"/>
  <c r="E880" i="1"/>
  <c r="F880" i="1"/>
  <c r="E881" i="1"/>
  <c r="F881" i="1"/>
  <c r="E882" i="1"/>
  <c r="F882" i="1"/>
  <c r="E883" i="1"/>
  <c r="F883" i="1"/>
  <c r="E884" i="1"/>
  <c r="F884" i="1"/>
  <c r="E885" i="1"/>
  <c r="F885" i="1"/>
  <c r="E886" i="1"/>
  <c r="F886" i="1"/>
  <c r="E887" i="1"/>
  <c r="F887" i="1"/>
  <c r="E888" i="1"/>
  <c r="F888" i="1"/>
  <c r="E889" i="1"/>
  <c r="F889" i="1"/>
  <c r="E890" i="1"/>
  <c r="F890" i="1"/>
  <c r="E891" i="1"/>
  <c r="F891" i="1"/>
  <c r="E892" i="1"/>
  <c r="F892" i="1"/>
  <c r="E893" i="1"/>
  <c r="F893" i="1"/>
  <c r="E894" i="1"/>
  <c r="F894" i="1"/>
  <c r="E895" i="1"/>
  <c r="F895" i="1"/>
  <c r="E896" i="1"/>
  <c r="F896" i="1"/>
  <c r="E897" i="1"/>
  <c r="F897" i="1"/>
  <c r="E898" i="1"/>
  <c r="F898" i="1"/>
  <c r="E899" i="1"/>
  <c r="F899" i="1"/>
  <c r="E900" i="1"/>
  <c r="F900" i="1"/>
  <c r="E901" i="1"/>
  <c r="F901" i="1"/>
  <c r="E902" i="1"/>
  <c r="F902" i="1"/>
  <c r="E903" i="1"/>
  <c r="F903" i="1"/>
  <c r="E904" i="1"/>
  <c r="F904" i="1"/>
  <c r="E905" i="1"/>
  <c r="F905" i="1"/>
  <c r="E906" i="1"/>
  <c r="F906" i="1"/>
  <c r="E907" i="1"/>
  <c r="F907" i="1"/>
  <c r="E908" i="1"/>
  <c r="F908" i="1"/>
  <c r="E909" i="1"/>
  <c r="F909" i="1"/>
  <c r="E910" i="1"/>
  <c r="F910" i="1"/>
  <c r="E911" i="1"/>
  <c r="F911" i="1"/>
  <c r="E912" i="1"/>
  <c r="F912" i="1"/>
  <c r="E913" i="1"/>
  <c r="F913" i="1"/>
  <c r="E914" i="1"/>
  <c r="F914" i="1"/>
  <c r="E915" i="1"/>
  <c r="F915" i="1"/>
  <c r="E916" i="1"/>
  <c r="F916" i="1"/>
  <c r="E917" i="1"/>
  <c r="F917" i="1"/>
  <c r="E918" i="1"/>
  <c r="F918" i="1"/>
  <c r="E919" i="1"/>
  <c r="F919" i="1"/>
  <c r="E920" i="1"/>
  <c r="F920" i="1"/>
  <c r="E921" i="1"/>
  <c r="F921" i="1"/>
  <c r="E922" i="1"/>
  <c r="F922" i="1"/>
  <c r="E923" i="1"/>
  <c r="F923" i="1"/>
  <c r="E924" i="1"/>
  <c r="F924" i="1"/>
  <c r="E925" i="1"/>
  <c r="F925" i="1"/>
  <c r="E926" i="1"/>
  <c r="F926" i="1"/>
  <c r="E927" i="1"/>
  <c r="F927" i="1"/>
  <c r="E928" i="1"/>
  <c r="F928" i="1"/>
  <c r="E929" i="1"/>
  <c r="F929" i="1"/>
  <c r="E930" i="1"/>
  <c r="F930" i="1"/>
  <c r="E931" i="1"/>
  <c r="F931" i="1"/>
  <c r="E932" i="1"/>
  <c r="F932" i="1"/>
  <c r="E933" i="1"/>
  <c r="F933" i="1"/>
  <c r="E934" i="1"/>
  <c r="F934" i="1"/>
  <c r="E935" i="1"/>
  <c r="F935" i="1"/>
  <c r="E936" i="1"/>
  <c r="F936" i="1"/>
  <c r="E937" i="1"/>
  <c r="F937" i="1"/>
  <c r="E938" i="1"/>
  <c r="F938" i="1"/>
  <c r="E939" i="1"/>
  <c r="F939" i="1"/>
  <c r="E940" i="1"/>
  <c r="F940" i="1"/>
  <c r="E941" i="1"/>
  <c r="F941" i="1"/>
  <c r="E942" i="1"/>
  <c r="F942" i="1"/>
  <c r="E943" i="1"/>
  <c r="F943" i="1"/>
  <c r="E944" i="1"/>
  <c r="F944" i="1"/>
  <c r="E945" i="1"/>
  <c r="F945" i="1"/>
  <c r="E946" i="1"/>
  <c r="F946" i="1"/>
  <c r="E947" i="1"/>
  <c r="F947" i="1"/>
  <c r="E948" i="1"/>
  <c r="F948" i="1"/>
  <c r="E949" i="1"/>
  <c r="F949" i="1"/>
  <c r="E950" i="1"/>
  <c r="F950" i="1"/>
  <c r="E951" i="1"/>
  <c r="F951" i="1"/>
  <c r="E952" i="1"/>
  <c r="F952" i="1"/>
  <c r="E953" i="1"/>
  <c r="F953" i="1"/>
  <c r="E954" i="1"/>
  <c r="F954" i="1"/>
  <c r="E955" i="1"/>
  <c r="F955" i="1"/>
  <c r="E956" i="1"/>
  <c r="F956" i="1"/>
  <c r="E957" i="1"/>
  <c r="F957" i="1"/>
  <c r="E958" i="1"/>
  <c r="F958" i="1"/>
  <c r="E959" i="1"/>
  <c r="F959" i="1"/>
  <c r="E960" i="1"/>
  <c r="F960" i="1"/>
  <c r="E961" i="1"/>
  <c r="F961" i="1"/>
  <c r="E962" i="1"/>
  <c r="F962" i="1"/>
  <c r="E963" i="1"/>
  <c r="F963" i="1"/>
  <c r="E964" i="1"/>
  <c r="F964" i="1"/>
  <c r="E965" i="1"/>
  <c r="F965" i="1"/>
  <c r="E966" i="1"/>
  <c r="F966" i="1"/>
  <c r="E967" i="1"/>
  <c r="F967" i="1"/>
  <c r="E968" i="1"/>
  <c r="F968" i="1"/>
  <c r="E969" i="1"/>
  <c r="F969" i="1"/>
  <c r="E970" i="1"/>
  <c r="F970" i="1"/>
  <c r="E971" i="1"/>
  <c r="F971" i="1"/>
  <c r="E972" i="1"/>
  <c r="F972" i="1"/>
  <c r="E973" i="1"/>
  <c r="F973" i="1"/>
  <c r="E974" i="1"/>
  <c r="F974" i="1"/>
  <c r="E975" i="1"/>
  <c r="F975" i="1"/>
  <c r="E976" i="1"/>
  <c r="F976" i="1"/>
  <c r="E977" i="1"/>
  <c r="F977" i="1"/>
  <c r="E978" i="1"/>
  <c r="F978" i="1"/>
  <c r="E979" i="1"/>
  <c r="F979" i="1"/>
  <c r="E980" i="1"/>
  <c r="F980" i="1"/>
  <c r="E981" i="1"/>
  <c r="F981" i="1"/>
  <c r="E982" i="1"/>
  <c r="F982" i="1"/>
  <c r="E983" i="1"/>
  <c r="F983" i="1"/>
  <c r="E984" i="1"/>
  <c r="F984" i="1"/>
  <c r="E985" i="1"/>
  <c r="F985" i="1"/>
  <c r="E986" i="1"/>
  <c r="F986" i="1"/>
  <c r="E987" i="1"/>
  <c r="F987" i="1"/>
  <c r="E988" i="1"/>
  <c r="F988" i="1"/>
  <c r="E989" i="1"/>
  <c r="F989" i="1"/>
  <c r="E990" i="1"/>
  <c r="F990" i="1"/>
  <c r="E991" i="1"/>
  <c r="F991" i="1"/>
  <c r="E992" i="1"/>
  <c r="F992" i="1"/>
  <c r="E993" i="1"/>
  <c r="F993" i="1"/>
  <c r="E994" i="1"/>
  <c r="F994" i="1"/>
  <c r="E995" i="1"/>
  <c r="F995" i="1"/>
  <c r="E996" i="1"/>
  <c r="F996" i="1"/>
  <c r="E997" i="1"/>
  <c r="F997" i="1"/>
  <c r="E998" i="1"/>
  <c r="F998" i="1"/>
  <c r="E999" i="1"/>
  <c r="F999" i="1"/>
  <c r="E1000" i="1"/>
  <c r="F1000" i="1"/>
  <c r="E1001" i="1"/>
  <c r="F1001" i="1"/>
  <c r="E1002" i="1"/>
  <c r="F1002" i="1"/>
  <c r="E1003" i="1"/>
  <c r="F1003" i="1"/>
  <c r="E1004" i="1"/>
  <c r="F1004" i="1"/>
  <c r="E1005" i="1"/>
  <c r="F1005" i="1"/>
  <c r="E1006" i="1"/>
  <c r="F1006" i="1"/>
  <c r="E1007" i="1"/>
  <c r="F1007" i="1"/>
  <c r="E1008" i="1"/>
  <c r="F1008" i="1"/>
  <c r="E1009" i="1"/>
  <c r="F1009" i="1"/>
  <c r="E1010" i="1"/>
  <c r="F1010" i="1"/>
  <c r="E1011" i="1"/>
  <c r="F1011" i="1"/>
  <c r="E1012" i="1"/>
  <c r="F1012" i="1"/>
  <c r="E1013" i="1"/>
  <c r="F1013" i="1"/>
  <c r="E1014" i="1"/>
  <c r="F1014" i="1"/>
  <c r="E1015" i="1"/>
  <c r="F1015" i="1"/>
  <c r="E1016" i="1"/>
  <c r="F1016" i="1"/>
  <c r="E1017" i="1"/>
  <c r="F1017" i="1"/>
  <c r="E1018" i="1"/>
  <c r="F1018" i="1"/>
  <c r="E1019" i="1"/>
  <c r="F1019" i="1"/>
  <c r="E1020" i="1"/>
  <c r="F1020" i="1"/>
  <c r="E1021" i="1"/>
  <c r="F1021" i="1"/>
  <c r="E1022" i="1"/>
  <c r="F1022" i="1"/>
  <c r="E1023" i="1"/>
  <c r="F1023" i="1"/>
  <c r="E1024" i="1"/>
  <c r="F1024" i="1"/>
  <c r="E1025" i="1"/>
  <c r="F1025" i="1"/>
  <c r="E1026" i="1"/>
  <c r="F1026" i="1"/>
  <c r="E1027" i="1"/>
  <c r="F1027" i="1"/>
  <c r="E1028" i="1"/>
  <c r="F1028" i="1"/>
  <c r="E1029" i="1"/>
  <c r="F1029" i="1"/>
  <c r="E1030" i="1"/>
  <c r="F1030" i="1"/>
  <c r="E1031" i="1"/>
  <c r="F1031" i="1"/>
  <c r="E1032" i="1"/>
  <c r="F1032" i="1"/>
  <c r="E1033" i="1"/>
  <c r="F1033" i="1"/>
  <c r="E1034" i="1"/>
  <c r="F1034" i="1"/>
  <c r="E1035" i="1"/>
  <c r="F1035" i="1"/>
  <c r="E1036" i="1"/>
  <c r="F1036" i="1"/>
  <c r="E1037" i="1"/>
  <c r="F1037" i="1"/>
  <c r="E1038" i="1"/>
  <c r="F1038" i="1"/>
  <c r="E1039" i="1"/>
  <c r="F1039" i="1"/>
  <c r="E1040" i="1"/>
  <c r="F1040" i="1"/>
  <c r="E1041" i="1"/>
  <c r="F1041" i="1"/>
  <c r="E1042" i="1"/>
  <c r="F1042" i="1"/>
  <c r="E1043" i="1"/>
  <c r="F1043" i="1"/>
  <c r="E1044" i="1"/>
  <c r="F1044" i="1"/>
  <c r="E1045" i="1"/>
  <c r="F1045" i="1"/>
  <c r="E1046" i="1"/>
  <c r="F1046" i="1"/>
  <c r="E1047" i="1"/>
  <c r="F1047" i="1"/>
  <c r="E1048" i="1"/>
  <c r="F1048" i="1"/>
  <c r="E1049" i="1"/>
  <c r="F1049" i="1"/>
  <c r="E1050" i="1"/>
  <c r="F1050" i="1"/>
  <c r="E1051" i="1"/>
  <c r="F1051" i="1"/>
  <c r="E1052" i="1"/>
  <c r="F1052" i="1"/>
  <c r="E1053" i="1"/>
  <c r="F1053" i="1"/>
  <c r="E1054" i="1"/>
  <c r="F1054" i="1"/>
  <c r="E1055" i="1"/>
  <c r="F1055" i="1"/>
  <c r="E1056" i="1"/>
  <c r="F1056" i="1"/>
  <c r="E1057" i="1"/>
  <c r="F1057" i="1"/>
  <c r="E1058" i="1"/>
  <c r="F1058" i="1"/>
  <c r="E1059" i="1"/>
  <c r="F1059" i="1"/>
  <c r="E1060" i="1"/>
  <c r="F1060" i="1"/>
  <c r="E1061" i="1"/>
  <c r="F1061" i="1"/>
  <c r="E1062" i="1"/>
  <c r="F1062" i="1"/>
  <c r="E1063" i="1"/>
  <c r="F1063" i="1"/>
  <c r="E1064" i="1"/>
  <c r="F1064" i="1"/>
  <c r="E1065" i="1"/>
  <c r="F1065" i="1"/>
  <c r="E1066" i="1"/>
  <c r="F1066" i="1"/>
  <c r="E1067" i="1"/>
  <c r="F1067" i="1"/>
  <c r="E1068" i="1"/>
  <c r="F1068" i="1"/>
  <c r="E1069" i="1"/>
  <c r="F1069" i="1"/>
  <c r="E1070" i="1"/>
  <c r="F1070" i="1"/>
  <c r="E1071" i="1"/>
  <c r="F1071" i="1"/>
  <c r="E1072" i="1"/>
  <c r="F1072" i="1"/>
  <c r="E1073" i="1"/>
  <c r="F1073" i="1"/>
  <c r="E1074" i="1"/>
  <c r="F1074" i="1"/>
  <c r="E1075" i="1"/>
  <c r="F1075" i="1"/>
  <c r="E1076" i="1"/>
  <c r="F1076" i="1"/>
  <c r="E1077" i="1"/>
  <c r="F1077" i="1"/>
  <c r="E1078" i="1"/>
  <c r="F1078" i="1"/>
  <c r="E1079" i="1"/>
  <c r="F1079" i="1"/>
  <c r="E1080" i="1"/>
  <c r="F1080" i="1"/>
  <c r="E1081" i="1"/>
  <c r="F1081" i="1"/>
  <c r="E1082" i="1"/>
  <c r="F1082" i="1"/>
  <c r="E1083" i="1"/>
  <c r="F1083" i="1"/>
  <c r="E1084" i="1"/>
  <c r="F1084" i="1"/>
  <c r="E1085" i="1"/>
  <c r="F1085" i="1"/>
  <c r="E1086" i="1"/>
  <c r="F1086" i="1"/>
  <c r="E1087" i="1"/>
  <c r="F1087" i="1"/>
  <c r="E1088" i="1"/>
  <c r="F1088" i="1"/>
  <c r="E1089" i="1"/>
  <c r="F1089" i="1"/>
  <c r="E1090" i="1"/>
  <c r="F1090" i="1"/>
  <c r="E1091" i="1"/>
  <c r="F1091" i="1"/>
  <c r="E1092" i="1"/>
  <c r="F1092" i="1"/>
  <c r="E1093" i="1"/>
  <c r="F1093" i="1"/>
  <c r="E1094" i="1"/>
  <c r="F1094" i="1"/>
  <c r="E1095" i="1"/>
  <c r="F1095" i="1"/>
  <c r="E1096" i="1"/>
  <c r="F1096" i="1"/>
  <c r="E1097" i="1"/>
  <c r="F1097" i="1"/>
  <c r="E1098" i="1"/>
  <c r="F1098" i="1"/>
  <c r="E1099" i="1"/>
  <c r="F1099" i="1"/>
  <c r="E1100" i="1"/>
  <c r="F1100" i="1"/>
  <c r="E1101" i="1"/>
  <c r="F1101" i="1"/>
  <c r="E1102" i="1"/>
  <c r="F1102" i="1"/>
  <c r="E1103" i="1"/>
  <c r="F1103" i="1"/>
  <c r="E1104" i="1"/>
  <c r="F1104" i="1"/>
  <c r="E1105" i="1"/>
  <c r="F1105" i="1"/>
  <c r="E1106" i="1"/>
  <c r="F1106" i="1"/>
  <c r="E1107" i="1"/>
  <c r="F1107" i="1"/>
  <c r="E1108" i="1"/>
  <c r="F1108" i="1"/>
  <c r="E1109" i="1"/>
  <c r="F1109" i="1"/>
  <c r="E1110" i="1"/>
  <c r="F1110" i="1"/>
  <c r="E1111" i="1"/>
  <c r="F1111" i="1"/>
  <c r="E1112" i="1"/>
  <c r="F1112" i="1"/>
  <c r="E1113" i="1"/>
  <c r="F1113" i="1"/>
  <c r="E1114" i="1"/>
  <c r="F1114" i="1"/>
  <c r="E1115" i="1"/>
  <c r="F1115" i="1"/>
  <c r="E1116" i="1"/>
  <c r="F1116" i="1"/>
  <c r="E1117" i="1"/>
  <c r="F1117" i="1"/>
  <c r="E1118" i="1"/>
  <c r="F1118" i="1"/>
  <c r="E1119" i="1"/>
  <c r="F1119" i="1"/>
  <c r="E1120" i="1"/>
  <c r="F1120" i="1"/>
  <c r="E1121" i="1"/>
  <c r="F1121" i="1"/>
  <c r="E1122" i="1"/>
  <c r="F1122" i="1"/>
  <c r="E1123" i="1"/>
  <c r="F1123" i="1"/>
  <c r="E1124" i="1"/>
  <c r="F1124" i="1"/>
  <c r="E1125" i="1"/>
  <c r="F1125" i="1"/>
  <c r="E1126" i="1"/>
  <c r="F1126" i="1"/>
  <c r="E1127" i="1"/>
  <c r="F1127" i="1"/>
  <c r="E1128" i="1"/>
  <c r="F1128" i="1"/>
  <c r="E1129" i="1"/>
  <c r="F1129" i="1"/>
  <c r="E1130" i="1"/>
  <c r="F1130" i="1"/>
  <c r="E1131" i="1"/>
  <c r="F1131" i="1"/>
  <c r="E1132" i="1"/>
  <c r="F1132" i="1"/>
  <c r="E1133" i="1"/>
  <c r="F1133" i="1"/>
  <c r="E1134" i="1"/>
  <c r="F1134" i="1"/>
  <c r="E1135" i="1"/>
  <c r="F1135" i="1"/>
  <c r="E1136" i="1"/>
  <c r="F1136" i="1"/>
  <c r="E1137" i="1"/>
  <c r="F1137" i="1"/>
  <c r="E1138" i="1"/>
  <c r="F1138" i="1"/>
  <c r="E1139" i="1"/>
  <c r="F1139" i="1"/>
  <c r="E1140" i="1"/>
  <c r="F1140" i="1"/>
  <c r="E1141" i="1"/>
  <c r="F1141" i="1"/>
  <c r="E1142" i="1"/>
  <c r="F1142" i="1"/>
  <c r="E1143" i="1"/>
  <c r="F1143" i="1"/>
  <c r="E1144" i="1"/>
  <c r="F1144" i="1"/>
  <c r="E1145" i="1"/>
  <c r="F1145" i="1"/>
  <c r="E1146" i="1"/>
  <c r="F1146" i="1"/>
  <c r="E1147" i="1"/>
  <c r="F1147" i="1"/>
  <c r="E1148" i="1"/>
  <c r="F1148" i="1"/>
  <c r="E1149" i="1"/>
  <c r="F1149" i="1"/>
  <c r="E1150" i="1"/>
  <c r="F1150" i="1"/>
  <c r="E1151" i="1"/>
  <c r="F1151" i="1"/>
  <c r="E1152" i="1"/>
  <c r="F1152" i="1"/>
  <c r="E1153" i="1"/>
  <c r="F1153" i="1"/>
  <c r="E1154" i="1"/>
  <c r="F1154" i="1"/>
  <c r="E1155" i="1"/>
  <c r="F1155" i="1"/>
  <c r="E1156" i="1"/>
  <c r="F1156" i="1"/>
  <c r="E1157" i="1"/>
  <c r="F1157" i="1"/>
  <c r="E1158" i="1"/>
  <c r="F1158" i="1"/>
  <c r="E1159" i="1"/>
  <c r="F1159" i="1"/>
  <c r="E1160" i="1"/>
  <c r="F1160" i="1"/>
  <c r="E1161" i="1"/>
  <c r="F1161" i="1"/>
  <c r="E1162" i="1"/>
  <c r="F1162" i="1"/>
  <c r="E1163" i="1"/>
  <c r="F1163" i="1"/>
  <c r="E1164" i="1"/>
  <c r="F1164" i="1"/>
  <c r="E1165" i="1"/>
  <c r="F1165" i="1"/>
  <c r="E1166" i="1"/>
  <c r="F1166" i="1"/>
  <c r="E1167" i="1"/>
  <c r="F1167" i="1"/>
  <c r="E1168" i="1"/>
  <c r="F1168" i="1"/>
  <c r="E1169" i="1"/>
  <c r="F1169" i="1"/>
  <c r="E1170" i="1"/>
  <c r="F1170" i="1"/>
  <c r="E1171" i="1"/>
  <c r="F1171" i="1"/>
  <c r="E1172" i="1"/>
  <c r="F1172" i="1"/>
  <c r="E1173" i="1"/>
  <c r="F1173" i="1"/>
  <c r="E1174" i="1"/>
  <c r="F1174" i="1"/>
  <c r="E1175" i="1"/>
  <c r="F1175" i="1"/>
  <c r="E1176" i="1"/>
  <c r="F1176" i="1"/>
  <c r="E1177" i="1"/>
  <c r="F1177" i="1"/>
  <c r="E1178" i="1"/>
  <c r="F1178" i="1"/>
  <c r="E1179" i="1"/>
  <c r="F1179" i="1"/>
  <c r="E1180" i="1"/>
  <c r="F1180" i="1"/>
  <c r="E1181" i="1"/>
  <c r="F1181" i="1"/>
  <c r="E1182" i="1"/>
  <c r="F1182" i="1"/>
  <c r="E1183" i="1"/>
  <c r="F1183" i="1"/>
  <c r="E1184" i="1"/>
  <c r="F1184" i="1"/>
  <c r="E1185" i="1"/>
  <c r="F1185" i="1"/>
  <c r="E1186" i="1"/>
  <c r="F1186" i="1"/>
  <c r="E1187" i="1"/>
  <c r="F1187" i="1"/>
  <c r="E1188" i="1"/>
  <c r="F1188" i="1"/>
  <c r="E1189" i="1"/>
  <c r="F1189" i="1"/>
  <c r="E1190" i="1"/>
  <c r="F1190" i="1"/>
  <c r="E1191" i="1"/>
  <c r="F1191" i="1"/>
  <c r="E1192" i="1"/>
  <c r="F1192" i="1"/>
  <c r="E1193" i="1"/>
  <c r="F1193" i="1"/>
  <c r="E1194" i="1"/>
  <c r="F1194" i="1"/>
  <c r="E1195" i="1"/>
  <c r="F1195" i="1"/>
  <c r="E1196" i="1"/>
  <c r="F1196" i="1"/>
  <c r="E1197" i="1"/>
  <c r="F1197" i="1"/>
  <c r="E1198" i="1"/>
  <c r="F1198" i="1"/>
  <c r="E1199" i="1"/>
  <c r="F1199" i="1"/>
  <c r="E1200" i="1"/>
  <c r="F1200" i="1"/>
  <c r="E1201" i="1"/>
  <c r="F1201" i="1"/>
  <c r="E1202" i="1"/>
  <c r="F1202" i="1"/>
  <c r="E1203" i="1"/>
  <c r="F1203" i="1"/>
  <c r="E1204" i="1"/>
  <c r="F1204" i="1"/>
  <c r="E1205" i="1"/>
  <c r="F1205" i="1"/>
  <c r="E1206" i="1"/>
  <c r="F1206" i="1"/>
  <c r="E1207" i="1"/>
  <c r="F1207" i="1"/>
  <c r="E1208" i="1"/>
  <c r="F1208" i="1"/>
  <c r="E1209" i="1"/>
  <c r="F1209" i="1"/>
  <c r="E1210" i="1"/>
  <c r="F1210" i="1"/>
  <c r="E1211" i="1"/>
  <c r="F1211" i="1"/>
  <c r="E1212" i="1"/>
  <c r="F1212" i="1"/>
  <c r="E1213" i="1"/>
  <c r="F1213" i="1"/>
  <c r="E1214" i="1"/>
  <c r="F1214" i="1"/>
  <c r="E1215" i="1"/>
  <c r="F1215" i="1"/>
  <c r="E1216" i="1"/>
  <c r="F1216" i="1"/>
  <c r="E1217" i="1"/>
  <c r="F1217" i="1"/>
  <c r="E1218" i="1"/>
  <c r="F1218" i="1"/>
  <c r="E1219" i="1"/>
  <c r="F1219" i="1"/>
  <c r="E1220" i="1"/>
  <c r="F1220" i="1"/>
  <c r="E1221" i="1"/>
  <c r="F1221" i="1"/>
  <c r="E1222" i="1"/>
  <c r="F1222" i="1"/>
  <c r="E1223" i="1"/>
  <c r="F1223" i="1"/>
  <c r="E1224" i="1"/>
  <c r="F1224" i="1"/>
  <c r="E1225" i="1"/>
  <c r="F1225" i="1"/>
  <c r="E1226" i="1"/>
  <c r="F1226" i="1"/>
  <c r="E1227" i="1"/>
  <c r="F1227" i="1"/>
  <c r="E1228" i="1"/>
  <c r="F1228" i="1"/>
  <c r="E1229" i="1"/>
  <c r="F1229" i="1"/>
  <c r="E1230" i="1"/>
  <c r="F1230" i="1"/>
  <c r="E1231" i="1"/>
  <c r="F1231" i="1"/>
  <c r="E1232" i="1"/>
  <c r="F1232" i="1"/>
  <c r="E1233" i="1"/>
  <c r="F1233" i="1"/>
  <c r="E1234" i="1"/>
  <c r="F1234" i="1"/>
  <c r="E1235" i="1"/>
  <c r="F1235" i="1"/>
  <c r="E1236" i="1"/>
  <c r="F1236" i="1"/>
  <c r="E1237" i="1"/>
  <c r="F1237" i="1"/>
  <c r="E1238" i="1"/>
  <c r="F1238" i="1"/>
  <c r="E1239" i="1"/>
  <c r="F1239" i="1"/>
  <c r="E1240" i="1"/>
  <c r="F1240" i="1"/>
  <c r="E1241" i="1"/>
  <c r="F1241" i="1"/>
  <c r="E1242" i="1"/>
  <c r="F1242" i="1"/>
  <c r="E1243" i="1"/>
  <c r="F1243" i="1"/>
  <c r="E1244" i="1"/>
  <c r="F1244" i="1"/>
  <c r="E1245" i="1"/>
  <c r="F1245" i="1"/>
  <c r="E1246" i="1"/>
  <c r="F1246" i="1"/>
  <c r="E1247" i="1"/>
  <c r="F1247" i="1"/>
  <c r="E1248" i="1"/>
  <c r="F1248" i="1"/>
  <c r="E1249" i="1"/>
  <c r="F1249" i="1"/>
  <c r="E1250" i="1"/>
  <c r="F1250" i="1"/>
  <c r="E1251" i="1"/>
  <c r="F1251" i="1"/>
  <c r="E1252" i="1"/>
  <c r="F1252" i="1"/>
  <c r="E1253" i="1"/>
  <c r="F1253" i="1"/>
  <c r="E1254" i="1"/>
  <c r="F1254" i="1"/>
  <c r="E1255" i="1"/>
  <c r="F1255" i="1"/>
  <c r="E1256" i="1"/>
  <c r="F1256" i="1"/>
  <c r="E1257" i="1"/>
  <c r="F1257" i="1"/>
  <c r="E1258" i="1"/>
  <c r="F1258" i="1"/>
  <c r="E1259" i="1"/>
  <c r="F1259" i="1"/>
  <c r="E1260" i="1"/>
  <c r="F1260" i="1"/>
  <c r="E1261" i="1"/>
  <c r="F1261" i="1"/>
  <c r="E1262" i="1"/>
  <c r="F1262" i="1"/>
  <c r="E1263" i="1"/>
  <c r="F1263" i="1"/>
  <c r="E1264" i="1"/>
  <c r="F1264" i="1"/>
  <c r="E1265" i="1"/>
  <c r="F1265" i="1"/>
  <c r="E1266" i="1"/>
  <c r="F1266" i="1"/>
  <c r="E1267" i="1"/>
  <c r="F1267" i="1"/>
  <c r="E1268" i="1"/>
  <c r="F1268" i="1"/>
  <c r="E1269" i="1"/>
  <c r="F1269" i="1"/>
  <c r="E1270" i="1"/>
  <c r="F1270" i="1"/>
  <c r="E1271" i="1"/>
  <c r="F1271" i="1"/>
  <c r="E1272" i="1"/>
  <c r="F1272" i="1"/>
  <c r="E1273" i="1"/>
  <c r="F1273" i="1"/>
  <c r="E1274" i="1"/>
  <c r="F1274" i="1"/>
  <c r="E1275" i="1"/>
  <c r="F1275" i="1"/>
  <c r="E1276" i="1"/>
  <c r="F1276" i="1"/>
  <c r="E1277" i="1"/>
  <c r="F1277" i="1"/>
  <c r="E1278" i="1"/>
  <c r="F1278" i="1"/>
  <c r="E1279" i="1"/>
  <c r="F1279" i="1"/>
  <c r="E1280" i="1"/>
  <c r="F1280" i="1"/>
  <c r="E1281" i="1"/>
  <c r="F1281" i="1"/>
  <c r="E1282" i="1"/>
  <c r="F1282" i="1"/>
  <c r="E1283" i="1"/>
  <c r="F1283" i="1"/>
  <c r="E1284" i="1"/>
  <c r="F1284" i="1"/>
  <c r="E1285" i="1"/>
  <c r="F1285" i="1"/>
  <c r="E1286" i="1"/>
  <c r="F1286" i="1"/>
  <c r="E1287" i="1"/>
  <c r="F1287" i="1"/>
  <c r="E1288" i="1"/>
  <c r="F1288" i="1"/>
  <c r="E1289" i="1"/>
  <c r="F1289" i="1"/>
  <c r="E1290" i="1"/>
  <c r="F1290" i="1"/>
  <c r="E1291" i="1"/>
  <c r="F1291" i="1"/>
  <c r="E1292" i="1"/>
  <c r="F1292" i="1"/>
  <c r="E1293" i="1"/>
  <c r="F1293" i="1"/>
  <c r="E1294" i="1"/>
  <c r="F1294" i="1"/>
  <c r="E1295" i="1"/>
  <c r="F1295" i="1"/>
  <c r="E1296" i="1"/>
  <c r="F1296" i="1"/>
  <c r="E1297" i="1"/>
  <c r="F1297" i="1"/>
  <c r="E1298" i="1"/>
  <c r="F1298" i="1"/>
  <c r="E1299" i="1"/>
  <c r="F1299" i="1"/>
  <c r="E1300" i="1"/>
  <c r="F1300" i="1"/>
  <c r="E1301" i="1"/>
  <c r="F1301" i="1"/>
  <c r="E1302" i="1"/>
  <c r="F1302" i="1"/>
  <c r="E1303" i="1"/>
  <c r="F1303" i="1"/>
  <c r="E1304" i="1"/>
  <c r="F1304" i="1"/>
  <c r="E1305" i="1"/>
  <c r="F1305" i="1"/>
  <c r="E1306" i="1"/>
  <c r="F1306" i="1"/>
  <c r="E1307" i="1"/>
  <c r="F1307" i="1"/>
  <c r="E1308" i="1"/>
  <c r="F1308" i="1"/>
  <c r="E1309" i="1"/>
  <c r="F1309" i="1"/>
  <c r="E1310" i="1"/>
  <c r="F1310" i="1"/>
  <c r="E1311" i="1"/>
  <c r="F1311" i="1"/>
  <c r="E1312" i="1"/>
  <c r="F1312" i="1"/>
  <c r="E1313" i="1"/>
  <c r="F1313" i="1"/>
  <c r="E1314" i="1"/>
  <c r="F1314" i="1"/>
  <c r="E1315" i="1"/>
  <c r="F1315" i="1"/>
  <c r="E1316" i="1"/>
  <c r="F1316" i="1"/>
  <c r="E1317" i="1"/>
  <c r="F1317" i="1"/>
  <c r="E1318" i="1"/>
  <c r="F1318" i="1"/>
  <c r="E1319" i="1"/>
  <c r="F1319" i="1"/>
  <c r="E1320" i="1"/>
  <c r="F1320" i="1"/>
  <c r="E1321" i="1"/>
  <c r="F1321" i="1"/>
  <c r="E1322" i="1"/>
  <c r="F1322" i="1"/>
  <c r="E1323" i="1"/>
  <c r="F1323" i="1"/>
  <c r="E1324" i="1"/>
  <c r="F1324" i="1"/>
  <c r="E1325" i="1"/>
  <c r="F1325" i="1"/>
  <c r="E1326" i="1"/>
  <c r="F1326" i="1"/>
  <c r="E1327" i="1"/>
  <c r="F1327" i="1"/>
  <c r="E1328" i="1"/>
  <c r="F1328" i="1"/>
  <c r="E1329" i="1"/>
  <c r="F1329" i="1"/>
  <c r="E1330" i="1"/>
  <c r="F1330" i="1"/>
  <c r="E1331" i="1"/>
  <c r="F1331" i="1"/>
  <c r="E1332" i="1"/>
  <c r="F1332" i="1"/>
  <c r="E1333" i="1"/>
  <c r="F1333" i="1"/>
  <c r="E1334" i="1"/>
  <c r="F1334" i="1"/>
  <c r="E1335" i="1"/>
  <c r="F1335" i="1"/>
  <c r="E1336" i="1"/>
  <c r="F1336" i="1"/>
  <c r="E1337" i="1"/>
  <c r="F1337" i="1"/>
  <c r="E1338" i="1"/>
  <c r="F1338" i="1"/>
  <c r="E1339" i="1"/>
  <c r="F1339" i="1"/>
  <c r="E1340" i="1"/>
  <c r="F1340" i="1"/>
  <c r="E1341" i="1"/>
  <c r="F1341" i="1"/>
  <c r="E1342" i="1"/>
  <c r="F1342" i="1"/>
  <c r="E1343" i="1"/>
  <c r="F1343" i="1"/>
  <c r="E1344" i="1"/>
  <c r="F1344" i="1"/>
  <c r="E1345" i="1"/>
  <c r="F1345" i="1"/>
  <c r="E1346" i="1"/>
  <c r="F1346" i="1"/>
  <c r="E1347" i="1"/>
  <c r="F1347" i="1"/>
  <c r="E1348" i="1"/>
  <c r="F1348" i="1"/>
  <c r="E1349" i="1"/>
  <c r="F1349" i="1"/>
  <c r="E1350" i="1"/>
  <c r="F1350" i="1"/>
  <c r="E1351" i="1"/>
  <c r="F1351" i="1"/>
  <c r="E1352" i="1"/>
  <c r="F1352" i="1"/>
  <c r="E1353" i="1"/>
  <c r="F1353" i="1"/>
  <c r="E1354" i="1"/>
  <c r="F1354" i="1"/>
  <c r="E1355" i="1"/>
  <c r="F1355" i="1"/>
  <c r="E1356" i="1"/>
  <c r="F1356" i="1"/>
  <c r="E1357" i="1"/>
  <c r="F1357" i="1"/>
  <c r="E1358" i="1"/>
  <c r="F1358" i="1"/>
  <c r="E1359" i="1"/>
  <c r="F1359" i="1"/>
  <c r="E1360" i="1"/>
  <c r="F1360" i="1"/>
  <c r="E1361" i="1"/>
  <c r="F1361" i="1"/>
  <c r="E1362" i="1"/>
  <c r="F1362" i="1"/>
  <c r="E1363" i="1"/>
  <c r="F1363" i="1"/>
  <c r="E1364" i="1"/>
  <c r="F1364" i="1"/>
  <c r="E1365" i="1"/>
  <c r="F1365" i="1"/>
  <c r="E1366" i="1"/>
  <c r="F1366" i="1"/>
  <c r="E1367" i="1"/>
  <c r="F1367" i="1"/>
  <c r="E1368" i="1"/>
  <c r="F1368" i="1"/>
  <c r="E1369" i="1"/>
  <c r="F1369" i="1"/>
  <c r="E1370" i="1"/>
  <c r="F1370" i="1"/>
  <c r="E1371" i="1"/>
  <c r="F1371" i="1"/>
  <c r="E1372" i="1"/>
  <c r="F1372" i="1"/>
  <c r="E1373" i="1"/>
  <c r="F1373" i="1"/>
  <c r="E1374" i="1"/>
  <c r="F1374" i="1"/>
  <c r="E1375" i="1"/>
  <c r="F1375" i="1"/>
  <c r="E1376" i="1"/>
  <c r="F1376" i="1"/>
  <c r="E1377" i="1"/>
  <c r="F1377" i="1"/>
  <c r="E1378" i="1"/>
  <c r="F1378" i="1"/>
  <c r="E1379" i="1"/>
  <c r="F1379" i="1"/>
  <c r="E1380" i="1"/>
  <c r="F1380" i="1"/>
  <c r="E1381" i="1"/>
  <c r="F1381" i="1"/>
  <c r="E1382" i="1"/>
  <c r="F1382" i="1"/>
  <c r="E1383" i="1"/>
  <c r="F1383" i="1"/>
  <c r="E1384" i="1"/>
  <c r="F1384" i="1"/>
  <c r="E1385" i="1"/>
  <c r="F1385" i="1"/>
  <c r="E1386" i="1"/>
  <c r="F1386" i="1"/>
  <c r="E1387" i="1"/>
  <c r="F1387" i="1"/>
  <c r="E1388" i="1"/>
  <c r="F1388" i="1"/>
  <c r="E1389" i="1"/>
  <c r="F1389" i="1"/>
  <c r="E1390" i="1"/>
  <c r="F1390" i="1"/>
  <c r="E1391" i="1"/>
  <c r="F1391" i="1"/>
  <c r="E1392" i="1"/>
  <c r="F1392" i="1"/>
  <c r="E1393" i="1"/>
  <c r="F1393" i="1"/>
  <c r="E1394" i="1"/>
  <c r="F1394" i="1"/>
  <c r="E1395" i="1"/>
  <c r="F1395" i="1"/>
  <c r="E1396" i="1"/>
  <c r="F1396" i="1"/>
  <c r="E1397" i="1"/>
  <c r="F1397" i="1"/>
  <c r="E1398" i="1"/>
  <c r="F1398" i="1"/>
  <c r="E1399" i="1"/>
  <c r="F1399" i="1"/>
  <c r="E1400" i="1"/>
  <c r="F1400" i="1"/>
  <c r="E1401" i="1"/>
  <c r="F1401" i="1"/>
  <c r="E1402" i="1"/>
  <c r="F1402" i="1"/>
  <c r="E1403" i="1"/>
  <c r="F1403" i="1"/>
  <c r="E1404" i="1"/>
  <c r="F1404" i="1"/>
  <c r="E1405" i="1"/>
  <c r="F1405" i="1"/>
  <c r="E1406" i="1"/>
  <c r="F1406" i="1"/>
  <c r="E1407" i="1"/>
  <c r="F1407" i="1"/>
  <c r="E1408" i="1"/>
  <c r="F1408" i="1"/>
  <c r="E1409" i="1"/>
  <c r="F1409" i="1"/>
  <c r="E1410" i="1"/>
  <c r="F1410" i="1"/>
  <c r="E1411" i="1"/>
  <c r="F1411" i="1"/>
  <c r="E1412" i="1"/>
  <c r="F1412" i="1"/>
  <c r="E1413" i="1"/>
  <c r="F1413" i="1"/>
  <c r="E1414" i="1"/>
  <c r="F1414" i="1"/>
  <c r="E1415" i="1"/>
  <c r="F1415" i="1"/>
  <c r="E1416" i="1"/>
  <c r="F1416" i="1"/>
  <c r="E1417" i="1"/>
  <c r="F1417" i="1"/>
  <c r="E1418" i="1"/>
  <c r="F1418" i="1"/>
  <c r="E1419" i="1"/>
  <c r="F1419" i="1"/>
  <c r="E1420" i="1"/>
  <c r="F1420" i="1"/>
  <c r="E1421" i="1"/>
  <c r="F1421" i="1"/>
  <c r="E1422" i="1"/>
  <c r="F1422" i="1"/>
  <c r="E1423" i="1"/>
  <c r="F1423" i="1"/>
  <c r="E1424" i="1"/>
  <c r="F1424" i="1"/>
  <c r="E1425" i="1"/>
  <c r="F1425" i="1"/>
  <c r="E1426" i="1"/>
  <c r="F1426" i="1"/>
  <c r="E1427" i="1"/>
  <c r="F1427" i="1"/>
  <c r="E1428" i="1"/>
  <c r="F1428" i="1"/>
  <c r="E1429" i="1"/>
  <c r="F1429" i="1"/>
  <c r="E1430" i="1"/>
  <c r="F1430" i="1"/>
  <c r="E1431" i="1"/>
  <c r="F1431" i="1"/>
  <c r="E1432" i="1"/>
  <c r="F1432" i="1"/>
  <c r="E1433" i="1"/>
  <c r="F1433" i="1"/>
  <c r="E1434" i="1"/>
  <c r="F1434" i="1"/>
  <c r="E1435" i="1"/>
  <c r="F1435" i="1"/>
  <c r="E1436" i="1"/>
  <c r="F1436" i="1"/>
  <c r="E1437" i="1"/>
  <c r="F1437" i="1"/>
  <c r="E1438" i="1"/>
  <c r="F1438" i="1"/>
  <c r="E1439" i="1"/>
  <c r="F1439" i="1"/>
  <c r="E1440" i="1"/>
  <c r="F1440" i="1"/>
  <c r="E1441" i="1"/>
  <c r="F1441" i="1"/>
  <c r="E1442" i="1"/>
  <c r="F1442" i="1"/>
  <c r="E1443" i="1"/>
  <c r="F1443" i="1"/>
  <c r="E1444" i="1"/>
  <c r="F1444" i="1"/>
  <c r="E1445" i="1"/>
  <c r="F1445" i="1"/>
  <c r="E1446" i="1"/>
  <c r="F1446" i="1"/>
  <c r="E1447" i="1"/>
  <c r="F1447" i="1"/>
  <c r="E1448" i="1"/>
  <c r="F1448" i="1"/>
  <c r="E1449" i="1"/>
  <c r="F1449" i="1"/>
  <c r="E1450" i="1"/>
  <c r="F1450" i="1"/>
  <c r="E1451" i="1"/>
  <c r="F1451" i="1"/>
  <c r="E1452" i="1"/>
  <c r="F1452" i="1"/>
  <c r="E1453" i="1"/>
  <c r="F1453" i="1"/>
  <c r="E1454" i="1"/>
  <c r="F1454" i="1"/>
  <c r="E1455" i="1"/>
  <c r="F1455" i="1"/>
  <c r="E1456" i="1"/>
  <c r="F1456" i="1"/>
  <c r="E1457" i="1"/>
  <c r="F1457" i="1"/>
  <c r="E1458" i="1"/>
  <c r="F1458" i="1"/>
  <c r="E1459" i="1"/>
  <c r="F1459" i="1"/>
  <c r="E1460" i="1"/>
  <c r="F1460" i="1"/>
  <c r="E1461" i="1"/>
  <c r="F1461" i="1"/>
  <c r="E1462" i="1"/>
  <c r="F1462" i="1"/>
  <c r="E1463" i="1"/>
  <c r="F1463" i="1"/>
  <c r="E1464" i="1"/>
  <c r="F1464" i="1"/>
  <c r="E1465" i="1"/>
  <c r="F1465" i="1"/>
  <c r="E1466" i="1"/>
  <c r="F1466" i="1"/>
  <c r="E1467" i="1"/>
  <c r="F1467" i="1"/>
  <c r="E1468" i="1"/>
  <c r="F1468" i="1"/>
  <c r="E1469" i="1"/>
  <c r="F1469" i="1"/>
  <c r="E1470" i="1"/>
  <c r="F1470" i="1"/>
  <c r="E1471" i="1"/>
  <c r="F1471" i="1"/>
  <c r="E1472" i="1"/>
  <c r="F1472" i="1"/>
  <c r="E1473" i="1"/>
  <c r="F1473" i="1"/>
  <c r="E1474" i="1"/>
  <c r="F1474" i="1"/>
  <c r="E1475" i="1"/>
  <c r="F1475" i="1"/>
  <c r="E1476" i="1"/>
  <c r="F1476" i="1"/>
  <c r="E1477" i="1"/>
  <c r="F1477" i="1"/>
  <c r="E1478" i="1"/>
  <c r="F1478" i="1"/>
  <c r="E1479" i="1"/>
  <c r="F1479" i="1"/>
  <c r="E1480" i="1"/>
  <c r="F1480" i="1"/>
  <c r="E1481" i="1"/>
  <c r="F1481" i="1"/>
  <c r="E1482" i="1"/>
  <c r="F1482" i="1"/>
  <c r="E1483" i="1"/>
  <c r="F1483" i="1"/>
  <c r="E1484" i="1"/>
  <c r="F1484" i="1"/>
  <c r="E1485" i="1"/>
  <c r="F1485" i="1"/>
  <c r="E1486" i="1"/>
  <c r="F1486" i="1"/>
  <c r="E1487" i="1"/>
  <c r="F1487" i="1"/>
  <c r="E1488" i="1"/>
  <c r="F1488" i="1"/>
  <c r="E1489" i="1"/>
  <c r="F1489" i="1"/>
  <c r="E1490" i="1"/>
  <c r="F1490" i="1"/>
  <c r="E1491" i="1"/>
  <c r="F1491" i="1"/>
  <c r="E1492" i="1"/>
  <c r="F1492" i="1"/>
  <c r="E1493" i="1"/>
  <c r="F1493" i="1"/>
  <c r="E1494" i="1"/>
  <c r="F1494" i="1"/>
  <c r="E1495" i="1"/>
  <c r="F1495" i="1"/>
  <c r="E1496" i="1"/>
  <c r="F1496" i="1"/>
  <c r="E1497" i="1"/>
  <c r="F1497" i="1"/>
  <c r="E1498" i="1"/>
  <c r="F1498" i="1"/>
  <c r="E1499" i="1"/>
  <c r="F1499" i="1"/>
  <c r="E1500" i="1"/>
  <c r="F1500" i="1"/>
  <c r="E1501" i="1"/>
  <c r="F1501" i="1"/>
  <c r="E1502" i="1"/>
  <c r="F1502" i="1"/>
  <c r="E1503" i="1"/>
  <c r="F1503" i="1"/>
  <c r="E1504" i="1"/>
  <c r="F1504" i="1"/>
  <c r="E1505" i="1"/>
  <c r="F1505" i="1"/>
  <c r="E1506" i="1"/>
  <c r="F1506" i="1"/>
  <c r="E1507" i="1"/>
  <c r="F1507" i="1"/>
  <c r="E1508" i="1"/>
  <c r="F1508" i="1"/>
  <c r="E1509" i="1"/>
  <c r="F1509" i="1"/>
  <c r="E1510" i="1"/>
  <c r="F1510" i="1"/>
  <c r="E1511" i="1"/>
  <c r="F1511" i="1"/>
  <c r="E1512" i="1"/>
  <c r="F1512" i="1"/>
  <c r="E1513" i="1"/>
  <c r="F1513" i="1"/>
  <c r="E1514" i="1"/>
  <c r="F1514" i="1"/>
  <c r="E1515" i="1"/>
  <c r="F1515" i="1"/>
  <c r="E1516" i="1"/>
  <c r="F1516" i="1"/>
  <c r="E1517" i="1"/>
  <c r="F1517" i="1"/>
  <c r="E1518" i="1"/>
  <c r="F1518" i="1"/>
  <c r="E1519" i="1"/>
  <c r="F1519" i="1"/>
  <c r="E1520" i="1"/>
  <c r="F1520" i="1"/>
  <c r="E1521" i="1"/>
  <c r="F1521" i="1"/>
  <c r="E1522" i="1"/>
  <c r="F1522" i="1"/>
  <c r="E1523" i="1"/>
  <c r="F1523" i="1"/>
  <c r="E1524" i="1"/>
  <c r="F1524" i="1"/>
  <c r="E1525" i="1"/>
  <c r="F1525" i="1"/>
  <c r="E1526" i="1"/>
  <c r="F1526" i="1"/>
  <c r="E1527" i="1"/>
  <c r="F1527" i="1"/>
  <c r="E1528" i="1"/>
  <c r="F1528" i="1"/>
  <c r="E1529" i="1"/>
  <c r="F1529" i="1"/>
  <c r="E1530" i="1"/>
  <c r="F1530" i="1"/>
  <c r="E1531" i="1"/>
  <c r="F1531" i="1"/>
  <c r="E1532" i="1"/>
  <c r="F1532" i="1"/>
  <c r="E1533" i="1"/>
  <c r="F1533" i="1"/>
  <c r="E1534" i="1"/>
  <c r="F1534" i="1"/>
  <c r="E1535" i="1"/>
  <c r="F1535" i="1"/>
  <c r="E1536" i="1"/>
  <c r="F1536" i="1"/>
  <c r="E1537" i="1"/>
  <c r="F1537" i="1"/>
  <c r="E1538" i="1"/>
  <c r="F1538" i="1"/>
  <c r="E1539" i="1"/>
  <c r="F1539" i="1"/>
  <c r="E1540" i="1"/>
  <c r="F1540" i="1"/>
  <c r="E1541" i="1"/>
  <c r="F1541" i="1"/>
  <c r="E1542" i="1"/>
  <c r="F1542" i="1"/>
  <c r="E1543" i="1"/>
  <c r="F1543" i="1"/>
  <c r="E1544" i="1"/>
  <c r="F1544" i="1"/>
  <c r="E1545" i="1"/>
  <c r="F1545" i="1"/>
  <c r="E1546" i="1"/>
  <c r="F1546" i="1"/>
  <c r="E1547" i="1"/>
  <c r="F1547" i="1"/>
  <c r="E1548" i="1"/>
  <c r="F1548" i="1"/>
  <c r="E1549" i="1"/>
  <c r="F1549" i="1"/>
  <c r="E1550" i="1"/>
  <c r="F1550" i="1"/>
  <c r="E1551" i="1"/>
  <c r="F1551" i="1"/>
  <c r="E1552" i="1"/>
  <c r="F1552" i="1"/>
  <c r="E1553" i="1"/>
  <c r="F1553" i="1"/>
  <c r="E1554" i="1"/>
  <c r="F1554" i="1"/>
  <c r="E1555" i="1"/>
  <c r="F1555" i="1"/>
  <c r="E1556" i="1"/>
  <c r="F1556" i="1"/>
  <c r="E1557" i="1"/>
  <c r="F1557" i="1"/>
  <c r="E1558" i="1"/>
  <c r="F1558" i="1"/>
  <c r="E1559" i="1"/>
  <c r="F1559" i="1"/>
  <c r="E1560" i="1"/>
  <c r="F1560" i="1"/>
  <c r="E1561" i="1"/>
  <c r="F1561" i="1"/>
  <c r="E1562" i="1"/>
  <c r="F1562" i="1"/>
  <c r="E1563" i="1"/>
  <c r="F1563" i="1"/>
  <c r="E1564" i="1"/>
  <c r="F1564" i="1"/>
  <c r="E1565" i="1"/>
  <c r="F1565" i="1"/>
  <c r="E1566" i="1"/>
  <c r="F1566" i="1"/>
  <c r="E1567" i="1"/>
  <c r="F1567" i="1"/>
  <c r="E1568" i="1"/>
  <c r="F1568" i="1"/>
  <c r="E1569" i="1"/>
  <c r="F1569" i="1"/>
  <c r="E1570" i="1"/>
  <c r="F1570" i="1"/>
  <c r="E1571" i="1"/>
  <c r="F1571" i="1"/>
  <c r="E1572" i="1"/>
  <c r="F1572" i="1"/>
  <c r="E1573" i="1"/>
  <c r="F1573" i="1"/>
  <c r="E1574" i="1"/>
  <c r="F1574" i="1"/>
  <c r="E1575" i="1"/>
  <c r="F1575" i="1"/>
  <c r="E1576" i="1"/>
  <c r="F1576" i="1"/>
  <c r="E1577" i="1"/>
  <c r="F1577" i="1"/>
  <c r="E1578" i="1"/>
  <c r="F1578" i="1"/>
  <c r="E1579" i="1"/>
  <c r="F1579" i="1"/>
  <c r="E1580" i="1"/>
  <c r="F1580" i="1"/>
  <c r="E1581" i="1"/>
  <c r="F1581" i="1"/>
  <c r="E1582" i="1"/>
  <c r="F1582" i="1"/>
  <c r="E1583" i="1"/>
  <c r="F1583" i="1"/>
  <c r="E1584" i="1"/>
  <c r="F1584" i="1"/>
  <c r="E1585" i="1"/>
  <c r="F1585" i="1"/>
  <c r="E1586" i="1"/>
  <c r="F1586" i="1"/>
  <c r="E1587" i="1"/>
  <c r="F1587" i="1"/>
  <c r="E1588" i="1"/>
  <c r="F1588" i="1"/>
  <c r="E1589" i="1"/>
  <c r="F1589" i="1"/>
  <c r="E1590" i="1"/>
  <c r="F1590" i="1"/>
  <c r="E1591" i="1"/>
  <c r="F1591" i="1"/>
  <c r="E1592" i="1"/>
  <c r="F1592" i="1"/>
  <c r="E1593" i="1"/>
  <c r="F1593" i="1"/>
  <c r="E1594" i="1"/>
  <c r="F1594" i="1"/>
  <c r="E1595" i="1"/>
  <c r="F1595" i="1"/>
  <c r="E1596" i="1"/>
  <c r="F1596" i="1"/>
  <c r="E1597" i="1"/>
  <c r="F1597" i="1"/>
  <c r="E1598" i="1"/>
  <c r="F1598" i="1"/>
  <c r="E1599" i="1"/>
  <c r="F1599" i="1"/>
  <c r="E1600" i="1"/>
  <c r="F1600" i="1"/>
  <c r="E1601" i="1"/>
  <c r="F1601" i="1"/>
  <c r="E1602" i="1"/>
  <c r="F1602" i="1"/>
  <c r="E1603" i="1"/>
  <c r="F1603" i="1"/>
  <c r="E1604" i="1"/>
  <c r="F1604" i="1"/>
  <c r="E1605" i="1"/>
  <c r="F1605" i="1"/>
  <c r="E1606" i="1"/>
  <c r="F1606" i="1"/>
  <c r="E1607" i="1"/>
  <c r="F1607" i="1"/>
  <c r="E1608" i="1"/>
  <c r="F1608" i="1"/>
  <c r="E1609" i="1"/>
  <c r="F1609" i="1"/>
  <c r="E1610" i="1"/>
  <c r="F1610" i="1"/>
  <c r="E1611" i="1"/>
  <c r="F1611" i="1"/>
  <c r="E1612" i="1"/>
  <c r="F1612" i="1"/>
  <c r="E1613" i="1"/>
  <c r="F1613" i="1"/>
  <c r="E1614" i="1"/>
  <c r="F1614" i="1"/>
  <c r="E1615" i="1"/>
  <c r="F1615" i="1"/>
  <c r="E1616" i="1"/>
  <c r="F1616" i="1"/>
  <c r="E1617" i="1"/>
  <c r="F1617" i="1"/>
  <c r="E1618" i="1"/>
  <c r="F1618" i="1"/>
  <c r="E1619" i="1"/>
  <c r="F1619" i="1"/>
  <c r="E1620" i="1"/>
  <c r="F1620" i="1"/>
  <c r="E1621" i="1"/>
  <c r="F1621" i="1"/>
  <c r="E1622" i="1"/>
  <c r="F1622" i="1"/>
  <c r="E1623" i="1"/>
  <c r="F1623" i="1"/>
  <c r="E1624" i="1"/>
  <c r="F1624" i="1"/>
  <c r="E1625" i="1"/>
  <c r="F1625" i="1"/>
  <c r="E1626" i="1"/>
  <c r="F1626" i="1"/>
  <c r="E1627" i="1"/>
  <c r="F1627" i="1"/>
  <c r="E1628" i="1"/>
  <c r="F1628" i="1"/>
  <c r="E1629" i="1"/>
  <c r="F1629" i="1"/>
  <c r="E1630" i="1"/>
  <c r="F1630" i="1"/>
  <c r="E1631" i="1"/>
  <c r="F1631" i="1"/>
  <c r="E1632" i="1"/>
  <c r="F1632" i="1"/>
  <c r="E1633" i="1"/>
  <c r="F1633" i="1"/>
  <c r="E1634" i="1"/>
  <c r="F1634" i="1"/>
  <c r="E1635" i="1"/>
  <c r="F1635" i="1"/>
  <c r="E1636" i="1"/>
  <c r="F1636" i="1"/>
  <c r="E1637" i="1"/>
  <c r="F1637" i="1"/>
  <c r="E1638" i="1"/>
  <c r="F1638" i="1"/>
  <c r="E1639" i="1"/>
  <c r="F1639" i="1"/>
  <c r="E1640" i="1"/>
  <c r="F1640" i="1"/>
  <c r="E1641" i="1"/>
  <c r="F1641" i="1"/>
  <c r="E1642" i="1"/>
  <c r="F1642" i="1"/>
  <c r="E1643" i="1"/>
  <c r="F1643" i="1"/>
  <c r="E1644" i="1"/>
  <c r="F1644" i="1"/>
  <c r="E1645" i="1"/>
  <c r="F1645" i="1"/>
  <c r="E1646" i="1"/>
  <c r="F1646" i="1"/>
  <c r="E1647" i="1"/>
  <c r="F1647" i="1"/>
  <c r="E1648" i="1"/>
  <c r="F1648" i="1"/>
  <c r="E1649" i="1"/>
  <c r="F1649" i="1"/>
  <c r="E1650" i="1"/>
  <c r="F1650" i="1"/>
  <c r="E1651" i="1"/>
  <c r="F1651" i="1"/>
  <c r="E1652" i="1"/>
  <c r="F1652" i="1"/>
  <c r="E1653" i="1"/>
  <c r="F1653" i="1"/>
  <c r="E1654" i="1"/>
  <c r="F1654" i="1"/>
  <c r="E1655" i="1"/>
  <c r="F1655" i="1"/>
  <c r="E1656" i="1"/>
  <c r="F1656" i="1"/>
  <c r="E1657" i="1"/>
  <c r="F1657" i="1"/>
  <c r="E1658" i="1"/>
  <c r="F1658" i="1"/>
  <c r="E1659" i="1"/>
  <c r="F1659" i="1"/>
  <c r="E1660" i="1"/>
  <c r="F1660" i="1"/>
  <c r="E1661" i="1"/>
  <c r="F1661" i="1"/>
  <c r="E1662" i="1"/>
  <c r="F1662" i="1"/>
  <c r="E1663" i="1"/>
  <c r="F1663" i="1"/>
  <c r="E1664" i="1"/>
  <c r="F1664" i="1"/>
  <c r="E1665" i="1"/>
  <c r="F1665" i="1"/>
  <c r="E1666" i="1"/>
  <c r="F1666" i="1"/>
  <c r="E1667" i="1"/>
  <c r="F1667" i="1"/>
  <c r="E1668" i="1"/>
  <c r="F1668" i="1"/>
  <c r="E1669" i="1"/>
  <c r="F1669" i="1"/>
  <c r="E1670" i="1"/>
  <c r="F1670" i="1"/>
  <c r="E1671" i="1"/>
  <c r="F1671" i="1"/>
  <c r="E1672" i="1"/>
  <c r="F1672" i="1"/>
  <c r="E1673" i="1"/>
  <c r="F1673" i="1"/>
  <c r="E1674" i="1"/>
  <c r="F1674" i="1"/>
  <c r="E1675" i="1"/>
  <c r="F1675" i="1"/>
  <c r="E1676" i="1"/>
  <c r="F1676" i="1"/>
  <c r="E1677" i="1"/>
  <c r="F1677" i="1"/>
  <c r="E1678" i="1"/>
  <c r="F1678" i="1"/>
  <c r="E1679" i="1"/>
  <c r="F1679" i="1"/>
  <c r="E1680" i="1"/>
  <c r="F1680" i="1"/>
  <c r="E1681" i="1"/>
  <c r="F1681" i="1"/>
  <c r="E1682" i="1"/>
  <c r="F1682" i="1"/>
  <c r="E1683" i="1"/>
  <c r="F1683" i="1"/>
  <c r="E1684" i="1"/>
  <c r="F1684" i="1"/>
  <c r="E1685" i="1"/>
  <c r="F1685" i="1"/>
  <c r="E1686" i="1"/>
  <c r="F1686" i="1"/>
  <c r="E1687" i="1"/>
  <c r="F1687" i="1"/>
  <c r="E1688" i="1"/>
  <c r="F1688" i="1"/>
  <c r="E1689" i="1"/>
  <c r="F1689" i="1"/>
  <c r="E1690" i="1"/>
  <c r="F1690" i="1"/>
  <c r="E1691" i="1"/>
  <c r="F1691" i="1"/>
  <c r="E1692" i="1"/>
  <c r="F1692" i="1"/>
  <c r="E1693" i="1"/>
  <c r="F1693" i="1"/>
  <c r="E1694" i="1"/>
  <c r="F1694" i="1"/>
  <c r="E1695" i="1"/>
  <c r="F1695" i="1"/>
  <c r="E1696" i="1"/>
  <c r="F1696" i="1"/>
  <c r="E1697" i="1"/>
  <c r="F1697" i="1"/>
  <c r="E1698" i="1"/>
  <c r="F1698" i="1"/>
  <c r="E1699" i="1"/>
  <c r="F1699" i="1"/>
  <c r="E1700" i="1"/>
  <c r="F1700" i="1"/>
  <c r="E1701" i="1"/>
  <c r="F1701" i="1"/>
  <c r="E1702" i="1"/>
  <c r="F1702" i="1"/>
  <c r="E1703" i="1"/>
  <c r="F1703" i="1"/>
  <c r="E1704" i="1"/>
  <c r="F1704" i="1"/>
  <c r="E1705" i="1"/>
  <c r="F1705" i="1"/>
  <c r="E1706" i="1"/>
  <c r="F1706" i="1"/>
  <c r="E1707" i="1"/>
  <c r="F1707" i="1"/>
  <c r="E1708" i="1"/>
  <c r="F1708" i="1"/>
  <c r="E1709" i="1"/>
  <c r="F1709" i="1"/>
  <c r="E1710" i="1"/>
  <c r="F1710" i="1"/>
  <c r="E1711" i="1"/>
  <c r="F1711" i="1"/>
  <c r="E1712" i="1"/>
  <c r="F1712" i="1"/>
  <c r="E1713" i="1"/>
  <c r="F1713" i="1"/>
  <c r="E1714" i="1"/>
  <c r="F1714" i="1"/>
  <c r="E1715" i="1"/>
  <c r="F1715" i="1"/>
  <c r="E1716" i="1"/>
  <c r="F1716" i="1"/>
  <c r="E1717" i="1"/>
  <c r="F1717" i="1"/>
  <c r="E1718" i="1"/>
  <c r="F1718" i="1"/>
  <c r="E1719" i="1"/>
  <c r="F1719" i="1"/>
  <c r="E1720" i="1"/>
  <c r="F1720" i="1"/>
  <c r="E1721" i="1"/>
  <c r="F1721" i="1"/>
  <c r="E1722" i="1"/>
  <c r="F1722" i="1"/>
  <c r="E1723" i="1"/>
  <c r="F1723" i="1"/>
  <c r="E1724" i="1"/>
  <c r="F1724" i="1"/>
  <c r="E1725" i="1"/>
  <c r="F1725" i="1"/>
  <c r="E1726" i="1"/>
  <c r="F1726" i="1"/>
  <c r="E1727" i="1"/>
  <c r="F1727" i="1"/>
  <c r="E1728" i="1"/>
  <c r="F1728" i="1"/>
  <c r="E1729" i="1"/>
  <c r="F1729" i="1"/>
  <c r="E1730" i="1"/>
  <c r="F1730" i="1"/>
  <c r="E1731" i="1"/>
  <c r="F1731" i="1"/>
  <c r="E1732" i="1"/>
  <c r="F1732" i="1"/>
  <c r="E1733" i="1"/>
  <c r="F1733" i="1"/>
  <c r="E1734" i="1"/>
  <c r="F1734" i="1"/>
  <c r="E1735" i="1"/>
  <c r="F1735" i="1"/>
  <c r="E1736" i="1"/>
  <c r="F1736" i="1"/>
  <c r="E1737" i="1"/>
  <c r="F1737" i="1"/>
  <c r="E1738" i="1"/>
  <c r="F1738" i="1"/>
  <c r="E1739" i="1"/>
  <c r="F1739" i="1"/>
  <c r="E1740" i="1"/>
  <c r="F1740" i="1"/>
  <c r="E1741" i="1"/>
  <c r="F1741" i="1"/>
  <c r="E1742" i="1"/>
  <c r="F1742" i="1"/>
  <c r="E1743" i="1"/>
  <c r="F1743" i="1"/>
  <c r="E1744" i="1"/>
  <c r="F1744" i="1"/>
  <c r="E1745" i="1"/>
  <c r="F1745" i="1"/>
  <c r="E1746" i="1"/>
  <c r="F1746" i="1"/>
  <c r="E1747" i="1"/>
  <c r="F1747" i="1"/>
  <c r="E1748" i="1"/>
  <c r="F1748" i="1"/>
  <c r="E1749" i="1"/>
  <c r="F1749" i="1"/>
  <c r="E1750" i="1"/>
  <c r="F1750" i="1"/>
  <c r="E1751" i="1"/>
  <c r="F1751" i="1"/>
  <c r="E1752" i="1"/>
  <c r="F1752" i="1"/>
  <c r="E1753" i="1"/>
  <c r="F1753" i="1"/>
  <c r="E1754" i="1"/>
  <c r="F1754" i="1"/>
  <c r="E1755" i="1"/>
  <c r="F1755" i="1"/>
  <c r="E1756" i="1"/>
  <c r="F1756" i="1"/>
  <c r="E1757" i="1"/>
  <c r="F1757" i="1"/>
  <c r="E1758" i="1"/>
  <c r="F1758" i="1"/>
  <c r="E1759" i="1"/>
  <c r="F1759" i="1"/>
  <c r="E1760" i="1"/>
  <c r="F1760" i="1"/>
  <c r="E1761" i="1"/>
  <c r="F1761" i="1"/>
  <c r="E1762" i="1"/>
  <c r="F1762" i="1"/>
  <c r="E1763" i="1"/>
  <c r="F1763" i="1"/>
  <c r="E1764" i="1"/>
  <c r="F1764" i="1"/>
  <c r="E1765" i="1"/>
  <c r="F1765" i="1"/>
  <c r="E1766" i="1"/>
  <c r="F1766" i="1"/>
  <c r="E1767" i="1"/>
  <c r="F1767" i="1"/>
  <c r="E1768" i="1"/>
  <c r="F1768" i="1"/>
  <c r="E1769" i="1"/>
  <c r="F1769" i="1"/>
  <c r="E1770" i="1"/>
  <c r="F1770" i="1"/>
  <c r="E1771" i="1"/>
  <c r="F1771" i="1"/>
  <c r="E1772" i="1"/>
  <c r="F1772" i="1"/>
  <c r="E1773" i="1"/>
  <c r="F1773" i="1"/>
  <c r="E1774" i="1"/>
  <c r="F1774" i="1"/>
  <c r="E1775" i="1"/>
  <c r="F1775" i="1"/>
  <c r="E1776" i="1"/>
  <c r="F1776" i="1"/>
  <c r="E1777" i="1"/>
  <c r="F1777" i="1"/>
  <c r="E1778" i="1"/>
  <c r="F1778" i="1"/>
  <c r="E1779" i="1"/>
  <c r="F1779" i="1"/>
  <c r="E1780" i="1"/>
  <c r="F1780" i="1"/>
  <c r="E1781" i="1"/>
  <c r="F1781" i="1"/>
  <c r="E1782" i="1"/>
  <c r="F1782" i="1"/>
  <c r="E1783" i="1"/>
  <c r="F1783" i="1"/>
  <c r="E1784" i="1"/>
  <c r="F1784" i="1"/>
  <c r="E1785" i="1"/>
  <c r="F1785" i="1"/>
  <c r="E1786" i="1"/>
  <c r="F1786" i="1"/>
  <c r="E1787" i="1"/>
  <c r="F1787" i="1"/>
  <c r="E1788" i="1"/>
  <c r="F1788" i="1"/>
  <c r="E1789" i="1"/>
  <c r="F1789" i="1"/>
  <c r="E1790" i="1"/>
  <c r="F1790" i="1"/>
  <c r="E1791" i="1"/>
  <c r="F1791" i="1"/>
  <c r="E1792" i="1"/>
  <c r="F1792" i="1"/>
  <c r="E1793" i="1"/>
  <c r="F1793" i="1"/>
  <c r="E1794" i="1"/>
  <c r="F1794" i="1"/>
  <c r="E1795" i="1"/>
  <c r="F1795" i="1"/>
  <c r="E1796" i="1"/>
  <c r="F1796" i="1"/>
  <c r="E1797" i="1"/>
  <c r="F1797" i="1"/>
  <c r="E1798" i="1"/>
  <c r="F1798" i="1"/>
  <c r="E1799" i="1"/>
  <c r="F1799" i="1"/>
  <c r="E1800" i="1"/>
  <c r="F1800" i="1"/>
  <c r="E1801" i="1"/>
  <c r="F1801" i="1"/>
  <c r="E1802" i="1"/>
  <c r="F1802" i="1"/>
  <c r="E1803" i="1"/>
  <c r="F1803" i="1"/>
  <c r="E1804" i="1"/>
  <c r="F1804" i="1"/>
  <c r="E1805" i="1"/>
  <c r="F1805" i="1"/>
  <c r="E1806" i="1"/>
  <c r="F1806" i="1"/>
  <c r="E1807" i="1"/>
  <c r="F1807" i="1"/>
  <c r="E1808" i="1"/>
  <c r="F1808" i="1"/>
  <c r="E1809" i="1"/>
  <c r="F1809" i="1"/>
  <c r="E1810" i="1"/>
  <c r="F1810" i="1"/>
  <c r="E1811" i="1"/>
  <c r="F1811" i="1"/>
  <c r="E1812" i="1"/>
  <c r="F1812" i="1"/>
  <c r="E1813" i="1"/>
  <c r="F1813" i="1"/>
  <c r="E1814" i="1"/>
  <c r="F1814" i="1"/>
  <c r="E1815" i="1"/>
  <c r="F1815" i="1"/>
  <c r="E1816" i="1"/>
  <c r="F1816" i="1"/>
  <c r="E1817" i="1"/>
  <c r="F1817" i="1"/>
  <c r="E1818" i="1"/>
  <c r="F1818" i="1"/>
  <c r="E1819" i="1"/>
  <c r="F1819" i="1"/>
  <c r="E1820" i="1"/>
  <c r="F1820" i="1"/>
  <c r="E1821" i="1"/>
  <c r="F1821" i="1"/>
  <c r="E1822" i="1"/>
  <c r="F1822" i="1"/>
  <c r="E1823" i="1"/>
  <c r="F1823" i="1"/>
  <c r="E1824" i="1"/>
  <c r="F1824" i="1"/>
  <c r="E1825" i="1"/>
  <c r="F1825" i="1"/>
  <c r="E1826" i="1"/>
  <c r="F1826" i="1"/>
  <c r="E1827" i="1"/>
  <c r="F1827" i="1"/>
  <c r="E1828" i="1"/>
  <c r="F1828" i="1"/>
  <c r="E1829" i="1"/>
  <c r="F1829" i="1"/>
  <c r="E1830" i="1"/>
  <c r="F1830" i="1"/>
  <c r="E1831" i="1"/>
  <c r="F1831" i="1"/>
  <c r="E1832" i="1"/>
  <c r="F1832" i="1"/>
  <c r="E1833" i="1"/>
  <c r="F1833" i="1"/>
  <c r="E1834" i="1"/>
  <c r="F1834" i="1"/>
  <c r="E1835" i="1"/>
  <c r="F1835" i="1"/>
  <c r="E1836" i="1"/>
  <c r="F1836" i="1"/>
  <c r="E1837" i="1"/>
  <c r="F1837" i="1"/>
  <c r="E1838" i="1"/>
  <c r="F1838" i="1"/>
  <c r="E1839" i="1"/>
  <c r="F1839" i="1"/>
  <c r="E1840" i="1"/>
  <c r="F1840" i="1"/>
  <c r="E1841" i="1"/>
  <c r="F1841" i="1"/>
  <c r="E1842" i="1"/>
  <c r="F1842" i="1"/>
  <c r="E1843" i="1"/>
  <c r="F1843" i="1"/>
  <c r="E1844" i="1"/>
  <c r="F1844" i="1"/>
  <c r="E1845" i="1"/>
  <c r="F1845" i="1"/>
  <c r="E1846" i="1"/>
  <c r="F1846" i="1"/>
  <c r="E1847" i="1"/>
  <c r="F1847" i="1"/>
  <c r="E1848" i="1"/>
  <c r="F1848" i="1"/>
  <c r="E1849" i="1"/>
  <c r="F1849" i="1"/>
  <c r="E1850" i="1"/>
  <c r="F1850" i="1"/>
  <c r="E1851" i="1"/>
  <c r="F1851" i="1"/>
  <c r="E1852" i="1"/>
  <c r="F1852" i="1"/>
  <c r="E1853" i="1"/>
  <c r="F1853" i="1"/>
  <c r="E1854" i="1"/>
  <c r="F1854" i="1"/>
  <c r="E1855" i="1"/>
  <c r="F1855" i="1"/>
  <c r="E1856" i="1"/>
  <c r="F1856" i="1"/>
  <c r="E1857" i="1"/>
  <c r="F1857" i="1"/>
  <c r="E1858" i="1"/>
  <c r="F1858" i="1"/>
  <c r="E1859" i="1"/>
  <c r="F1859" i="1"/>
  <c r="E1860" i="1"/>
  <c r="F1860" i="1"/>
  <c r="E1861" i="1"/>
  <c r="F1861" i="1"/>
  <c r="E1862" i="1"/>
  <c r="F1862" i="1"/>
  <c r="E1863" i="1"/>
  <c r="F1863" i="1"/>
  <c r="E1864" i="1"/>
  <c r="F1864" i="1"/>
  <c r="E1865" i="1"/>
  <c r="F1865" i="1"/>
  <c r="E1866" i="1"/>
  <c r="F1866" i="1"/>
  <c r="E1867" i="1"/>
  <c r="F1867" i="1"/>
  <c r="E1868" i="1"/>
  <c r="F1868" i="1"/>
  <c r="E1869" i="1"/>
  <c r="F1869" i="1"/>
  <c r="E1870" i="1"/>
  <c r="F1870" i="1"/>
  <c r="E1871" i="1"/>
  <c r="F1871" i="1"/>
  <c r="E1872" i="1"/>
  <c r="F1872" i="1"/>
  <c r="E1873" i="1"/>
  <c r="F1873" i="1"/>
  <c r="E1874" i="1"/>
  <c r="F1874" i="1"/>
  <c r="E1875" i="1"/>
  <c r="F1875" i="1"/>
  <c r="E1876" i="1"/>
  <c r="F1876" i="1"/>
  <c r="E1877" i="1"/>
  <c r="F1877" i="1"/>
  <c r="E1878" i="1"/>
  <c r="F1878" i="1"/>
  <c r="E1879" i="1"/>
  <c r="F1879" i="1"/>
  <c r="E1880" i="1"/>
  <c r="F1880" i="1"/>
  <c r="E1881" i="1"/>
  <c r="F1881" i="1"/>
  <c r="E1882" i="1"/>
  <c r="F1882" i="1"/>
  <c r="E1883" i="1"/>
  <c r="F1883" i="1"/>
  <c r="E1884" i="1"/>
  <c r="F1884" i="1"/>
  <c r="E1885" i="1"/>
  <c r="F1885" i="1"/>
  <c r="E1886" i="1"/>
  <c r="F1886" i="1"/>
  <c r="E1887" i="1"/>
  <c r="F1887" i="1"/>
  <c r="E1888" i="1"/>
  <c r="F1888" i="1"/>
  <c r="E1889" i="1"/>
  <c r="F1889" i="1"/>
  <c r="E1890" i="1"/>
  <c r="F1890" i="1"/>
  <c r="E1891" i="1"/>
  <c r="F1891" i="1"/>
  <c r="E1892" i="1"/>
  <c r="F1892" i="1"/>
  <c r="E1893" i="1"/>
  <c r="F1893" i="1"/>
  <c r="E1894" i="1"/>
  <c r="F1894" i="1"/>
  <c r="E1895" i="1"/>
  <c r="F1895" i="1"/>
  <c r="E1896" i="1"/>
  <c r="F1896" i="1"/>
  <c r="E1897" i="1"/>
  <c r="F1897" i="1"/>
  <c r="E1898" i="1"/>
  <c r="F1898" i="1"/>
  <c r="E1899" i="1"/>
  <c r="F1899" i="1"/>
  <c r="E1900" i="1"/>
  <c r="F1900" i="1"/>
  <c r="E1901" i="1"/>
  <c r="F1901" i="1"/>
  <c r="E1902" i="1"/>
  <c r="F1902" i="1"/>
  <c r="E1903" i="1"/>
  <c r="F1903" i="1"/>
  <c r="E1904" i="1"/>
  <c r="F1904" i="1"/>
  <c r="E1905" i="1"/>
  <c r="F1905" i="1"/>
  <c r="E1906" i="1"/>
  <c r="F1906" i="1"/>
  <c r="E1907" i="1"/>
  <c r="F1907" i="1"/>
  <c r="E1908" i="1"/>
  <c r="F1908" i="1"/>
  <c r="E1909" i="1"/>
  <c r="F1909" i="1"/>
  <c r="E1910" i="1"/>
  <c r="F1910" i="1"/>
  <c r="E1911" i="1"/>
  <c r="F1911" i="1"/>
  <c r="E1912" i="1"/>
  <c r="F1912" i="1"/>
  <c r="E1913" i="1"/>
  <c r="F1913" i="1"/>
  <c r="E1914" i="1"/>
  <c r="F1914" i="1"/>
  <c r="E1915" i="1"/>
  <c r="F1915" i="1"/>
  <c r="E1916" i="1"/>
  <c r="F1916" i="1"/>
  <c r="E1917" i="1"/>
  <c r="F1917" i="1"/>
  <c r="E1918" i="1"/>
  <c r="F1918" i="1"/>
  <c r="E1919" i="1"/>
  <c r="F1919" i="1"/>
  <c r="E1920" i="1"/>
  <c r="F1920" i="1"/>
  <c r="E1921" i="1"/>
  <c r="F1921" i="1"/>
  <c r="E1922" i="1"/>
  <c r="F1922" i="1"/>
  <c r="E1923" i="1"/>
  <c r="F1923" i="1"/>
  <c r="E1924" i="1"/>
  <c r="F1924" i="1"/>
  <c r="E1925" i="1"/>
  <c r="F1925" i="1"/>
  <c r="E1926" i="1"/>
  <c r="F1926" i="1"/>
  <c r="E1927" i="1"/>
  <c r="F1927" i="1"/>
  <c r="E1928" i="1"/>
  <c r="F1928" i="1"/>
  <c r="E1929" i="1"/>
  <c r="F1929" i="1"/>
  <c r="E1930" i="1"/>
  <c r="F1930" i="1"/>
  <c r="E1931" i="1"/>
  <c r="F1931" i="1"/>
  <c r="E1932" i="1"/>
  <c r="F1932" i="1"/>
  <c r="E1933" i="1"/>
  <c r="F1933" i="1"/>
  <c r="E1934" i="1"/>
  <c r="F1934" i="1"/>
  <c r="E1935" i="1"/>
  <c r="F1935" i="1"/>
  <c r="E1936" i="1"/>
  <c r="F1936" i="1"/>
  <c r="E1937" i="1"/>
  <c r="F1937" i="1"/>
  <c r="E1938" i="1"/>
  <c r="F1938" i="1"/>
  <c r="E1939" i="1"/>
  <c r="F1939" i="1"/>
  <c r="E1940" i="1"/>
  <c r="F1940" i="1"/>
  <c r="E1941" i="1"/>
  <c r="F1941" i="1"/>
  <c r="E1942" i="1"/>
  <c r="F1942" i="1"/>
  <c r="E1943" i="1"/>
  <c r="F1943" i="1"/>
  <c r="E1944" i="1"/>
  <c r="F1944" i="1"/>
  <c r="E1945" i="1"/>
  <c r="F1945" i="1"/>
  <c r="E1946" i="1"/>
  <c r="F1946" i="1"/>
  <c r="E1947" i="1"/>
  <c r="F1947" i="1"/>
  <c r="E1948" i="1"/>
  <c r="F1948" i="1"/>
  <c r="E1949" i="1"/>
  <c r="F1949" i="1"/>
  <c r="E1950" i="1"/>
  <c r="F1950" i="1"/>
  <c r="E1951" i="1"/>
  <c r="F1951" i="1"/>
  <c r="E1952" i="1"/>
  <c r="F1952" i="1"/>
  <c r="E1953" i="1"/>
  <c r="F1953" i="1"/>
  <c r="E1954" i="1"/>
  <c r="F1954" i="1"/>
  <c r="E1955" i="1"/>
  <c r="F1955" i="1"/>
  <c r="E1956" i="1"/>
  <c r="F1956" i="1"/>
  <c r="E1957" i="1"/>
  <c r="F1957" i="1"/>
  <c r="E1958" i="1"/>
  <c r="F1958" i="1"/>
  <c r="E1959" i="1"/>
  <c r="F1959" i="1"/>
  <c r="E1960" i="1"/>
  <c r="F1960" i="1"/>
  <c r="E1961" i="1"/>
  <c r="F1961" i="1"/>
  <c r="E1962" i="1"/>
  <c r="F1962" i="1"/>
  <c r="E1963" i="1"/>
  <c r="F1963" i="1"/>
  <c r="E1964" i="1"/>
  <c r="F1964" i="1"/>
  <c r="E1965" i="1"/>
  <c r="F1965" i="1"/>
  <c r="E1966" i="1"/>
  <c r="F1966" i="1"/>
  <c r="E1967" i="1"/>
  <c r="F1967" i="1"/>
  <c r="E1968" i="1"/>
  <c r="F1968" i="1"/>
  <c r="E1969" i="1"/>
  <c r="F1969" i="1"/>
  <c r="E1970" i="1"/>
  <c r="F1970" i="1"/>
  <c r="E1971" i="1"/>
  <c r="F1971" i="1"/>
  <c r="E1972" i="1"/>
  <c r="F1972" i="1"/>
  <c r="E1973" i="1"/>
  <c r="F1973" i="1"/>
  <c r="E1974" i="1"/>
  <c r="F1974" i="1"/>
  <c r="E1975" i="1"/>
  <c r="F1975" i="1"/>
  <c r="E1976" i="1"/>
  <c r="F1976" i="1"/>
  <c r="E1977" i="1"/>
  <c r="F1977" i="1"/>
  <c r="E1978" i="1"/>
  <c r="F1978" i="1"/>
  <c r="E1979" i="1"/>
  <c r="F1979" i="1"/>
  <c r="E1980" i="1"/>
  <c r="F1980" i="1"/>
  <c r="E1981" i="1"/>
  <c r="F1981" i="1"/>
  <c r="E1982" i="1"/>
  <c r="F1982" i="1"/>
  <c r="E1983" i="1"/>
  <c r="F1983" i="1"/>
  <c r="E1984" i="1"/>
  <c r="F1984" i="1"/>
  <c r="E1985" i="1"/>
  <c r="F1985" i="1"/>
  <c r="E1986" i="1"/>
  <c r="F1986" i="1"/>
  <c r="E1987" i="1"/>
  <c r="F1987" i="1"/>
  <c r="E1988" i="1"/>
  <c r="F1988" i="1"/>
  <c r="E1989" i="1"/>
  <c r="F1989" i="1"/>
  <c r="E1990" i="1"/>
  <c r="F1990" i="1"/>
  <c r="E1991" i="1"/>
  <c r="F1991" i="1"/>
  <c r="E1992" i="1"/>
  <c r="F1992" i="1"/>
  <c r="E1993" i="1"/>
  <c r="F1993" i="1"/>
  <c r="E1994" i="1"/>
  <c r="F1994" i="1"/>
  <c r="E1995" i="1"/>
  <c r="F1995" i="1"/>
  <c r="E1996" i="1"/>
  <c r="F1996" i="1"/>
  <c r="E1997" i="1"/>
  <c r="F1997" i="1"/>
  <c r="E1998" i="1"/>
  <c r="F1998" i="1"/>
  <c r="E1999" i="1"/>
  <c r="F1999" i="1"/>
  <c r="E2000" i="1"/>
  <c r="F2000" i="1"/>
  <c r="E2001" i="1"/>
  <c r="F2001" i="1"/>
  <c r="E2002" i="1"/>
  <c r="F2002" i="1"/>
  <c r="E2003" i="1"/>
  <c r="F2003" i="1"/>
  <c r="E2004" i="1"/>
  <c r="F2004" i="1"/>
  <c r="E2005" i="1"/>
  <c r="F2005" i="1"/>
  <c r="E2006" i="1"/>
  <c r="F2006" i="1"/>
  <c r="E2007" i="1"/>
  <c r="F2007" i="1"/>
  <c r="E2008" i="1"/>
  <c r="F2008" i="1"/>
  <c r="E2009" i="1"/>
  <c r="F2009" i="1"/>
  <c r="E2010" i="1"/>
  <c r="F2010" i="1"/>
  <c r="E2011" i="1"/>
  <c r="F2011" i="1"/>
  <c r="E2012" i="1"/>
  <c r="F2012" i="1"/>
  <c r="E2013" i="1"/>
  <c r="F2013" i="1"/>
  <c r="E2014" i="1"/>
  <c r="F2014" i="1"/>
  <c r="E2015" i="1"/>
  <c r="F2015" i="1"/>
  <c r="E2016" i="1"/>
  <c r="F2016" i="1"/>
  <c r="E2017" i="1"/>
  <c r="F2017" i="1"/>
  <c r="E2018" i="1"/>
  <c r="F2018" i="1"/>
  <c r="E2019" i="1"/>
  <c r="F2019" i="1"/>
  <c r="E2020" i="1"/>
  <c r="F2020" i="1"/>
  <c r="E2021" i="1"/>
  <c r="F2021" i="1"/>
  <c r="E2022" i="1"/>
  <c r="F2022" i="1"/>
  <c r="E2023" i="1"/>
  <c r="F2023" i="1"/>
  <c r="E2024" i="1"/>
  <c r="F2024" i="1"/>
  <c r="E2025" i="1"/>
  <c r="F2025" i="1"/>
  <c r="E2026" i="1"/>
  <c r="F2026" i="1"/>
  <c r="E2027" i="1"/>
  <c r="F2027" i="1"/>
  <c r="E2028" i="1"/>
  <c r="F2028" i="1"/>
  <c r="E2029" i="1"/>
  <c r="F2029" i="1"/>
  <c r="E2030" i="1"/>
  <c r="F2030" i="1"/>
  <c r="E2031" i="1"/>
  <c r="F2031" i="1"/>
  <c r="E2032" i="1"/>
  <c r="F2032" i="1"/>
  <c r="E2033" i="1"/>
  <c r="F2033" i="1"/>
  <c r="E2034" i="1"/>
  <c r="F2034" i="1"/>
  <c r="E2035" i="1"/>
  <c r="F2035" i="1"/>
  <c r="E2036" i="1"/>
  <c r="F2036" i="1"/>
  <c r="E2037" i="1"/>
  <c r="F2037" i="1"/>
  <c r="E2038" i="1"/>
  <c r="F2038" i="1"/>
  <c r="E2039" i="1"/>
  <c r="F2039" i="1"/>
  <c r="E2040" i="1"/>
  <c r="F2040" i="1"/>
  <c r="E2041" i="1"/>
  <c r="F2041" i="1"/>
  <c r="E2042" i="1"/>
  <c r="F2042" i="1"/>
  <c r="E2043" i="1"/>
  <c r="F2043" i="1"/>
  <c r="E2044" i="1"/>
  <c r="F2044" i="1"/>
  <c r="E2045" i="1"/>
  <c r="F2045" i="1"/>
  <c r="E2046" i="1"/>
  <c r="F2046" i="1"/>
  <c r="E2047" i="1"/>
  <c r="F2047" i="1"/>
  <c r="E2048" i="1"/>
  <c r="F2048" i="1"/>
  <c r="E2049" i="1"/>
  <c r="F2049" i="1"/>
  <c r="E2050" i="1"/>
  <c r="F2050" i="1"/>
  <c r="E2051" i="1"/>
  <c r="F2051" i="1"/>
  <c r="E2052" i="1"/>
  <c r="F2052" i="1"/>
  <c r="E2053" i="1"/>
  <c r="F2053" i="1"/>
  <c r="E2054" i="1"/>
  <c r="F2054" i="1"/>
  <c r="E2055" i="1"/>
  <c r="F2055" i="1"/>
  <c r="E2056" i="1"/>
  <c r="F2056" i="1"/>
  <c r="E2057" i="1"/>
  <c r="F2057" i="1"/>
  <c r="E2058" i="1"/>
  <c r="F2058" i="1"/>
  <c r="E2059" i="1"/>
  <c r="F2059" i="1"/>
  <c r="E2060" i="1"/>
  <c r="F2060" i="1"/>
  <c r="E2061" i="1"/>
  <c r="F2061" i="1"/>
  <c r="E2062" i="1"/>
  <c r="F2062" i="1"/>
  <c r="E2063" i="1"/>
  <c r="F2063" i="1"/>
  <c r="E2064" i="1"/>
  <c r="F2064" i="1"/>
  <c r="E2065" i="1"/>
  <c r="F2065" i="1"/>
  <c r="E2066" i="1"/>
  <c r="F2066" i="1"/>
  <c r="E2067" i="1"/>
  <c r="F2067" i="1"/>
  <c r="E2068" i="1"/>
  <c r="F2068" i="1"/>
  <c r="E2069" i="1"/>
  <c r="F2069" i="1"/>
  <c r="E2070" i="1"/>
  <c r="F2070" i="1"/>
  <c r="E2071" i="1"/>
  <c r="F2071" i="1"/>
  <c r="E2072" i="1"/>
  <c r="F2072" i="1"/>
  <c r="E2073" i="1"/>
  <c r="F2073" i="1"/>
  <c r="E2074" i="1"/>
  <c r="F2074" i="1"/>
  <c r="E2075" i="1"/>
  <c r="F2075" i="1"/>
  <c r="E2076" i="1"/>
  <c r="F2076" i="1"/>
  <c r="E2077" i="1"/>
  <c r="F2077" i="1"/>
  <c r="E2078" i="1"/>
  <c r="F2078" i="1"/>
  <c r="E2079" i="1"/>
  <c r="F2079" i="1"/>
  <c r="E2080" i="1"/>
  <c r="F2080" i="1"/>
  <c r="E2081" i="1"/>
  <c r="F2081" i="1"/>
  <c r="E2082" i="1"/>
  <c r="F2082" i="1"/>
  <c r="E2083" i="1"/>
  <c r="F2083" i="1"/>
  <c r="E2084" i="1"/>
  <c r="F2084" i="1"/>
  <c r="E2085" i="1"/>
  <c r="F2085" i="1"/>
  <c r="E2086" i="1"/>
  <c r="F2086" i="1"/>
  <c r="E2087" i="1"/>
  <c r="F2087" i="1"/>
  <c r="E2088" i="1"/>
  <c r="F2088" i="1"/>
  <c r="E2089" i="1"/>
  <c r="F2089" i="1"/>
  <c r="E2090" i="1"/>
  <c r="F2090" i="1"/>
  <c r="E2091" i="1"/>
  <c r="F2091" i="1"/>
  <c r="E2092" i="1"/>
  <c r="F2092" i="1"/>
  <c r="E2093" i="1"/>
  <c r="F2093" i="1"/>
  <c r="E2094" i="1"/>
  <c r="F2094" i="1"/>
  <c r="E2095" i="1"/>
  <c r="F2095" i="1"/>
  <c r="E2096" i="1"/>
  <c r="F2096" i="1"/>
  <c r="E2097" i="1"/>
  <c r="F2097" i="1"/>
  <c r="E2098" i="1"/>
  <c r="F2098" i="1"/>
  <c r="E2099" i="1"/>
  <c r="F2099" i="1"/>
  <c r="E2100" i="1"/>
  <c r="F2100" i="1"/>
  <c r="E2101" i="1"/>
  <c r="F2101" i="1"/>
  <c r="E2102" i="1"/>
  <c r="F2102" i="1"/>
  <c r="E2103" i="1"/>
  <c r="F2103" i="1"/>
  <c r="E2104" i="1"/>
  <c r="F2104" i="1"/>
  <c r="E2105" i="1"/>
  <c r="F2105" i="1"/>
  <c r="E2106" i="1"/>
  <c r="F2106" i="1"/>
  <c r="E2107" i="1"/>
  <c r="F2107" i="1"/>
  <c r="E2108" i="1"/>
  <c r="F2108" i="1"/>
  <c r="E2109" i="1"/>
  <c r="F2109" i="1"/>
  <c r="E2110" i="1"/>
  <c r="F2110" i="1"/>
  <c r="E2111" i="1"/>
  <c r="F2111" i="1"/>
  <c r="E2112" i="1"/>
  <c r="F2112" i="1"/>
  <c r="E2113" i="1"/>
  <c r="F2113" i="1"/>
  <c r="E2114" i="1"/>
  <c r="F2114" i="1"/>
  <c r="E2115" i="1"/>
  <c r="F2115" i="1"/>
  <c r="E2116" i="1"/>
  <c r="F2116" i="1"/>
  <c r="E2117" i="1"/>
  <c r="F2117" i="1"/>
  <c r="E2118" i="1"/>
  <c r="F2118" i="1"/>
  <c r="E2119" i="1"/>
  <c r="F2119" i="1"/>
  <c r="E2120" i="1"/>
  <c r="F2120" i="1"/>
  <c r="E2121" i="1"/>
  <c r="F2121" i="1"/>
  <c r="E2122" i="1"/>
  <c r="F2122" i="1"/>
  <c r="E2123" i="1"/>
  <c r="F2123" i="1"/>
  <c r="E2124" i="1"/>
  <c r="F2124" i="1"/>
  <c r="E2125" i="1"/>
  <c r="F2125" i="1"/>
  <c r="E2126" i="1"/>
  <c r="F2126" i="1"/>
  <c r="E2127" i="1"/>
  <c r="F2127" i="1"/>
  <c r="E2128" i="1"/>
  <c r="F2128" i="1"/>
  <c r="E2129" i="1"/>
  <c r="F2129" i="1"/>
  <c r="E2130" i="1"/>
  <c r="F2130" i="1"/>
  <c r="E2131" i="1"/>
  <c r="F2131" i="1"/>
  <c r="E2132" i="1"/>
  <c r="F2132" i="1"/>
  <c r="B26" i="3"/>
  <c r="B27" i="3"/>
  <c r="B28" i="3"/>
  <c r="B29" i="3"/>
  <c r="B30" i="3"/>
  <c r="B31" i="3"/>
  <c r="B7" i="3" l="1"/>
  <c r="B8" i="3"/>
  <c r="B9" i="3"/>
  <c r="B10" i="3"/>
  <c r="B11" i="3"/>
  <c r="B12" i="3"/>
  <c r="B13" i="3"/>
  <c r="B14" i="3"/>
  <c r="B15" i="3"/>
  <c r="B16" i="3"/>
  <c r="B17" i="3"/>
  <c r="B18" i="3"/>
  <c r="B19" i="3"/>
  <c r="B20" i="3"/>
  <c r="B21" i="3"/>
  <c r="B22" i="3"/>
  <c r="B23" i="3"/>
  <c r="B24" i="3"/>
  <c r="B25" i="3"/>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4" i="1"/>
  <c r="F15" i="1"/>
  <c r="F16" i="1"/>
  <c r="F17" i="1"/>
  <c r="F18" i="1"/>
  <c r="F19" i="1"/>
  <c r="F20" i="1"/>
  <c r="F21" i="1"/>
  <c r="F22" i="1"/>
  <c r="F23" i="1"/>
  <c r="F24" i="1"/>
  <c r="F25" i="1"/>
  <c r="F26" i="1"/>
  <c r="F27" i="1"/>
  <c r="F28" i="1"/>
  <c r="F12" i="1"/>
  <c r="F208" i="1"/>
  <c r="F209" i="1"/>
  <c r="F210" i="1"/>
  <c r="F181" i="1"/>
  <c r="F211" i="1"/>
  <c r="F212" i="1"/>
  <c r="F213" i="1"/>
  <c r="F13" i="1"/>
  <c r="F214" i="1"/>
  <c r="F215" i="1"/>
  <c r="F216" i="1"/>
  <c r="F217" i="1"/>
  <c r="F218" i="1"/>
  <c r="F219" i="1"/>
  <c r="F220" i="1"/>
  <c r="F221" i="1"/>
  <c r="F222" i="1"/>
  <c r="F223" i="1"/>
  <c r="F224" i="1"/>
  <c r="F225" i="1"/>
  <c r="F226" i="1"/>
  <c r="F9" i="1" l="1"/>
  <c r="F201" i="1"/>
  <c r="F178" i="1"/>
  <c r="F10" i="1"/>
  <c r="F202" i="1"/>
  <c r="F203" i="1"/>
  <c r="F11" i="1"/>
  <c r="F179" i="1"/>
  <c r="F204" i="1"/>
  <c r="F205" i="1"/>
  <c r="F206" i="1"/>
  <c r="F207" i="1"/>
  <c r="F180" i="1"/>
  <c r="F8" i="1"/>
  <c r="F196" i="1"/>
  <c r="F197" i="1"/>
  <c r="F198" i="1"/>
  <c r="F199" i="1"/>
  <c r="F200" i="1"/>
  <c r="B5" i="3"/>
  <c r="B6" i="3"/>
  <c r="B3" i="3"/>
  <c r="E198" i="1" s="1"/>
  <c r="B4" i="3"/>
  <c r="E203" i="1" s="1"/>
  <c r="B2" i="3"/>
  <c r="E197" i="1" s="1"/>
  <c r="E204" i="1" l="1"/>
  <c r="E184" i="1"/>
  <c r="E182" i="1"/>
  <c r="E185" i="1"/>
  <c r="E183" i="1"/>
  <c r="E123" i="1"/>
  <c r="E169" i="1"/>
  <c r="E137" i="1"/>
  <c r="E174" i="1"/>
  <c r="E145" i="1"/>
  <c r="E221" i="1"/>
  <c r="E51" i="1"/>
  <c r="E148" i="1"/>
  <c r="E168" i="1"/>
  <c r="E159" i="1"/>
  <c r="E161" i="1"/>
  <c r="E166" i="1"/>
  <c r="E15" i="1"/>
  <c r="E6" i="1"/>
  <c r="E190" i="1"/>
  <c r="E189" i="1"/>
  <c r="E10" i="1"/>
  <c r="E201" i="1"/>
  <c r="E4" i="1"/>
  <c r="E180" i="1"/>
  <c r="E9" i="1"/>
  <c r="E188" i="1"/>
  <c r="E196" i="1"/>
  <c r="E207" i="1"/>
  <c r="E178" i="1"/>
  <c r="E186" i="1"/>
  <c r="E3" i="1"/>
  <c r="E205" i="1"/>
  <c r="E202" i="1"/>
  <c r="E199" i="1"/>
  <c r="E5" i="1"/>
  <c r="E187" i="1"/>
  <c r="E194" i="1"/>
  <c r="E177" i="1"/>
  <c r="E37" i="1"/>
  <c r="E49" i="1"/>
  <c r="E61" i="1"/>
  <c r="E73" i="1"/>
  <c r="E85" i="1"/>
  <c r="E97" i="1"/>
  <c r="E109" i="1"/>
  <c r="E121" i="1"/>
  <c r="E133" i="1"/>
  <c r="E157" i="1"/>
  <c r="E20" i="1"/>
  <c r="E208" i="1"/>
  <c r="E218" i="1"/>
  <c r="E65" i="1"/>
  <c r="E89" i="1"/>
  <c r="E224" i="1"/>
  <c r="E92" i="1"/>
  <c r="E164" i="1"/>
  <c r="E69" i="1"/>
  <c r="E141" i="1"/>
  <c r="E106" i="1"/>
  <c r="E83" i="1"/>
  <c r="E155" i="1"/>
  <c r="E108" i="1"/>
  <c r="E217" i="1"/>
  <c r="E38" i="1"/>
  <c r="E50" i="1"/>
  <c r="E62" i="1"/>
  <c r="E74" i="1"/>
  <c r="E86" i="1"/>
  <c r="E98" i="1"/>
  <c r="E110" i="1"/>
  <c r="E122" i="1"/>
  <c r="E134" i="1"/>
  <c r="E146" i="1"/>
  <c r="E158" i="1"/>
  <c r="E170" i="1"/>
  <c r="E23" i="1"/>
  <c r="E209" i="1"/>
  <c r="E219" i="1"/>
  <c r="E29" i="1"/>
  <c r="E77" i="1"/>
  <c r="E125" i="1"/>
  <c r="E211" i="1"/>
  <c r="E14" i="1"/>
  <c r="E56" i="1"/>
  <c r="E104" i="1"/>
  <c r="E152" i="1"/>
  <c r="E225" i="1"/>
  <c r="E57" i="1"/>
  <c r="E93" i="1"/>
  <c r="E153" i="1"/>
  <c r="E214" i="1"/>
  <c r="E46" i="1"/>
  <c r="E94" i="1"/>
  <c r="E154" i="1"/>
  <c r="E35" i="1"/>
  <c r="E71" i="1"/>
  <c r="E119" i="1"/>
  <c r="E48" i="1"/>
  <c r="E96" i="1"/>
  <c r="E156" i="1"/>
  <c r="E39" i="1"/>
  <c r="E63" i="1"/>
  <c r="E75" i="1"/>
  <c r="E87" i="1"/>
  <c r="E99" i="1"/>
  <c r="E111" i="1"/>
  <c r="E135" i="1"/>
  <c r="E147" i="1"/>
  <c r="E171" i="1"/>
  <c r="E24" i="1"/>
  <c r="E210" i="1"/>
  <c r="E220" i="1"/>
  <c r="E41" i="1"/>
  <c r="E101" i="1"/>
  <c r="E149" i="1"/>
  <c r="E222" i="1"/>
  <c r="E175" i="1"/>
  <c r="E44" i="1"/>
  <c r="E116" i="1"/>
  <c r="E176" i="1"/>
  <c r="E45" i="1"/>
  <c r="E117" i="1"/>
  <c r="E21" i="1"/>
  <c r="E226" i="1"/>
  <c r="E58" i="1"/>
  <c r="E118" i="1"/>
  <c r="E59" i="1"/>
  <c r="E131" i="1"/>
  <c r="E60" i="1"/>
  <c r="E132" i="1"/>
  <c r="E19" i="1"/>
  <c r="E40" i="1"/>
  <c r="E52" i="1"/>
  <c r="E64" i="1"/>
  <c r="E76" i="1"/>
  <c r="E88" i="1"/>
  <c r="E100" i="1"/>
  <c r="E112" i="1"/>
  <c r="E124" i="1"/>
  <c r="E136" i="1"/>
  <c r="E160" i="1"/>
  <c r="E172" i="1"/>
  <c r="E25" i="1"/>
  <c r="E181" i="1"/>
  <c r="E53" i="1"/>
  <c r="E113" i="1"/>
  <c r="E173" i="1"/>
  <c r="E26" i="1"/>
  <c r="E68" i="1"/>
  <c r="E128" i="1"/>
  <c r="E105" i="1"/>
  <c r="E165" i="1"/>
  <c r="E70" i="1"/>
  <c r="E142" i="1"/>
  <c r="E215" i="1"/>
  <c r="E107" i="1"/>
  <c r="E167" i="1"/>
  <c r="E84" i="1"/>
  <c r="E144" i="1"/>
  <c r="E30" i="1"/>
  <c r="E42" i="1"/>
  <c r="E54" i="1"/>
  <c r="E66" i="1"/>
  <c r="E78" i="1"/>
  <c r="E90" i="1"/>
  <c r="E102" i="1"/>
  <c r="E114" i="1"/>
  <c r="E126" i="1"/>
  <c r="E138" i="1"/>
  <c r="E150" i="1"/>
  <c r="E162" i="1"/>
  <c r="E27" i="1"/>
  <c r="E212" i="1"/>
  <c r="E223" i="1"/>
  <c r="E31" i="1"/>
  <c r="E43" i="1"/>
  <c r="E55" i="1"/>
  <c r="E67" i="1"/>
  <c r="E79" i="1"/>
  <c r="E91" i="1"/>
  <c r="E103" i="1"/>
  <c r="E115" i="1"/>
  <c r="E127" i="1"/>
  <c r="E139" i="1"/>
  <c r="E151" i="1"/>
  <c r="E163" i="1"/>
  <c r="E28" i="1"/>
  <c r="E213" i="1"/>
  <c r="E32" i="1"/>
  <c r="E80" i="1"/>
  <c r="E140" i="1"/>
  <c r="E22" i="1"/>
  <c r="E13" i="1"/>
  <c r="E33" i="1"/>
  <c r="E81" i="1"/>
  <c r="E129" i="1"/>
  <c r="E16" i="1"/>
  <c r="E34" i="1"/>
  <c r="E82" i="1"/>
  <c r="E130" i="1"/>
  <c r="E17" i="1"/>
  <c r="E47" i="1"/>
  <c r="E95" i="1"/>
  <c r="E143" i="1"/>
  <c r="E18" i="1"/>
  <c r="E216" i="1"/>
  <c r="E36" i="1"/>
  <c r="E72" i="1"/>
  <c r="E120" i="1"/>
  <c r="E12" i="1"/>
  <c r="E206" i="1"/>
  <c r="E193" i="1"/>
  <c r="E192" i="1"/>
  <c r="E195" i="1"/>
  <c r="E179" i="1"/>
  <c r="E200" i="1"/>
  <c r="E8" i="1"/>
  <c r="E191" i="1"/>
  <c r="E7" i="1"/>
  <c r="E11" i="1"/>
  <c r="E2" i="1"/>
  <c r="F195" i="1" l="1"/>
  <c r="F7" i="1"/>
  <c r="F194" i="1"/>
  <c r="F193" i="1"/>
  <c r="F192" i="1"/>
  <c r="F191" i="1"/>
  <c r="F6" i="1"/>
  <c r="F190" i="1"/>
  <c r="F189" i="1"/>
  <c r="F177" i="1"/>
  <c r="F5" i="1"/>
  <c r="F4" i="1"/>
  <c r="F188" i="1"/>
  <c r="F187" i="1"/>
  <c r="F3" i="1"/>
  <c r="F2" i="1"/>
  <c r="F186" i="1"/>
  <c r="C374" i="1" l="1"/>
  <c r="D374" i="1" s="1"/>
  <c r="C410" i="1"/>
  <c r="D410" i="1" s="1"/>
  <c r="C440" i="1"/>
  <c r="D440" i="1" s="1"/>
  <c r="C492" i="1"/>
  <c r="D492" i="1" s="1"/>
  <c r="C498" i="1"/>
  <c r="D498" i="1" s="1"/>
  <c r="C504" i="1"/>
  <c r="D504" i="1" s="1"/>
  <c r="C516" i="1"/>
  <c r="D516" i="1" s="1"/>
  <c r="C532" i="1"/>
  <c r="D532" i="1" s="1"/>
  <c r="C556" i="1"/>
  <c r="D556" i="1" s="1"/>
  <c r="C586" i="1"/>
  <c r="D586" i="1" s="1"/>
  <c r="C608" i="1"/>
  <c r="D608" i="1" s="1"/>
  <c r="C616" i="1"/>
  <c r="D616" i="1" s="1"/>
  <c r="C646" i="1"/>
  <c r="D646" i="1" s="1"/>
  <c r="C654" i="1"/>
  <c r="D654" i="1" s="1"/>
  <c r="C662" i="1"/>
  <c r="D662" i="1" s="1"/>
  <c r="C668" i="1"/>
  <c r="D668" i="1" s="1"/>
  <c r="C673" i="1"/>
  <c r="D673" i="1" s="1"/>
  <c r="C681" i="1"/>
  <c r="D681" i="1" s="1"/>
  <c r="C689" i="1"/>
  <c r="D689" i="1" s="1"/>
  <c r="C697" i="1"/>
  <c r="D697" i="1" s="1"/>
  <c r="C705" i="1"/>
  <c r="D705" i="1" s="1"/>
  <c r="C708" i="1"/>
  <c r="D708" i="1" s="1"/>
  <c r="C728" i="1"/>
  <c r="D728" i="1" s="1"/>
  <c r="C734" i="1"/>
  <c r="D734" i="1" s="1"/>
  <c r="C740" i="1"/>
  <c r="D740" i="1" s="1"/>
  <c r="C760" i="1"/>
  <c r="D760" i="1" s="1"/>
  <c r="C766" i="1"/>
  <c r="D766" i="1" s="1"/>
  <c r="C772" i="1"/>
  <c r="D772" i="1" s="1"/>
  <c r="C792" i="1"/>
  <c r="D792" i="1" s="1"/>
  <c r="C798" i="1"/>
  <c r="D798" i="1" s="1"/>
  <c r="C804" i="1"/>
  <c r="D804" i="1" s="1"/>
  <c r="C836" i="1"/>
  <c r="D836" i="1" s="1"/>
  <c r="C842" i="1"/>
  <c r="D842" i="1" s="1"/>
  <c r="C849" i="1"/>
  <c r="D849" i="1" s="1"/>
  <c r="C860" i="1"/>
  <c r="D860" i="1" s="1"/>
  <c r="C378" i="1"/>
  <c r="D378" i="1" s="1"/>
  <c r="C424" i="1"/>
  <c r="D424" i="1" s="1"/>
  <c r="C456" i="1"/>
  <c r="D456" i="1" s="1"/>
  <c r="C468" i="1"/>
  <c r="D468" i="1" s="1"/>
  <c r="C496" i="1"/>
  <c r="D496" i="1" s="1"/>
  <c r="C564" i="1"/>
  <c r="D564" i="1" s="1"/>
  <c r="C570" i="1"/>
  <c r="D570" i="1" s="1"/>
  <c r="C592" i="1"/>
  <c r="D592" i="1" s="1"/>
  <c r="C600" i="1"/>
  <c r="D600" i="1" s="1"/>
  <c r="C614" i="1"/>
  <c r="D614" i="1" s="1"/>
  <c r="C620" i="1"/>
  <c r="D620" i="1" s="1"/>
  <c r="C636" i="1"/>
  <c r="D636" i="1" s="1"/>
  <c r="C660" i="1"/>
  <c r="D660" i="1" s="1"/>
  <c r="C679" i="1"/>
  <c r="D679" i="1" s="1"/>
  <c r="C687" i="1"/>
  <c r="D687" i="1" s="1"/>
  <c r="C695" i="1"/>
  <c r="D695" i="1" s="1"/>
  <c r="C703" i="1"/>
  <c r="D703" i="1" s="1"/>
  <c r="C720" i="1"/>
  <c r="D720" i="1" s="1"/>
  <c r="C726" i="1"/>
  <c r="D726" i="1" s="1"/>
  <c r="C732" i="1"/>
  <c r="D732" i="1" s="1"/>
  <c r="C752" i="1"/>
  <c r="D752" i="1" s="1"/>
  <c r="C758" i="1"/>
  <c r="D758" i="1" s="1"/>
  <c r="C764" i="1"/>
  <c r="D764" i="1" s="1"/>
  <c r="C784" i="1"/>
  <c r="D784" i="1" s="1"/>
  <c r="C790" i="1"/>
  <c r="D790" i="1" s="1"/>
  <c r="C796" i="1"/>
  <c r="D796" i="1" s="1"/>
  <c r="C819" i="1"/>
  <c r="D819" i="1" s="1"/>
  <c r="C829" i="1"/>
  <c r="D829" i="1" s="1"/>
  <c r="C834" i="1"/>
  <c r="D834" i="1" s="1"/>
  <c r="C868" i="1"/>
  <c r="D868" i="1" s="1"/>
  <c r="C874" i="1"/>
  <c r="D874" i="1" s="1"/>
  <c r="C881" i="1"/>
  <c r="D881" i="1" s="1"/>
  <c r="C408" i="1"/>
  <c r="D408" i="1" s="1"/>
  <c r="C434" i="1"/>
  <c r="D434" i="1" s="1"/>
  <c r="C450" i="1"/>
  <c r="D450" i="1" s="1"/>
  <c r="C466" i="1"/>
  <c r="D466" i="1" s="1"/>
  <c r="C472" i="1"/>
  <c r="D472" i="1" s="1"/>
  <c r="C484" i="1"/>
  <c r="D484" i="1" s="1"/>
  <c r="C512" i="1"/>
  <c r="D512" i="1" s="1"/>
  <c r="C546" i="1"/>
  <c r="D546" i="1" s="1"/>
  <c r="C554" i="1"/>
  <c r="D554" i="1" s="1"/>
  <c r="C584" i="1"/>
  <c r="D584" i="1" s="1"/>
  <c r="C606" i="1"/>
  <c r="D606" i="1" s="1"/>
  <c r="C628" i="1"/>
  <c r="D628" i="1" s="1"/>
  <c r="C376" i="1"/>
  <c r="D376" i="1" s="1"/>
  <c r="C418" i="1"/>
  <c r="D418" i="1" s="1"/>
  <c r="C530" i="1"/>
  <c r="D530" i="1" s="1"/>
  <c r="C580" i="1"/>
  <c r="D580" i="1" s="1"/>
  <c r="C624" i="1"/>
  <c r="D624" i="1" s="1"/>
  <c r="C642" i="1"/>
  <c r="D642" i="1" s="1"/>
  <c r="C666" i="1"/>
  <c r="D666" i="1" s="1"/>
  <c r="C672" i="1"/>
  <c r="D672" i="1" s="1"/>
  <c r="C675" i="1"/>
  <c r="D675" i="1" s="1"/>
  <c r="C701" i="1"/>
  <c r="D701" i="1" s="1"/>
  <c r="C704" i="1"/>
  <c r="D704" i="1" s="1"/>
  <c r="C719" i="1"/>
  <c r="D719" i="1" s="1"/>
  <c r="C773" i="1"/>
  <c r="D773" i="1" s="1"/>
  <c r="C788" i="1"/>
  <c r="D788" i="1" s="1"/>
  <c r="C791" i="1"/>
  <c r="D791" i="1" s="1"/>
  <c r="C807" i="1"/>
  <c r="D807" i="1" s="1"/>
  <c r="C810" i="1"/>
  <c r="D810" i="1" s="1"/>
  <c r="C813" i="1"/>
  <c r="D813" i="1" s="1"/>
  <c r="C816" i="1"/>
  <c r="D816" i="1" s="1"/>
  <c r="C827" i="1"/>
  <c r="D827" i="1" s="1"/>
  <c r="C835" i="1"/>
  <c r="D835" i="1" s="1"/>
  <c r="C838" i="1"/>
  <c r="D838" i="1" s="1"/>
  <c r="C844" i="1"/>
  <c r="D844" i="1" s="1"/>
  <c r="C852" i="1"/>
  <c r="D852" i="1" s="1"/>
  <c r="C861" i="1"/>
  <c r="D861" i="1" s="1"/>
  <c r="C866" i="1"/>
  <c r="D866" i="1" s="1"/>
  <c r="C872" i="1"/>
  <c r="D872" i="1" s="1"/>
  <c r="C875" i="1"/>
  <c r="D875" i="1" s="1"/>
  <c r="C883" i="1"/>
  <c r="D883" i="1" s="1"/>
  <c r="C904" i="1"/>
  <c r="D904" i="1" s="1"/>
  <c r="C909" i="1"/>
  <c r="D909" i="1" s="1"/>
  <c r="C394" i="1"/>
  <c r="D394" i="1" s="1"/>
  <c r="C422" i="1"/>
  <c r="D422" i="1" s="1"/>
  <c r="C448" i="1"/>
  <c r="D448" i="1" s="1"/>
  <c r="C480" i="1"/>
  <c r="D480" i="1" s="1"/>
  <c r="C426" i="1"/>
  <c r="D426" i="1" s="1"/>
  <c r="C514" i="1"/>
  <c r="D514" i="1" s="1"/>
  <c r="C544" i="1"/>
  <c r="D544" i="1" s="1"/>
  <c r="C550" i="1"/>
  <c r="D550" i="1" s="1"/>
  <c r="C562" i="1"/>
  <c r="D562" i="1" s="1"/>
  <c r="C572" i="1"/>
  <c r="D572" i="1" s="1"/>
  <c r="C578" i="1"/>
  <c r="D578" i="1" s="1"/>
  <c r="C590" i="1"/>
  <c r="D590" i="1" s="1"/>
  <c r="C652" i="1"/>
  <c r="D652" i="1" s="1"/>
  <c r="C658" i="1"/>
  <c r="D658" i="1" s="1"/>
  <c r="C693" i="1"/>
  <c r="D693" i="1" s="1"/>
  <c r="C696" i="1"/>
  <c r="D696" i="1" s="1"/>
  <c r="C699" i="1"/>
  <c r="D699" i="1" s="1"/>
  <c r="C711" i="1"/>
  <c r="D711" i="1" s="1"/>
  <c r="C714" i="1"/>
  <c r="D714" i="1" s="1"/>
  <c r="C717" i="1"/>
  <c r="D717" i="1" s="1"/>
  <c r="C733" i="1"/>
  <c r="D733" i="1" s="1"/>
  <c r="C736" i="1"/>
  <c r="D736" i="1" s="1"/>
  <c r="C751" i="1"/>
  <c r="D751" i="1" s="1"/>
  <c r="C805" i="1"/>
  <c r="D805" i="1" s="1"/>
  <c r="C825" i="1"/>
  <c r="D825" i="1" s="1"/>
  <c r="C850" i="1"/>
  <c r="D850" i="1" s="1"/>
  <c r="C856" i="1"/>
  <c r="D856" i="1" s="1"/>
  <c r="C859" i="1"/>
  <c r="D859" i="1" s="1"/>
  <c r="C892" i="1"/>
  <c r="D892" i="1" s="1"/>
  <c r="C902" i="1"/>
  <c r="D902" i="1" s="1"/>
  <c r="C915" i="1"/>
  <c r="D915" i="1" s="1"/>
  <c r="C925" i="1"/>
  <c r="D925" i="1" s="1"/>
  <c r="C954" i="1"/>
  <c r="D954" i="1" s="1"/>
  <c r="C964" i="1"/>
  <c r="D964" i="1" s="1"/>
  <c r="C972" i="1"/>
  <c r="D972" i="1" s="1"/>
  <c r="C977" i="1"/>
  <c r="D977" i="1" s="1"/>
  <c r="C984" i="1"/>
  <c r="D984" i="1" s="1"/>
  <c r="C993" i="1"/>
  <c r="D993" i="1" s="1"/>
  <c r="C402" i="1"/>
  <c r="D402" i="1" s="1"/>
  <c r="C442" i="1"/>
  <c r="D442" i="1" s="1"/>
  <c r="C528" i="1"/>
  <c r="D528" i="1" s="1"/>
  <c r="C588" i="1"/>
  <c r="D588" i="1" s="1"/>
  <c r="C612" i="1"/>
  <c r="D612" i="1" s="1"/>
  <c r="C622" i="1"/>
  <c r="D622" i="1" s="1"/>
  <c r="C634" i="1"/>
  <c r="D634" i="1" s="1"/>
  <c r="C640" i="1"/>
  <c r="D640" i="1" s="1"/>
  <c r="C664" i="1"/>
  <c r="D664" i="1" s="1"/>
  <c r="C670" i="1"/>
  <c r="D670" i="1" s="1"/>
  <c r="C676" i="1"/>
  <c r="D676" i="1" s="1"/>
  <c r="C682" i="1"/>
  <c r="D682" i="1" s="1"/>
  <c r="C702" i="1"/>
  <c r="D702" i="1" s="1"/>
  <c r="C730" i="1"/>
  <c r="D730" i="1" s="1"/>
  <c r="C774" i="1"/>
  <c r="D774" i="1" s="1"/>
  <c r="C780" i="1"/>
  <c r="D780" i="1" s="1"/>
  <c r="C786" i="1"/>
  <c r="D786" i="1" s="1"/>
  <c r="C789" i="1"/>
  <c r="D789" i="1" s="1"/>
  <c r="C799" i="1"/>
  <c r="D799" i="1" s="1"/>
  <c r="C802" i="1"/>
  <c r="D802" i="1" s="1"/>
  <c r="C808" i="1"/>
  <c r="D808" i="1" s="1"/>
  <c r="C814" i="1"/>
  <c r="D814" i="1" s="1"/>
  <c r="C817" i="1"/>
  <c r="D817" i="1" s="1"/>
  <c r="C820" i="1"/>
  <c r="D820" i="1" s="1"/>
  <c r="C828" i="1"/>
  <c r="D828" i="1" s="1"/>
  <c r="C833" i="1"/>
  <c r="D833" i="1" s="1"/>
  <c r="C845" i="1"/>
  <c r="D845" i="1" s="1"/>
  <c r="C862" i="1"/>
  <c r="D862" i="1" s="1"/>
  <c r="C867" i="1"/>
  <c r="D867" i="1" s="1"/>
  <c r="C870" i="1"/>
  <c r="D870" i="1" s="1"/>
  <c r="C876" i="1"/>
  <c r="D876" i="1" s="1"/>
  <c r="C884" i="1"/>
  <c r="D884" i="1" s="1"/>
  <c r="C890" i="1"/>
  <c r="D890" i="1" s="1"/>
  <c r="C897" i="1"/>
  <c r="D897" i="1" s="1"/>
  <c r="C910" i="1"/>
  <c r="D910" i="1" s="1"/>
  <c r="C918" i="1"/>
  <c r="D918" i="1" s="1"/>
  <c r="C923" i="1"/>
  <c r="D923" i="1" s="1"/>
  <c r="C928" i="1"/>
  <c r="D928" i="1" s="1"/>
  <c r="C936" i="1"/>
  <c r="D936" i="1" s="1"/>
  <c r="C941" i="1"/>
  <c r="D941" i="1" s="1"/>
  <c r="C946" i="1"/>
  <c r="D946" i="1" s="1"/>
  <c r="C392" i="1"/>
  <c r="D392" i="1" s="1"/>
  <c r="C406" i="1"/>
  <c r="D406" i="1" s="1"/>
  <c r="C500" i="1"/>
  <c r="D500" i="1" s="1"/>
  <c r="C548" i="1"/>
  <c r="D548" i="1" s="1"/>
  <c r="C560" i="1"/>
  <c r="D560" i="1" s="1"/>
  <c r="C566" i="1"/>
  <c r="D566" i="1" s="1"/>
  <c r="C594" i="1"/>
  <c r="D594" i="1" s="1"/>
  <c r="C650" i="1"/>
  <c r="D650" i="1" s="1"/>
  <c r="C685" i="1"/>
  <c r="D685" i="1" s="1"/>
  <c r="C688" i="1"/>
  <c r="D688" i="1" s="1"/>
  <c r="C691" i="1"/>
  <c r="D691" i="1" s="1"/>
  <c r="C709" i="1"/>
  <c r="D709" i="1" s="1"/>
  <c r="C724" i="1"/>
  <c r="D724" i="1" s="1"/>
  <c r="C727" i="1"/>
  <c r="D727" i="1" s="1"/>
  <c r="C743" i="1"/>
  <c r="D743" i="1" s="1"/>
  <c r="C746" i="1"/>
  <c r="D746" i="1" s="1"/>
  <c r="C749" i="1"/>
  <c r="D749" i="1" s="1"/>
  <c r="C765" i="1"/>
  <c r="D765" i="1" s="1"/>
  <c r="C768" i="1"/>
  <c r="D768" i="1" s="1"/>
  <c r="C783" i="1"/>
  <c r="D783" i="1" s="1"/>
  <c r="C848" i="1"/>
  <c r="D848" i="1" s="1"/>
  <c r="C900" i="1"/>
  <c r="D900" i="1" s="1"/>
  <c r="C908" i="1"/>
  <c r="D908" i="1" s="1"/>
  <c r="C913" i="1"/>
  <c r="D913" i="1" s="1"/>
  <c r="C921" i="1"/>
  <c r="D921" i="1" s="1"/>
  <c r="C931" i="1"/>
  <c r="D931" i="1" s="1"/>
  <c r="C944" i="1"/>
  <c r="D944" i="1" s="1"/>
  <c r="C957" i="1"/>
  <c r="D957" i="1" s="1"/>
  <c r="C962" i="1"/>
  <c r="D962" i="1" s="1"/>
  <c r="C989" i="1"/>
  <c r="D989" i="1" s="1"/>
  <c r="C996" i="1"/>
  <c r="D996" i="1" s="1"/>
  <c r="C1001" i="1"/>
  <c r="D1001" i="1" s="1"/>
  <c r="C1006" i="1"/>
  <c r="D1006" i="1" s="1"/>
  <c r="C1028" i="1"/>
  <c r="D1028" i="1" s="1"/>
  <c r="C1035" i="1"/>
  <c r="D1035" i="1" s="1"/>
  <c r="C1045" i="1"/>
  <c r="D1045" i="1" s="1"/>
  <c r="C464" i="1"/>
  <c r="D464" i="1" s="1"/>
  <c r="C488" i="1"/>
  <c r="D488" i="1" s="1"/>
  <c r="C576" i="1"/>
  <c r="D576" i="1" s="1"/>
  <c r="C582" i="1"/>
  <c r="D582" i="1" s="1"/>
  <c r="C610" i="1"/>
  <c r="D610" i="1" s="1"/>
  <c r="C638" i="1"/>
  <c r="D638" i="1" s="1"/>
  <c r="C644" i="1"/>
  <c r="D644" i="1" s="1"/>
  <c r="C656" i="1"/>
  <c r="D656" i="1" s="1"/>
  <c r="C674" i="1"/>
  <c r="D674" i="1" s="1"/>
  <c r="C694" i="1"/>
  <c r="D694" i="1" s="1"/>
  <c r="C700" i="1"/>
  <c r="D700" i="1" s="1"/>
  <c r="C706" i="1"/>
  <c r="D706" i="1" s="1"/>
  <c r="C712" i="1"/>
  <c r="D712" i="1" s="1"/>
  <c r="C718" i="1"/>
  <c r="D718" i="1" s="1"/>
  <c r="C762" i="1"/>
  <c r="D762" i="1" s="1"/>
  <c r="C806" i="1"/>
  <c r="D806" i="1" s="1"/>
  <c r="C812" i="1"/>
  <c r="D812" i="1" s="1"/>
  <c r="C826" i="1"/>
  <c r="D826" i="1" s="1"/>
  <c r="C840" i="1"/>
  <c r="D840" i="1" s="1"/>
  <c r="C843" i="1"/>
  <c r="D843" i="1" s="1"/>
  <c r="C851" i="1"/>
  <c r="D851" i="1" s="1"/>
  <c r="C854" i="1"/>
  <c r="D854" i="1" s="1"/>
  <c r="C865" i="1"/>
  <c r="D865" i="1" s="1"/>
  <c r="C386" i="1"/>
  <c r="D386" i="1" s="1"/>
  <c r="C604" i="1"/>
  <c r="D604" i="1" s="1"/>
  <c r="C626" i="1"/>
  <c r="D626" i="1" s="1"/>
  <c r="C632" i="1"/>
  <c r="D632" i="1" s="1"/>
  <c r="C677" i="1"/>
  <c r="D677" i="1" s="1"/>
  <c r="C680" i="1"/>
  <c r="D680" i="1" s="1"/>
  <c r="C683" i="1"/>
  <c r="D683" i="1" s="1"/>
  <c r="C741" i="1"/>
  <c r="D741" i="1" s="1"/>
  <c r="C756" i="1"/>
  <c r="D756" i="1" s="1"/>
  <c r="C759" i="1"/>
  <c r="D759" i="1" s="1"/>
  <c r="C775" i="1"/>
  <c r="D775" i="1" s="1"/>
  <c r="C778" i="1"/>
  <c r="D778" i="1" s="1"/>
  <c r="C781" i="1"/>
  <c r="D781" i="1" s="1"/>
  <c r="C797" i="1"/>
  <c r="D797" i="1" s="1"/>
  <c r="C800" i="1"/>
  <c r="D800" i="1" s="1"/>
  <c r="C818" i="1"/>
  <c r="D818" i="1" s="1"/>
  <c r="C846" i="1"/>
  <c r="D846" i="1" s="1"/>
  <c r="C877" i="1"/>
  <c r="D877" i="1" s="1"/>
  <c r="C888" i="1"/>
  <c r="D888" i="1" s="1"/>
  <c r="C893" i="1"/>
  <c r="D893" i="1" s="1"/>
  <c r="C898" i="1"/>
  <c r="D898" i="1" s="1"/>
  <c r="C924" i="1"/>
  <c r="D924" i="1" s="1"/>
  <c r="C929" i="1"/>
  <c r="D929" i="1" s="1"/>
  <c r="C937" i="1"/>
  <c r="D937" i="1" s="1"/>
  <c r="C942" i="1"/>
  <c r="D942" i="1" s="1"/>
  <c r="C947" i="1"/>
  <c r="D947" i="1" s="1"/>
  <c r="C955" i="1"/>
  <c r="D955" i="1" s="1"/>
  <c r="C968" i="1"/>
  <c r="D968" i="1" s="1"/>
  <c r="C976" i="1"/>
  <c r="D976" i="1" s="1"/>
  <c r="C985" i="1"/>
  <c r="D985" i="1" s="1"/>
  <c r="C992" i="1"/>
  <c r="D992" i="1" s="1"/>
  <c r="C999" i="1"/>
  <c r="D999" i="1" s="1"/>
  <c r="C1004" i="1"/>
  <c r="D1004" i="1" s="1"/>
  <c r="C1009" i="1"/>
  <c r="D1009" i="1" s="1"/>
  <c r="C1014" i="1"/>
  <c r="D1014" i="1" s="1"/>
  <c r="C1024" i="1"/>
  <c r="D1024" i="1" s="1"/>
  <c r="C1031" i="1"/>
  <c r="D1031" i="1" s="1"/>
  <c r="C1043" i="1"/>
  <c r="D1043" i="1" s="1"/>
  <c r="C1048" i="1"/>
  <c r="D1048" i="1" s="1"/>
  <c r="C482" i="1"/>
  <c r="D482" i="1" s="1"/>
  <c r="C735" i="1"/>
  <c r="D735" i="1" s="1"/>
  <c r="C742" i="1"/>
  <c r="D742" i="1" s="1"/>
  <c r="C767" i="1"/>
  <c r="D767" i="1" s="1"/>
  <c r="C824" i="1"/>
  <c r="D824" i="1" s="1"/>
  <c r="C858" i="1"/>
  <c r="D858" i="1" s="1"/>
  <c r="C880" i="1"/>
  <c r="D880" i="1" s="1"/>
  <c r="C894" i="1"/>
  <c r="D894" i="1" s="1"/>
  <c r="C914" i="1"/>
  <c r="D914" i="1" s="1"/>
  <c r="C952" i="1"/>
  <c r="D952" i="1" s="1"/>
  <c r="C961" i="1"/>
  <c r="D961" i="1" s="1"/>
  <c r="C979" i="1"/>
  <c r="D979" i="1" s="1"/>
  <c r="C987" i="1"/>
  <c r="D987" i="1" s="1"/>
  <c r="C995" i="1"/>
  <c r="D995" i="1" s="1"/>
  <c r="C998" i="1"/>
  <c r="D998" i="1" s="1"/>
  <c r="C1017" i="1"/>
  <c r="D1017" i="1" s="1"/>
  <c r="C1025" i="1"/>
  <c r="D1025" i="1" s="1"/>
  <c r="C1033" i="1"/>
  <c r="D1033" i="1" s="1"/>
  <c r="C1041" i="1"/>
  <c r="D1041" i="1" s="1"/>
  <c r="C1049" i="1"/>
  <c r="D1049" i="1" s="1"/>
  <c r="C1059" i="1"/>
  <c r="D1059" i="1" s="1"/>
  <c r="C1064" i="1"/>
  <c r="D1064" i="1" s="1"/>
  <c r="C1069" i="1"/>
  <c r="D1069" i="1" s="1"/>
  <c r="C1074" i="1"/>
  <c r="D1074" i="1" s="1"/>
  <c r="C1081" i="1"/>
  <c r="D1081" i="1" s="1"/>
  <c r="C1091" i="1"/>
  <c r="D1091" i="1" s="1"/>
  <c r="C1096" i="1"/>
  <c r="D1096" i="1" s="1"/>
  <c r="C1101" i="1"/>
  <c r="D1101" i="1" s="1"/>
  <c r="C1106" i="1"/>
  <c r="D1106" i="1" s="1"/>
  <c r="C1113" i="1"/>
  <c r="D1113" i="1" s="1"/>
  <c r="C1123" i="1"/>
  <c r="D1123" i="1" s="1"/>
  <c r="C1128" i="1"/>
  <c r="D1128" i="1" s="1"/>
  <c r="C1133" i="1"/>
  <c r="D1133" i="1" s="1"/>
  <c r="C1138" i="1"/>
  <c r="D1138" i="1" s="1"/>
  <c r="C1145" i="1"/>
  <c r="D1145" i="1" s="1"/>
  <c r="C1155" i="1"/>
  <c r="D1155" i="1" s="1"/>
  <c r="C1160" i="1"/>
  <c r="D1160" i="1" s="1"/>
  <c r="C1165" i="1"/>
  <c r="D1165" i="1" s="1"/>
  <c r="C1170" i="1"/>
  <c r="D1170" i="1" s="1"/>
  <c r="C1175" i="1"/>
  <c r="D1175" i="1" s="1"/>
  <c r="C1203" i="1"/>
  <c r="D1203" i="1" s="1"/>
  <c r="C1208" i="1"/>
  <c r="D1208" i="1" s="1"/>
  <c r="C1213" i="1"/>
  <c r="D1213" i="1" s="1"/>
  <c r="C1216" i="1"/>
  <c r="D1216" i="1" s="1"/>
  <c r="C1226" i="1"/>
  <c r="D1226" i="1" s="1"/>
  <c r="C1237" i="1"/>
  <c r="D1237" i="1" s="1"/>
  <c r="C1250" i="1"/>
  <c r="D1250" i="1" s="1"/>
  <c r="C1257" i="1"/>
  <c r="D1257" i="1" s="1"/>
  <c r="C1260" i="1"/>
  <c r="D1260" i="1" s="1"/>
  <c r="C1268" i="1"/>
  <c r="D1268" i="1" s="1"/>
  <c r="C1276" i="1"/>
  <c r="D1276" i="1" s="1"/>
  <c r="C1284" i="1"/>
  <c r="D1284" i="1" s="1"/>
  <c r="C1289" i="1"/>
  <c r="D1289" i="1" s="1"/>
  <c r="C1292" i="1"/>
  <c r="D1292" i="1" s="1"/>
  <c r="C1300" i="1"/>
  <c r="D1300" i="1" s="1"/>
  <c r="C552" i="1"/>
  <c r="D552" i="1" s="1"/>
  <c r="C574" i="1"/>
  <c r="D574" i="1" s="1"/>
  <c r="C684" i="1"/>
  <c r="D684" i="1" s="1"/>
  <c r="C698" i="1"/>
  <c r="D698" i="1" s="1"/>
  <c r="C782" i="1"/>
  <c r="D782" i="1" s="1"/>
  <c r="C891" i="1"/>
  <c r="D891" i="1" s="1"/>
  <c r="C940" i="1"/>
  <c r="D940" i="1" s="1"/>
  <c r="C990" i="1"/>
  <c r="D990" i="1" s="1"/>
  <c r="C1007" i="1"/>
  <c r="D1007" i="1" s="1"/>
  <c r="C1012" i="1"/>
  <c r="D1012" i="1" s="1"/>
  <c r="C1020" i="1"/>
  <c r="D1020" i="1" s="1"/>
  <c r="C1036" i="1"/>
  <c r="D1036" i="1" s="1"/>
  <c r="C1044" i="1"/>
  <c r="D1044" i="1" s="1"/>
  <c r="C1052" i="1"/>
  <c r="D1052" i="1" s="1"/>
  <c r="C1057" i="1"/>
  <c r="D1057" i="1" s="1"/>
  <c r="C1062" i="1"/>
  <c r="D1062" i="1" s="1"/>
  <c r="C1072" i="1"/>
  <c r="D1072" i="1" s="1"/>
  <c r="C1079" i="1"/>
  <c r="D1079" i="1" s="1"/>
  <c r="C1084" i="1"/>
  <c r="D1084" i="1" s="1"/>
  <c r="C1089" i="1"/>
  <c r="D1089" i="1" s="1"/>
  <c r="C1094" i="1"/>
  <c r="D1094" i="1" s="1"/>
  <c r="C1104" i="1"/>
  <c r="D1104" i="1" s="1"/>
  <c r="C1111" i="1"/>
  <c r="D1111" i="1" s="1"/>
  <c r="C1116" i="1"/>
  <c r="D1116" i="1" s="1"/>
  <c r="C1121" i="1"/>
  <c r="D1121" i="1" s="1"/>
  <c r="C1126" i="1"/>
  <c r="D1126" i="1" s="1"/>
  <c r="C1136" i="1"/>
  <c r="D1136" i="1" s="1"/>
  <c r="C1143" i="1"/>
  <c r="D1143" i="1" s="1"/>
  <c r="C1148" i="1"/>
  <c r="D1148" i="1" s="1"/>
  <c r="C1153" i="1"/>
  <c r="D1153" i="1" s="1"/>
  <c r="C1158" i="1"/>
  <c r="D1158" i="1" s="1"/>
  <c r="C1168" i="1"/>
  <c r="D1168" i="1" s="1"/>
  <c r="C1173" i="1"/>
  <c r="D1173" i="1" s="1"/>
  <c r="C1183" i="1"/>
  <c r="D1183" i="1" s="1"/>
  <c r="C1188" i="1"/>
  <c r="D1188" i="1" s="1"/>
  <c r="C1198" i="1"/>
  <c r="D1198" i="1" s="1"/>
  <c r="C1206" i="1"/>
  <c r="D1206" i="1" s="1"/>
  <c r="C1219" i="1"/>
  <c r="D1219" i="1" s="1"/>
  <c r="C1224" i="1"/>
  <c r="D1224" i="1" s="1"/>
  <c r="C1229" i="1"/>
  <c r="D1229" i="1" s="1"/>
  <c r="C1232" i="1"/>
  <c r="D1232" i="1" s="1"/>
  <c r="C1242" i="1"/>
  <c r="D1242" i="1" s="1"/>
  <c r="C1255" i="1"/>
  <c r="D1255" i="1" s="1"/>
  <c r="C1266" i="1"/>
  <c r="D1266" i="1" s="1"/>
  <c r="C1287" i="1"/>
  <c r="D1287" i="1" s="1"/>
  <c r="C1303" i="1"/>
  <c r="D1303" i="1" s="1"/>
  <c r="C1311" i="1"/>
  <c r="D1311" i="1" s="1"/>
  <c r="C1314" i="1"/>
  <c r="D1314" i="1" s="1"/>
  <c r="C1328" i="1"/>
  <c r="D1328" i="1" s="1"/>
  <c r="C1331" i="1"/>
  <c r="D1331" i="1" s="1"/>
  <c r="C1334" i="1"/>
  <c r="D1334" i="1" s="1"/>
  <c r="C1360" i="1"/>
  <c r="D1360" i="1" s="1"/>
  <c r="C630" i="1"/>
  <c r="D630" i="1" s="1"/>
  <c r="C710" i="1"/>
  <c r="D710" i="1" s="1"/>
  <c r="C794" i="1"/>
  <c r="D794" i="1" s="1"/>
  <c r="C832" i="1"/>
  <c r="D832" i="1" s="1"/>
  <c r="C934" i="1"/>
  <c r="D934" i="1" s="1"/>
  <c r="C950" i="1"/>
  <c r="D950" i="1" s="1"/>
  <c r="C956" i="1"/>
  <c r="D956" i="1" s="1"/>
  <c r="C971" i="1"/>
  <c r="D971" i="1" s="1"/>
  <c r="C974" i="1"/>
  <c r="D974" i="1" s="1"/>
  <c r="C982" i="1"/>
  <c r="D982" i="1" s="1"/>
  <c r="C1010" i="1"/>
  <c r="D1010" i="1" s="1"/>
  <c r="C1015" i="1"/>
  <c r="D1015" i="1" s="1"/>
  <c r="C1023" i="1"/>
  <c r="D1023" i="1" s="1"/>
  <c r="C1039" i="1"/>
  <c r="D1039" i="1" s="1"/>
  <c r="C1047" i="1"/>
  <c r="D1047" i="1" s="1"/>
  <c r="C1055" i="1"/>
  <c r="D1055" i="1" s="1"/>
  <c r="C1067" i="1"/>
  <c r="D1067" i="1" s="1"/>
  <c r="C1077" i="1"/>
  <c r="D1077" i="1" s="1"/>
  <c r="C1087" i="1"/>
  <c r="D1087" i="1" s="1"/>
  <c r="C1099" i="1"/>
  <c r="D1099" i="1" s="1"/>
  <c r="C1109" i="1"/>
  <c r="D1109" i="1" s="1"/>
  <c r="C1119" i="1"/>
  <c r="D1119" i="1" s="1"/>
  <c r="C1131" i="1"/>
  <c r="D1131" i="1" s="1"/>
  <c r="C1141" i="1"/>
  <c r="D1141" i="1" s="1"/>
  <c r="C1151" i="1"/>
  <c r="D1151" i="1" s="1"/>
  <c r="C1163" i="1"/>
  <c r="D1163" i="1" s="1"/>
  <c r="C1178" i="1"/>
  <c r="D1178" i="1" s="1"/>
  <c r="C1186" i="1"/>
  <c r="D1186" i="1" s="1"/>
  <c r="C1193" i="1"/>
  <c r="D1193" i="1" s="1"/>
  <c r="C1196" i="1"/>
  <c r="D1196" i="1" s="1"/>
  <c r="C1222" i="1"/>
  <c r="D1222" i="1" s="1"/>
  <c r="C1235" i="1"/>
  <c r="D1235" i="1" s="1"/>
  <c r="C1240" i="1"/>
  <c r="D1240" i="1" s="1"/>
  <c r="C1245" i="1"/>
  <c r="D1245" i="1" s="1"/>
  <c r="C1248" i="1"/>
  <c r="D1248" i="1" s="1"/>
  <c r="C1253" i="1"/>
  <c r="D1253" i="1" s="1"/>
  <c r="C1271" i="1"/>
  <c r="D1271" i="1" s="1"/>
  <c r="C1279" i="1"/>
  <c r="D1279" i="1" s="1"/>
  <c r="C1282" i="1"/>
  <c r="D1282" i="1" s="1"/>
  <c r="C1295" i="1"/>
  <c r="D1295" i="1" s="1"/>
  <c r="C1298" i="1"/>
  <c r="D1298" i="1" s="1"/>
  <c r="C1320" i="1"/>
  <c r="D1320" i="1" s="1"/>
  <c r="C1340" i="1"/>
  <c r="D1340" i="1" s="1"/>
  <c r="C1343" i="1"/>
  <c r="D1343" i="1" s="1"/>
  <c r="C1346" i="1"/>
  <c r="D1346" i="1" s="1"/>
  <c r="C1366" i="1"/>
  <c r="D1366" i="1" s="1"/>
  <c r="C1380" i="1"/>
  <c r="D1380" i="1" s="1"/>
  <c r="C1391" i="1"/>
  <c r="D1391" i="1" s="1"/>
  <c r="C1394" i="1"/>
  <c r="D1394" i="1" s="1"/>
  <c r="C1405" i="1"/>
  <c r="D1405" i="1" s="1"/>
  <c r="C1410" i="1"/>
  <c r="D1410" i="1" s="1"/>
  <c r="C1416" i="1"/>
  <c r="D1416" i="1" s="1"/>
  <c r="C1430" i="1"/>
  <c r="D1430" i="1" s="1"/>
  <c r="C1438" i="1"/>
  <c r="D1438" i="1" s="1"/>
  <c r="C725" i="1"/>
  <c r="D725" i="1" s="1"/>
  <c r="C750" i="1"/>
  <c r="D750" i="1" s="1"/>
  <c r="C757" i="1"/>
  <c r="D757" i="1" s="1"/>
  <c r="C822" i="1"/>
  <c r="D822" i="1" s="1"/>
  <c r="C878" i="1"/>
  <c r="D878" i="1" s="1"/>
  <c r="C912" i="1"/>
  <c r="D912" i="1" s="1"/>
  <c r="C922" i="1"/>
  <c r="D922" i="1" s="1"/>
  <c r="C938" i="1"/>
  <c r="D938" i="1" s="1"/>
  <c r="C980" i="1"/>
  <c r="D980" i="1" s="1"/>
  <c r="C988" i="1"/>
  <c r="D988" i="1" s="1"/>
  <c r="C1002" i="1"/>
  <c r="D1002" i="1" s="1"/>
  <c r="C1018" i="1"/>
  <c r="D1018" i="1" s="1"/>
  <c r="C1026" i="1"/>
  <c r="D1026" i="1" s="1"/>
  <c r="C1029" i="1"/>
  <c r="D1029" i="1" s="1"/>
  <c r="C1034" i="1"/>
  <c r="D1034" i="1" s="1"/>
  <c r="C1042" i="1"/>
  <c r="D1042" i="1" s="1"/>
  <c r="C1050" i="1"/>
  <c r="D1050" i="1" s="1"/>
  <c r="C1060" i="1"/>
  <c r="D1060" i="1" s="1"/>
  <c r="C1070" i="1"/>
  <c r="D1070" i="1" s="1"/>
  <c r="C1082" i="1"/>
  <c r="D1082" i="1" s="1"/>
  <c r="C1092" i="1"/>
  <c r="D1092" i="1" s="1"/>
  <c r="C1102" i="1"/>
  <c r="D1102" i="1" s="1"/>
  <c r="C1114" i="1"/>
  <c r="D1114" i="1" s="1"/>
  <c r="C1124" i="1"/>
  <c r="D1124" i="1" s="1"/>
  <c r="C1134" i="1"/>
  <c r="D1134" i="1" s="1"/>
  <c r="C1146" i="1"/>
  <c r="D1146" i="1" s="1"/>
  <c r="C1156" i="1"/>
  <c r="D1156" i="1" s="1"/>
  <c r="C1166" i="1"/>
  <c r="D1166" i="1" s="1"/>
  <c r="C1176" i="1"/>
  <c r="D1176" i="1" s="1"/>
  <c r="C1181" i="1"/>
  <c r="D1181" i="1" s="1"/>
  <c r="C1191" i="1"/>
  <c r="D1191" i="1" s="1"/>
  <c r="C1204" i="1"/>
  <c r="D1204" i="1" s="1"/>
  <c r="C1214" i="1"/>
  <c r="D1214" i="1" s="1"/>
  <c r="C1238" i="1"/>
  <c r="D1238" i="1" s="1"/>
  <c r="C1258" i="1"/>
  <c r="D1258" i="1" s="1"/>
  <c r="C1264" i="1"/>
  <c r="D1264" i="1" s="1"/>
  <c r="C1269" i="1"/>
  <c r="D1269" i="1" s="1"/>
  <c r="C1274" i="1"/>
  <c r="D1274" i="1" s="1"/>
  <c r="C1277" i="1"/>
  <c r="D1277" i="1" s="1"/>
  <c r="C1285" i="1"/>
  <c r="D1285" i="1" s="1"/>
  <c r="C390" i="1"/>
  <c r="D390" i="1" s="1"/>
  <c r="C558" i="1"/>
  <c r="D558" i="1" s="1"/>
  <c r="C596" i="1"/>
  <c r="D596" i="1" s="1"/>
  <c r="C618" i="1"/>
  <c r="D618" i="1" s="1"/>
  <c r="C648" i="1"/>
  <c r="D648" i="1" s="1"/>
  <c r="C690" i="1"/>
  <c r="D690" i="1" s="1"/>
  <c r="C716" i="1"/>
  <c r="D716" i="1" s="1"/>
  <c r="C738" i="1"/>
  <c r="D738" i="1" s="1"/>
  <c r="C770" i="1"/>
  <c r="D770" i="1" s="1"/>
  <c r="C907" i="1"/>
  <c r="D907" i="1" s="1"/>
  <c r="C930" i="1"/>
  <c r="D930" i="1" s="1"/>
  <c r="C958" i="1"/>
  <c r="D958" i="1" s="1"/>
  <c r="C970" i="1"/>
  <c r="D970" i="1" s="1"/>
  <c r="C973" i="1"/>
  <c r="D973" i="1" s="1"/>
  <c r="C1003" i="1"/>
  <c r="D1003" i="1" s="1"/>
  <c r="C1022" i="1"/>
  <c r="D1022" i="1" s="1"/>
  <c r="C1038" i="1"/>
  <c r="D1038" i="1" s="1"/>
  <c r="C1054" i="1"/>
  <c r="D1054" i="1" s="1"/>
  <c r="C1066" i="1"/>
  <c r="D1066" i="1" s="1"/>
  <c r="C1076" i="1"/>
  <c r="D1076" i="1" s="1"/>
  <c r="C1086" i="1"/>
  <c r="D1086" i="1" s="1"/>
  <c r="C1098" i="1"/>
  <c r="D1098" i="1" s="1"/>
  <c r="C1108" i="1"/>
  <c r="D1108" i="1" s="1"/>
  <c r="C1118" i="1"/>
  <c r="D1118" i="1" s="1"/>
  <c r="C1130" i="1"/>
  <c r="D1130" i="1" s="1"/>
  <c r="C1140" i="1"/>
  <c r="D1140" i="1" s="1"/>
  <c r="C1150" i="1"/>
  <c r="D1150" i="1" s="1"/>
  <c r="C1162" i="1"/>
  <c r="D1162" i="1" s="1"/>
  <c r="C1177" i="1"/>
  <c r="D1177" i="1" s="1"/>
  <c r="C1180" i="1"/>
  <c r="D1180" i="1" s="1"/>
  <c r="C1190" i="1"/>
  <c r="D1190" i="1" s="1"/>
  <c r="C598" i="1"/>
  <c r="D598" i="1" s="1"/>
  <c r="C864" i="1"/>
  <c r="D864" i="1" s="1"/>
  <c r="C945" i="1"/>
  <c r="D945" i="1" s="1"/>
  <c r="C963" i="1"/>
  <c r="D963" i="1" s="1"/>
  <c r="C981" i="1"/>
  <c r="D981" i="1" s="1"/>
  <c r="C991" i="1"/>
  <c r="D991" i="1" s="1"/>
  <c r="C1008" i="1"/>
  <c r="D1008" i="1" s="1"/>
  <c r="C1011" i="1"/>
  <c r="D1011" i="1" s="1"/>
  <c r="C1021" i="1"/>
  <c r="D1021" i="1" s="1"/>
  <c r="C1051" i="1"/>
  <c r="D1051" i="1" s="1"/>
  <c r="C1095" i="1"/>
  <c r="D1095" i="1" s="1"/>
  <c r="C1105" i="1"/>
  <c r="D1105" i="1" s="1"/>
  <c r="C1149" i="1"/>
  <c r="D1149" i="1" s="1"/>
  <c r="C1194" i="1"/>
  <c r="D1194" i="1" s="1"/>
  <c r="C1207" i="1"/>
  <c r="D1207" i="1" s="1"/>
  <c r="C1210" i="1"/>
  <c r="D1210" i="1" s="1"/>
  <c r="C1220" i="1"/>
  <c r="D1220" i="1" s="1"/>
  <c r="C1223" i="1"/>
  <c r="D1223" i="1" s="1"/>
  <c r="C1236" i="1"/>
  <c r="D1236" i="1" s="1"/>
  <c r="C1239" i="1"/>
  <c r="D1239" i="1" s="1"/>
  <c r="C1252" i="1"/>
  <c r="D1252" i="1" s="1"/>
  <c r="C1278" i="1"/>
  <c r="D1278" i="1" s="1"/>
  <c r="C1288" i="1"/>
  <c r="D1288" i="1" s="1"/>
  <c r="C1294" i="1"/>
  <c r="D1294" i="1" s="1"/>
  <c r="C1324" i="1"/>
  <c r="D1324" i="1" s="1"/>
  <c r="C1327" i="1"/>
  <c r="D1327" i="1" s="1"/>
  <c r="C1390" i="1"/>
  <c r="D1390" i="1" s="1"/>
  <c r="C1399" i="1"/>
  <c r="D1399" i="1" s="1"/>
  <c r="C1402" i="1"/>
  <c r="D1402" i="1" s="1"/>
  <c r="C1422" i="1"/>
  <c r="D1422" i="1" s="1"/>
  <c r="C1451" i="1"/>
  <c r="D1451" i="1" s="1"/>
  <c r="C1454" i="1"/>
  <c r="D1454" i="1" s="1"/>
  <c r="C1460" i="1"/>
  <c r="D1460" i="1" s="1"/>
  <c r="C1468" i="1"/>
  <c r="D1468" i="1" s="1"/>
  <c r="C1479" i="1"/>
  <c r="D1479" i="1" s="1"/>
  <c r="C1490" i="1"/>
  <c r="D1490" i="1" s="1"/>
  <c r="C1498" i="1"/>
  <c r="D1498" i="1" s="1"/>
  <c r="C1509" i="1"/>
  <c r="D1509" i="1" s="1"/>
  <c r="C1520" i="1"/>
  <c r="D1520" i="1" s="1"/>
  <c r="C1528" i="1"/>
  <c r="D1528" i="1" s="1"/>
  <c r="C1547" i="1"/>
  <c r="D1547" i="1" s="1"/>
  <c r="C1550" i="1"/>
  <c r="D1550" i="1" s="1"/>
  <c r="C1558" i="1"/>
  <c r="D1558" i="1" s="1"/>
  <c r="C1563" i="1"/>
  <c r="D1563" i="1" s="1"/>
  <c r="C1566" i="1"/>
  <c r="D1566" i="1" s="1"/>
  <c r="C1582" i="1"/>
  <c r="D1582" i="1" s="1"/>
  <c r="C1598" i="1"/>
  <c r="D1598" i="1" s="1"/>
  <c r="C1614" i="1"/>
  <c r="D1614" i="1" s="1"/>
  <c r="C1630" i="1"/>
  <c r="D1630" i="1" s="1"/>
  <c r="C1648" i="1"/>
  <c r="D1648" i="1" s="1"/>
  <c r="C602" i="1"/>
  <c r="D602" i="1" s="1"/>
  <c r="C692" i="1"/>
  <c r="D692" i="1" s="1"/>
  <c r="C754" i="1"/>
  <c r="D754" i="1" s="1"/>
  <c r="C906" i="1"/>
  <c r="D906" i="1" s="1"/>
  <c r="C960" i="1"/>
  <c r="D960" i="1" s="1"/>
  <c r="C978" i="1"/>
  <c r="D978" i="1" s="1"/>
  <c r="C1005" i="1"/>
  <c r="D1005" i="1" s="1"/>
  <c r="C1080" i="1"/>
  <c r="D1080" i="1" s="1"/>
  <c r="C1083" i="1"/>
  <c r="D1083" i="1" s="1"/>
  <c r="C1127" i="1"/>
  <c r="D1127" i="1" s="1"/>
  <c r="C1137" i="1"/>
  <c r="D1137" i="1" s="1"/>
  <c r="C1172" i="1"/>
  <c r="D1172" i="1" s="1"/>
  <c r="C1182" i="1"/>
  <c r="D1182" i="1" s="1"/>
  <c r="C1262" i="1"/>
  <c r="D1262" i="1" s="1"/>
  <c r="C1306" i="1"/>
  <c r="D1306" i="1" s="1"/>
  <c r="C1312" i="1"/>
  <c r="D1312" i="1" s="1"/>
  <c r="C1347" i="1"/>
  <c r="D1347" i="1" s="1"/>
  <c r="C1350" i="1"/>
  <c r="D1350" i="1" s="1"/>
  <c r="C1362" i="1"/>
  <c r="D1362" i="1" s="1"/>
  <c r="C1376" i="1"/>
  <c r="D1376" i="1" s="1"/>
  <c r="C1379" i="1"/>
  <c r="D1379" i="1" s="1"/>
  <c r="C1382" i="1"/>
  <c r="D1382" i="1" s="1"/>
  <c r="C1414" i="1"/>
  <c r="D1414" i="1" s="1"/>
  <c r="C1417" i="1"/>
  <c r="D1417" i="1" s="1"/>
  <c r="C1434" i="1"/>
  <c r="D1434" i="1" s="1"/>
  <c r="C1440" i="1"/>
  <c r="D1440" i="1" s="1"/>
  <c r="C1446" i="1"/>
  <c r="D1446" i="1" s="1"/>
  <c r="C1474" i="1"/>
  <c r="D1474" i="1" s="1"/>
  <c r="C1482" i="1"/>
  <c r="D1482" i="1" s="1"/>
  <c r="C1493" i="1"/>
  <c r="D1493" i="1" s="1"/>
  <c r="C1504" i="1"/>
  <c r="D1504" i="1" s="1"/>
  <c r="C1512" i="1"/>
  <c r="D1512" i="1" s="1"/>
  <c r="C1531" i="1"/>
  <c r="D1531" i="1" s="1"/>
  <c r="C1534" i="1"/>
  <c r="D1534" i="1" s="1"/>
  <c r="C1542" i="1"/>
  <c r="D1542" i="1" s="1"/>
  <c r="C1556" i="1"/>
  <c r="D1556" i="1" s="1"/>
  <c r="C1576" i="1"/>
  <c r="D1576" i="1" s="1"/>
  <c r="C1592" i="1"/>
  <c r="D1592" i="1" s="1"/>
  <c r="C1608" i="1"/>
  <c r="D1608" i="1" s="1"/>
  <c r="C1624" i="1"/>
  <c r="D1624" i="1" s="1"/>
  <c r="C1640" i="1"/>
  <c r="D1640" i="1" s="1"/>
  <c r="C1654" i="1"/>
  <c r="D1654" i="1" s="1"/>
  <c r="C1668" i="1"/>
  <c r="D1668" i="1" s="1"/>
  <c r="C1682" i="1"/>
  <c r="D1682" i="1" s="1"/>
  <c r="C1714" i="1"/>
  <c r="D1714" i="1" s="1"/>
  <c r="C899" i="1"/>
  <c r="D899" i="1" s="1"/>
  <c r="C932" i="1"/>
  <c r="D932" i="1" s="1"/>
  <c r="C939" i="1"/>
  <c r="D939" i="1" s="1"/>
  <c r="C1032" i="1"/>
  <c r="D1032" i="1" s="1"/>
  <c r="C1058" i="1"/>
  <c r="D1058" i="1" s="1"/>
  <c r="C1061" i="1"/>
  <c r="D1061" i="1" s="1"/>
  <c r="C1071" i="1"/>
  <c r="D1071" i="1" s="1"/>
  <c r="C1112" i="1"/>
  <c r="D1112" i="1" s="1"/>
  <c r="C1115" i="1"/>
  <c r="D1115" i="1" s="1"/>
  <c r="C1159" i="1"/>
  <c r="D1159" i="1" s="1"/>
  <c r="C1169" i="1"/>
  <c r="D1169" i="1" s="1"/>
  <c r="C1192" i="1"/>
  <c r="D1192" i="1" s="1"/>
  <c r="C1230" i="1"/>
  <c r="D1230" i="1" s="1"/>
  <c r="C1246" i="1"/>
  <c r="D1246" i="1" s="1"/>
  <c r="C1272" i="1"/>
  <c r="D1272" i="1" s="1"/>
  <c r="C1301" i="1"/>
  <c r="D1301" i="1" s="1"/>
  <c r="C1304" i="1"/>
  <c r="D1304" i="1" s="1"/>
  <c r="C1316" i="1"/>
  <c r="D1316" i="1" s="1"/>
  <c r="C1319" i="1"/>
  <c r="D1319" i="1" s="1"/>
  <c r="C1322" i="1"/>
  <c r="D1322" i="1" s="1"/>
  <c r="C1344" i="1"/>
  <c r="D1344" i="1" s="1"/>
  <c r="C1356" i="1"/>
  <c r="D1356" i="1" s="1"/>
  <c r="C1359" i="1"/>
  <c r="D1359" i="1" s="1"/>
  <c r="C1368" i="1"/>
  <c r="D1368" i="1" s="1"/>
  <c r="C1371" i="1"/>
  <c r="D1371" i="1" s="1"/>
  <c r="C1388" i="1"/>
  <c r="D1388" i="1" s="1"/>
  <c r="C1408" i="1"/>
  <c r="D1408" i="1" s="1"/>
  <c r="C1420" i="1"/>
  <c r="D1420" i="1" s="1"/>
  <c r="C1426" i="1"/>
  <c r="D1426" i="1" s="1"/>
  <c r="C1432" i="1"/>
  <c r="D1432" i="1" s="1"/>
  <c r="C1449" i="1"/>
  <c r="D1449" i="1" s="1"/>
  <c r="C1466" i="1"/>
  <c r="D1466" i="1" s="1"/>
  <c r="C1477" i="1"/>
  <c r="D1477" i="1" s="1"/>
  <c r="C1488" i="1"/>
  <c r="D1488" i="1" s="1"/>
  <c r="C1496" i="1"/>
  <c r="D1496" i="1" s="1"/>
  <c r="C1515" i="1"/>
  <c r="D1515" i="1" s="1"/>
  <c r="C1518" i="1"/>
  <c r="D1518" i="1" s="1"/>
  <c r="C1526" i="1"/>
  <c r="D1526" i="1" s="1"/>
  <c r="C1540" i="1"/>
  <c r="D1540" i="1" s="1"/>
  <c r="C568" i="1"/>
  <c r="D568" i="1" s="1"/>
  <c r="C678" i="1"/>
  <c r="D678" i="1" s="1"/>
  <c r="C744" i="1"/>
  <c r="D744" i="1" s="1"/>
  <c r="C830" i="1"/>
  <c r="D830" i="1" s="1"/>
  <c r="C896" i="1"/>
  <c r="D896" i="1" s="1"/>
  <c r="C1019" i="1"/>
  <c r="D1019" i="1" s="1"/>
  <c r="C1068" i="1"/>
  <c r="D1068" i="1" s="1"/>
  <c r="C1078" i="1"/>
  <c r="D1078" i="1" s="1"/>
  <c r="C1090" i="1"/>
  <c r="D1090" i="1" s="1"/>
  <c r="C1093" i="1"/>
  <c r="D1093" i="1" s="1"/>
  <c r="C1103" i="1"/>
  <c r="D1103" i="1" s="1"/>
  <c r="C1144" i="1"/>
  <c r="D1144" i="1" s="1"/>
  <c r="C1147" i="1"/>
  <c r="D1147" i="1" s="1"/>
  <c r="C1189" i="1"/>
  <c r="D1189" i="1" s="1"/>
  <c r="C1205" i="1"/>
  <c r="D1205" i="1" s="1"/>
  <c r="C1218" i="1"/>
  <c r="D1218" i="1" s="1"/>
  <c r="C1221" i="1"/>
  <c r="D1221" i="1" s="1"/>
  <c r="C1234" i="1"/>
  <c r="D1234" i="1" s="1"/>
  <c r="C1256" i="1"/>
  <c r="D1256" i="1" s="1"/>
  <c r="C1286" i="1"/>
  <c r="D1286" i="1" s="1"/>
  <c r="C1310" i="1"/>
  <c r="D1310" i="1" s="1"/>
  <c r="C1335" i="1"/>
  <c r="D1335" i="1" s="1"/>
  <c r="C1338" i="1"/>
  <c r="D1338" i="1" s="1"/>
  <c r="C1374" i="1"/>
  <c r="D1374" i="1" s="1"/>
  <c r="C1400" i="1"/>
  <c r="D1400" i="1" s="1"/>
  <c r="C1403" i="1"/>
  <c r="D1403" i="1" s="1"/>
  <c r="C1406" i="1"/>
  <c r="D1406" i="1" s="1"/>
  <c r="C1429" i="1"/>
  <c r="D1429" i="1" s="1"/>
  <c r="C1444" i="1"/>
  <c r="D1444" i="1" s="1"/>
  <c r="C1452" i="1"/>
  <c r="D1452" i="1" s="1"/>
  <c r="C1458" i="1"/>
  <c r="D1458" i="1" s="1"/>
  <c r="C1472" i="1"/>
  <c r="D1472" i="1" s="1"/>
  <c r="C1480" i="1"/>
  <c r="D1480" i="1" s="1"/>
  <c r="C1499" i="1"/>
  <c r="D1499" i="1" s="1"/>
  <c r="C1502" i="1"/>
  <c r="D1502" i="1" s="1"/>
  <c r="C1510" i="1"/>
  <c r="D1510" i="1" s="1"/>
  <c r="C1524" i="1"/>
  <c r="D1524" i="1" s="1"/>
  <c r="C1548" i="1"/>
  <c r="D1548" i="1" s="1"/>
  <c r="C1559" i="1"/>
  <c r="D1559" i="1" s="1"/>
  <c r="C1564" i="1"/>
  <c r="D1564" i="1" s="1"/>
  <c r="C1580" i="1"/>
  <c r="D1580" i="1" s="1"/>
  <c r="C686" i="1"/>
  <c r="D686" i="1" s="1"/>
  <c r="C748" i="1"/>
  <c r="D748" i="1" s="1"/>
  <c r="C986" i="1"/>
  <c r="D986" i="1" s="1"/>
  <c r="C1016" i="1"/>
  <c r="D1016" i="1" s="1"/>
  <c r="C1046" i="1"/>
  <c r="D1046" i="1" s="1"/>
  <c r="C1056" i="1"/>
  <c r="D1056" i="1" s="1"/>
  <c r="C1065" i="1"/>
  <c r="D1065" i="1" s="1"/>
  <c r="C1075" i="1"/>
  <c r="D1075" i="1" s="1"/>
  <c r="C1100" i="1"/>
  <c r="D1100" i="1" s="1"/>
  <c r="C1110" i="1"/>
  <c r="D1110" i="1" s="1"/>
  <c r="C1122" i="1"/>
  <c r="D1122" i="1" s="1"/>
  <c r="C1125" i="1"/>
  <c r="D1125" i="1" s="1"/>
  <c r="C1135" i="1"/>
  <c r="D1135" i="1" s="1"/>
  <c r="C1199" i="1"/>
  <c r="D1199" i="1" s="1"/>
  <c r="C1202" i="1"/>
  <c r="D1202" i="1" s="1"/>
  <c r="C1228" i="1"/>
  <c r="D1228" i="1" s="1"/>
  <c r="C1244" i="1"/>
  <c r="D1244" i="1" s="1"/>
  <c r="C1270" i="1"/>
  <c r="D1270" i="1" s="1"/>
  <c r="C1332" i="1"/>
  <c r="D1332" i="1" s="1"/>
  <c r="C1348" i="1"/>
  <c r="D1348" i="1" s="1"/>
  <c r="C1351" i="1"/>
  <c r="D1351" i="1" s="1"/>
  <c r="C1354" i="1"/>
  <c r="D1354" i="1" s="1"/>
  <c r="C1363" i="1"/>
  <c r="D1363" i="1" s="1"/>
  <c r="C1383" i="1"/>
  <c r="D1383" i="1" s="1"/>
  <c r="C1386" i="1"/>
  <c r="D1386" i="1" s="1"/>
  <c r="C1395" i="1"/>
  <c r="D1395" i="1" s="1"/>
  <c r="C1412" i="1"/>
  <c r="D1412" i="1" s="1"/>
  <c r="C1415" i="1"/>
  <c r="D1415" i="1" s="1"/>
  <c r="C1418" i="1"/>
  <c r="D1418" i="1" s="1"/>
  <c r="C1435" i="1"/>
  <c r="D1435" i="1" s="1"/>
  <c r="C1461" i="1"/>
  <c r="D1461" i="1" s="1"/>
  <c r="C1464" i="1"/>
  <c r="D1464" i="1" s="1"/>
  <c r="C1483" i="1"/>
  <c r="D1483" i="1" s="1"/>
  <c r="C1486" i="1"/>
  <c r="D1486" i="1" s="1"/>
  <c r="C1494" i="1"/>
  <c r="D1494" i="1" s="1"/>
  <c r="C1508" i="1"/>
  <c r="D1508" i="1" s="1"/>
  <c r="C1532" i="1"/>
  <c r="D1532" i="1" s="1"/>
  <c r="C1543" i="1"/>
  <c r="D1543" i="1" s="1"/>
  <c r="C1554" i="1"/>
  <c r="D1554" i="1" s="1"/>
  <c r="C1562" i="1"/>
  <c r="D1562" i="1" s="1"/>
  <c r="C1574" i="1"/>
  <c r="D1574" i="1" s="1"/>
  <c r="C1590" i="1"/>
  <c r="D1590" i="1" s="1"/>
  <c r="C1606" i="1"/>
  <c r="D1606" i="1" s="1"/>
  <c r="C1622" i="1"/>
  <c r="D1622" i="1" s="1"/>
  <c r="C1638" i="1"/>
  <c r="D1638" i="1" s="1"/>
  <c r="C1644" i="1"/>
  <c r="D1644" i="1" s="1"/>
  <c r="C1658" i="1"/>
  <c r="D1658" i="1" s="1"/>
  <c r="C1680" i="1"/>
  <c r="D1680" i="1" s="1"/>
  <c r="C1722" i="1"/>
  <c r="D1722" i="1" s="1"/>
  <c r="C882" i="1"/>
  <c r="D882" i="1" s="1"/>
  <c r="C926" i="1"/>
  <c r="D926" i="1" s="1"/>
  <c r="C983" i="1"/>
  <c r="D983" i="1" s="1"/>
  <c r="C1000" i="1"/>
  <c r="D1000" i="1" s="1"/>
  <c r="C1013" i="1"/>
  <c r="D1013" i="1" s="1"/>
  <c r="C1030" i="1"/>
  <c r="D1030" i="1" s="1"/>
  <c r="C1053" i="1"/>
  <c r="D1053" i="1" s="1"/>
  <c r="C1088" i="1"/>
  <c r="D1088" i="1" s="1"/>
  <c r="C1097" i="1"/>
  <c r="D1097" i="1" s="1"/>
  <c r="C1107" i="1"/>
  <c r="D1107" i="1" s="1"/>
  <c r="C722" i="1"/>
  <c r="D722" i="1" s="1"/>
  <c r="C776" i="1"/>
  <c r="D776" i="1" s="1"/>
  <c r="C886" i="1"/>
  <c r="D886" i="1" s="1"/>
  <c r="C916" i="1"/>
  <c r="D916" i="1" s="1"/>
  <c r="C997" i="1"/>
  <c r="D997" i="1" s="1"/>
  <c r="C1027" i="1"/>
  <c r="D1027" i="1" s="1"/>
  <c r="C1040" i="1"/>
  <c r="D1040" i="1" s="1"/>
  <c r="C1085" i="1"/>
  <c r="D1085" i="1" s="1"/>
  <c r="C1120" i="1"/>
  <c r="D1120" i="1" s="1"/>
  <c r="C1129" i="1"/>
  <c r="D1129" i="1" s="1"/>
  <c r="C1139" i="1"/>
  <c r="D1139" i="1" s="1"/>
  <c r="C1164" i="1"/>
  <c r="D1164" i="1" s="1"/>
  <c r="C1174" i="1"/>
  <c r="D1174" i="1" s="1"/>
  <c r="C1184" i="1"/>
  <c r="D1184" i="1" s="1"/>
  <c r="C1187" i="1"/>
  <c r="D1187" i="1" s="1"/>
  <c r="C1280" i="1"/>
  <c r="D1280" i="1" s="1"/>
  <c r="C1290" i="1"/>
  <c r="D1290" i="1" s="1"/>
  <c r="C1296" i="1"/>
  <c r="D1296" i="1" s="1"/>
  <c r="C1305" i="1"/>
  <c r="D1305" i="1" s="1"/>
  <c r="C1308" i="1"/>
  <c r="D1308" i="1" s="1"/>
  <c r="C1336" i="1"/>
  <c r="D1336" i="1" s="1"/>
  <c r="C1339" i="1"/>
  <c r="D1339" i="1" s="1"/>
  <c r="C1375" i="1"/>
  <c r="D1375" i="1" s="1"/>
  <c r="C1378" i="1"/>
  <c r="D1378" i="1" s="1"/>
  <c r="C1404" i="1"/>
  <c r="D1404" i="1" s="1"/>
  <c r="C1407" i="1"/>
  <c r="D1407" i="1" s="1"/>
  <c r="C1433" i="1"/>
  <c r="D1433" i="1" s="1"/>
  <c r="C1442" i="1"/>
  <c r="D1442" i="1" s="1"/>
  <c r="C1445" i="1"/>
  <c r="D1445" i="1" s="1"/>
  <c r="C1448" i="1"/>
  <c r="D1448" i="1" s="1"/>
  <c r="C1456" i="1"/>
  <c r="D1456" i="1" s="1"/>
  <c r="C1476" i="1"/>
  <c r="D1476" i="1" s="1"/>
  <c r="C1500" i="1"/>
  <c r="D1500" i="1" s="1"/>
  <c r="C1511" i="1"/>
  <c r="D1511" i="1" s="1"/>
  <c r="C1522" i="1"/>
  <c r="D1522" i="1" s="1"/>
  <c r="C1530" i="1"/>
  <c r="D1530" i="1" s="1"/>
  <c r="C1541" i="1"/>
  <c r="D1541" i="1" s="1"/>
  <c r="C1552" i="1"/>
  <c r="D1552" i="1" s="1"/>
  <c r="C1560" i="1"/>
  <c r="D1560" i="1" s="1"/>
  <c r="C1578" i="1"/>
  <c r="D1578" i="1" s="1"/>
  <c r="C1594" i="1"/>
  <c r="D1594" i="1" s="1"/>
  <c r="C1610" i="1"/>
  <c r="D1610" i="1" s="1"/>
  <c r="C1626" i="1"/>
  <c r="D1626" i="1" s="1"/>
  <c r="C1642" i="1"/>
  <c r="D1642" i="1" s="1"/>
  <c r="C1664" i="1"/>
  <c r="D1664" i="1" s="1"/>
  <c r="C1678" i="1"/>
  <c r="D1678" i="1" s="1"/>
  <c r="C966" i="1"/>
  <c r="D966" i="1" s="1"/>
  <c r="C1152" i="1"/>
  <c r="D1152" i="1" s="1"/>
  <c r="C1200" i="1"/>
  <c r="D1200" i="1" s="1"/>
  <c r="C1241" i="1"/>
  <c r="D1241" i="1" s="1"/>
  <c r="C1267" i="1"/>
  <c r="D1267" i="1" s="1"/>
  <c r="C1484" i="1"/>
  <c r="D1484" i="1" s="1"/>
  <c r="C1506" i="1"/>
  <c r="D1506" i="1" s="1"/>
  <c r="C1570" i="1"/>
  <c r="D1570" i="1" s="1"/>
  <c r="C1588" i="1"/>
  <c r="D1588" i="1" s="1"/>
  <c r="C1620" i="1"/>
  <c r="D1620" i="1" s="1"/>
  <c r="C1674" i="1"/>
  <c r="D1674" i="1" s="1"/>
  <c r="C1684" i="1"/>
  <c r="D1684" i="1" s="1"/>
  <c r="C1738" i="1"/>
  <c r="D1738" i="1" s="1"/>
  <c r="C1762" i="1"/>
  <c r="D1762" i="1" s="1"/>
  <c r="C1806" i="1"/>
  <c r="D1806" i="1" s="1"/>
  <c r="C1858" i="1"/>
  <c r="D1858" i="1" s="1"/>
  <c r="C1870" i="1"/>
  <c r="D1870" i="1" s="1"/>
  <c r="C1886" i="1"/>
  <c r="D1886" i="1" s="1"/>
  <c r="C1902" i="1"/>
  <c r="D1902" i="1" s="1"/>
  <c r="C1918" i="1"/>
  <c r="D1918" i="1" s="1"/>
  <c r="C1934" i="1"/>
  <c r="D1934" i="1" s="1"/>
  <c r="C1950" i="1"/>
  <c r="D1950" i="1" s="1"/>
  <c r="C1986" i="1"/>
  <c r="D1986" i="1" s="1"/>
  <c r="C2002" i="1"/>
  <c r="D2002" i="1" s="1"/>
  <c r="C994" i="1"/>
  <c r="D994" i="1" s="1"/>
  <c r="C1037" i="1"/>
  <c r="D1037" i="1" s="1"/>
  <c r="C1197" i="1"/>
  <c r="D1197" i="1" s="1"/>
  <c r="C1302" i="1"/>
  <c r="D1302" i="1" s="1"/>
  <c r="C1419" i="1"/>
  <c r="D1419" i="1" s="1"/>
  <c r="C1470" i="1"/>
  <c r="D1470" i="1" s="1"/>
  <c r="C1495" i="1"/>
  <c r="D1495" i="1" s="1"/>
  <c r="C1546" i="1"/>
  <c r="D1546" i="1" s="1"/>
  <c r="C1596" i="1"/>
  <c r="D1596" i="1" s="1"/>
  <c r="C1628" i="1"/>
  <c r="D1628" i="1" s="1"/>
  <c r="C1652" i="1"/>
  <c r="D1652" i="1" s="1"/>
  <c r="C1690" i="1"/>
  <c r="D1690" i="1" s="1"/>
  <c r="C1786" i="1"/>
  <c r="D1786" i="1" s="1"/>
  <c r="C1834" i="1"/>
  <c r="D1834" i="1" s="1"/>
  <c r="C1846" i="1"/>
  <c r="D1846" i="1" s="1"/>
  <c r="C1970" i="1"/>
  <c r="D1970" i="1" s="1"/>
  <c r="C2050" i="1"/>
  <c r="D2050" i="1" s="1"/>
  <c r="C2062" i="1"/>
  <c r="D2062" i="1" s="1"/>
  <c r="C920" i="1"/>
  <c r="D920" i="1" s="1"/>
  <c r="C1167" i="1"/>
  <c r="D1167" i="1" s="1"/>
  <c r="C1212" i="1"/>
  <c r="D1212" i="1" s="1"/>
  <c r="C1318" i="1"/>
  <c r="D1318" i="1" s="1"/>
  <c r="C1358" i="1"/>
  <c r="D1358" i="1" s="1"/>
  <c r="C1372" i="1"/>
  <c r="D1372" i="1" s="1"/>
  <c r="C1387" i="1"/>
  <c r="D1387" i="1" s="1"/>
  <c r="C1467" i="1"/>
  <c r="D1467" i="1" s="1"/>
  <c r="C1492" i="1"/>
  <c r="D1492" i="1" s="1"/>
  <c r="C1514" i="1"/>
  <c r="D1514" i="1" s="1"/>
  <c r="C1525" i="1"/>
  <c r="D1525" i="1" s="1"/>
  <c r="C1536" i="1"/>
  <c r="D1536" i="1" s="1"/>
  <c r="C1557" i="1"/>
  <c r="D1557" i="1" s="1"/>
  <c r="C1600" i="1"/>
  <c r="D1600" i="1" s="1"/>
  <c r="C1632" i="1"/>
  <c r="D1632" i="1" s="1"/>
  <c r="C1646" i="1"/>
  <c r="D1646" i="1" s="1"/>
  <c r="C1656" i="1"/>
  <c r="D1656" i="1" s="1"/>
  <c r="C1662" i="1"/>
  <c r="D1662" i="1" s="1"/>
  <c r="C1810" i="1"/>
  <c r="D1810" i="1" s="1"/>
  <c r="C1822" i="1"/>
  <c r="D1822" i="1" s="1"/>
  <c r="C1874" i="1"/>
  <c r="D1874" i="1" s="1"/>
  <c r="C1890" i="1"/>
  <c r="D1890" i="1" s="1"/>
  <c r="C1906" i="1"/>
  <c r="D1906" i="1" s="1"/>
  <c r="C1922" i="1"/>
  <c r="D1922" i="1" s="1"/>
  <c r="C1938" i="1"/>
  <c r="D1938" i="1" s="1"/>
  <c r="C1954" i="1"/>
  <c r="D1954" i="1" s="1"/>
  <c r="C1990" i="1"/>
  <c r="D1990" i="1" s="1"/>
  <c r="C2006" i="1"/>
  <c r="D2006" i="1" s="1"/>
  <c r="C2022" i="1"/>
  <c r="D2022" i="1" s="1"/>
  <c r="C2038" i="1"/>
  <c r="D2038" i="1" s="1"/>
  <c r="C2082" i="1"/>
  <c r="D2082" i="1" s="1"/>
  <c r="C2102" i="1"/>
  <c r="D2102" i="1" s="1"/>
  <c r="C948" i="1"/>
  <c r="D948" i="1" s="1"/>
  <c r="C1073" i="1"/>
  <c r="D1073" i="1" s="1"/>
  <c r="C1142" i="1"/>
  <c r="D1142" i="1" s="1"/>
  <c r="C1209" i="1"/>
  <c r="D1209" i="1" s="1"/>
  <c r="C1355" i="1"/>
  <c r="D1355" i="1" s="1"/>
  <c r="C1384" i="1"/>
  <c r="D1384" i="1" s="1"/>
  <c r="C1478" i="1"/>
  <c r="D1478" i="1" s="1"/>
  <c r="C1568" i="1"/>
  <c r="D1568" i="1" s="1"/>
  <c r="C1586" i="1"/>
  <c r="D1586" i="1" s="1"/>
  <c r="C1618" i="1"/>
  <c r="D1618" i="1" s="1"/>
  <c r="C1672" i="1"/>
  <c r="D1672" i="1" s="1"/>
  <c r="C1698" i="1"/>
  <c r="D1698" i="1" s="1"/>
  <c r="C1746" i="1"/>
  <c r="D1746" i="1" s="1"/>
  <c r="C1770" i="1"/>
  <c r="D1770" i="1" s="1"/>
  <c r="C1794" i="1"/>
  <c r="D1794" i="1" s="1"/>
  <c r="C1850" i="1"/>
  <c r="D1850" i="1" s="1"/>
  <c r="C1862" i="1"/>
  <c r="D1862" i="1" s="1"/>
  <c r="C1958" i="1"/>
  <c r="D1958" i="1" s="1"/>
  <c r="C1974" i="1"/>
  <c r="D1974" i="1" s="1"/>
  <c r="C2010" i="1"/>
  <c r="D2010" i="1" s="1"/>
  <c r="C2026" i="1"/>
  <c r="D2026" i="1" s="1"/>
  <c r="C2066" i="1"/>
  <c r="D2066" i="1" s="1"/>
  <c r="C1157" i="1"/>
  <c r="D1157" i="1" s="1"/>
  <c r="C1352" i="1"/>
  <c r="D1352" i="1" s="1"/>
  <c r="C1398" i="1"/>
  <c r="D1398" i="1" s="1"/>
  <c r="C1544" i="1"/>
  <c r="D1544" i="1" s="1"/>
  <c r="C1604" i="1"/>
  <c r="D1604" i="1" s="1"/>
  <c r="C1636" i="1"/>
  <c r="D1636" i="1" s="1"/>
  <c r="C1650" i="1"/>
  <c r="D1650" i="1" s="1"/>
  <c r="C1660" i="1"/>
  <c r="D1660" i="1" s="1"/>
  <c r="C1666" i="1"/>
  <c r="D1666" i="1" s="1"/>
  <c r="C1688" i="1"/>
  <c r="D1688" i="1" s="1"/>
  <c r="C1826" i="1"/>
  <c r="D1826" i="1" s="1"/>
  <c r="C1838" i="1"/>
  <c r="D1838" i="1" s="1"/>
  <c r="C1878" i="1"/>
  <c r="D1878" i="1" s="1"/>
  <c r="C1894" i="1"/>
  <c r="D1894" i="1" s="1"/>
  <c r="C1910" i="1"/>
  <c r="D1910" i="1" s="1"/>
  <c r="C1926" i="1"/>
  <c r="D1926" i="1" s="1"/>
  <c r="C1942" i="1"/>
  <c r="D1942" i="1" s="1"/>
  <c r="C1063" i="1"/>
  <c r="D1063" i="1" s="1"/>
  <c r="C1132" i="1"/>
  <c r="D1132" i="1" s="1"/>
  <c r="C1251" i="1"/>
  <c r="D1251" i="1" s="1"/>
  <c r="C1293" i="1"/>
  <c r="D1293" i="1" s="1"/>
  <c r="C1323" i="1"/>
  <c r="D1323" i="1" s="1"/>
  <c r="C1330" i="1"/>
  <c r="D1330" i="1" s="1"/>
  <c r="C1367" i="1"/>
  <c r="D1367" i="1" s="1"/>
  <c r="C1392" i="1"/>
  <c r="D1392" i="1" s="1"/>
  <c r="C1421" i="1"/>
  <c r="D1421" i="1" s="1"/>
  <c r="C1428" i="1"/>
  <c r="D1428" i="1" s="1"/>
  <c r="C1462" i="1"/>
  <c r="D1462" i="1" s="1"/>
  <c r="C1584" i="1"/>
  <c r="D1584" i="1" s="1"/>
  <c r="C1616" i="1"/>
  <c r="D1616" i="1" s="1"/>
  <c r="C1676" i="1"/>
  <c r="D1676" i="1" s="1"/>
  <c r="C1686" i="1"/>
  <c r="D1686" i="1" s="1"/>
  <c r="C1706" i="1"/>
  <c r="D1706" i="1" s="1"/>
  <c r="C1754" i="1"/>
  <c r="D1754" i="1" s="1"/>
  <c r="C1778" i="1"/>
  <c r="D1778" i="1" s="1"/>
  <c r="C1802" i="1"/>
  <c r="D1802" i="1" s="1"/>
  <c r="C1842" i="1"/>
  <c r="D1842" i="1" s="1"/>
  <c r="C1854" i="1"/>
  <c r="D1854" i="1" s="1"/>
  <c r="C1882" i="1"/>
  <c r="D1882" i="1" s="1"/>
  <c r="C1898" i="1"/>
  <c r="D1898" i="1" s="1"/>
  <c r="C1914" i="1"/>
  <c r="D1914" i="1" s="1"/>
  <c r="C1930" i="1"/>
  <c r="D1930" i="1" s="1"/>
  <c r="C1946" i="1"/>
  <c r="D1946" i="1" s="1"/>
  <c r="C1982" i="1"/>
  <c r="D1982" i="1" s="1"/>
  <c r="C1998" i="1"/>
  <c r="D1998" i="1" s="1"/>
  <c r="C2014" i="1"/>
  <c r="D2014" i="1" s="1"/>
  <c r="C2030" i="1"/>
  <c r="D2030" i="1" s="1"/>
  <c r="C1370" i="1"/>
  <c r="D1370" i="1" s="1"/>
  <c r="C1424" i="1"/>
  <c r="D1424" i="1" s="1"/>
  <c r="C1634" i="1"/>
  <c r="D1634" i="1" s="1"/>
  <c r="C1866" i="1"/>
  <c r="D1866" i="1" s="1"/>
  <c r="C2042" i="1"/>
  <c r="D2042" i="1" s="1"/>
  <c r="C2086" i="1"/>
  <c r="D2086" i="1" s="1"/>
  <c r="C2114" i="1"/>
  <c r="D2114" i="1" s="1"/>
  <c r="C1326" i="1"/>
  <c r="D1326" i="1" s="1"/>
  <c r="C1670" i="1"/>
  <c r="D1670" i="1" s="1"/>
  <c r="C2054" i="1"/>
  <c r="D2054" i="1" s="1"/>
  <c r="C1436" i="1"/>
  <c r="D1436" i="1" s="1"/>
  <c r="C1572" i="1"/>
  <c r="D1572" i="1" s="1"/>
  <c r="C1730" i="1"/>
  <c r="D1730" i="1" s="1"/>
  <c r="C1814" i="1"/>
  <c r="D1814" i="1" s="1"/>
  <c r="C1994" i="1"/>
  <c r="D1994" i="1" s="1"/>
  <c r="C2090" i="1"/>
  <c r="D2090" i="1" s="1"/>
  <c r="C2034" i="1"/>
  <c r="D2034" i="1" s="1"/>
  <c r="C2126" i="1"/>
  <c r="D2126" i="1" s="1"/>
  <c r="C1818" i="1"/>
  <c r="D1818" i="1" s="1"/>
  <c r="C2118" i="1"/>
  <c r="D2118" i="1" s="1"/>
  <c r="C1254" i="1"/>
  <c r="D1254" i="1" s="1"/>
  <c r="C1364" i="1"/>
  <c r="D1364" i="1" s="1"/>
  <c r="C1538" i="1"/>
  <c r="D1538" i="1" s="1"/>
  <c r="C1612" i="1"/>
  <c r="D1612" i="1" s="1"/>
  <c r="C2018" i="1"/>
  <c r="D2018" i="1" s="1"/>
  <c r="C2046" i="1"/>
  <c r="D2046" i="1" s="1"/>
  <c r="C2070" i="1"/>
  <c r="D2070" i="1" s="1"/>
  <c r="C2094" i="1"/>
  <c r="D2094" i="1" s="1"/>
  <c r="C2122" i="1"/>
  <c r="D2122" i="1" s="1"/>
  <c r="C1516" i="1"/>
  <c r="D1516" i="1" s="1"/>
  <c r="C1117" i="1"/>
  <c r="D1117" i="1" s="1"/>
  <c r="C1527" i="1"/>
  <c r="D1527" i="1" s="1"/>
  <c r="C1962" i="1"/>
  <c r="D1962" i="1" s="1"/>
  <c r="C2074" i="1"/>
  <c r="D2074" i="1" s="1"/>
  <c r="C2098" i="1"/>
  <c r="D2098" i="1" s="1"/>
  <c r="C1161" i="1"/>
  <c r="D1161" i="1" s="1"/>
  <c r="C1342" i="1"/>
  <c r="D1342" i="1" s="1"/>
  <c r="C1396" i="1"/>
  <c r="D1396" i="1" s="1"/>
  <c r="C1450" i="1"/>
  <c r="D1450" i="1" s="1"/>
  <c r="C1602" i="1"/>
  <c r="D1602" i="1" s="1"/>
  <c r="C1830" i="1"/>
  <c r="D1830" i="1" s="1"/>
  <c r="C1966" i="1"/>
  <c r="D1966" i="1" s="1"/>
  <c r="C2078" i="1"/>
  <c r="D2078" i="1" s="1"/>
  <c r="C2106" i="1"/>
  <c r="D2106" i="1" s="1"/>
  <c r="C2130" i="1"/>
  <c r="D2130" i="1" s="1"/>
  <c r="C1154" i="1"/>
  <c r="D1154" i="1" s="1"/>
  <c r="C1225" i="1"/>
  <c r="D1225" i="1" s="1"/>
  <c r="C1978" i="1"/>
  <c r="D1978" i="1" s="1"/>
  <c r="C2058" i="1"/>
  <c r="D2058" i="1" s="1"/>
  <c r="C2110" i="1"/>
  <c r="D2110" i="1" s="1"/>
  <c r="C2123" i="1"/>
  <c r="D2123" i="1" s="1"/>
  <c r="C1936" i="1"/>
  <c r="D1936" i="1" s="1"/>
  <c r="C1801" i="1"/>
  <c r="D1801" i="1" s="1"/>
  <c r="C2116" i="1"/>
  <c r="D2116" i="1" s="1"/>
  <c r="C1747" i="1"/>
  <c r="D1747" i="1" s="1"/>
  <c r="C2087" i="1"/>
  <c r="D2087" i="1" s="1"/>
  <c r="C2129" i="1"/>
  <c r="D2129" i="1" s="1"/>
  <c r="C2097" i="1"/>
  <c r="D2097" i="1" s="1"/>
  <c r="C1904" i="1"/>
  <c r="D1904" i="1" s="1"/>
  <c r="C1920" i="1"/>
  <c r="D1920" i="1" s="1"/>
  <c r="C2093" i="1"/>
  <c r="D2093" i="1" s="1"/>
  <c r="C2001" i="1"/>
  <c r="D2001" i="1" s="1"/>
  <c r="C1529" i="1"/>
  <c r="D1529" i="1" s="1"/>
  <c r="C2117" i="1"/>
  <c r="D2117" i="1" s="1"/>
  <c r="C1903" i="1"/>
  <c r="D1903" i="1" s="1"/>
  <c r="C1447" i="1"/>
  <c r="D1447" i="1" s="1"/>
  <c r="C2051" i="1"/>
  <c r="D2051" i="1" s="1"/>
  <c r="C1663" i="1"/>
  <c r="D1663" i="1" s="1"/>
  <c r="C1965" i="1"/>
  <c r="D1965" i="1" s="1"/>
  <c r="C1835" i="1"/>
  <c r="D1835" i="1" s="1"/>
  <c r="C1774" i="1"/>
  <c r="D1774" i="1" s="1"/>
  <c r="C1723" i="1"/>
  <c r="D1723" i="1" s="1"/>
  <c r="C1409" i="1"/>
  <c r="D1409" i="1" s="1"/>
  <c r="C1831" i="1"/>
  <c r="D1831" i="1" s="1"/>
  <c r="C1763" i="1"/>
  <c r="D1763" i="1" s="1"/>
  <c r="C1625" i="1"/>
  <c r="D1625" i="1" s="1"/>
  <c r="C2075" i="1"/>
  <c r="D2075" i="1" s="1"/>
  <c r="C1993" i="1"/>
  <c r="D1993" i="1" s="1"/>
  <c r="C1912" i="1"/>
  <c r="D1912" i="1" s="1"/>
  <c r="C1840" i="1"/>
  <c r="D1840" i="1" s="1"/>
  <c r="C1766" i="1"/>
  <c r="D1766" i="1" s="1"/>
  <c r="C1687" i="1"/>
  <c r="D1687" i="1" s="1"/>
  <c r="C2088" i="1"/>
  <c r="D2088" i="1" s="1"/>
  <c r="C2012" i="1"/>
  <c r="D2012" i="1" s="1"/>
  <c r="C1915" i="1"/>
  <c r="D1915" i="1" s="1"/>
  <c r="C1815" i="1"/>
  <c r="D1815" i="1" s="1"/>
  <c r="C1697" i="1"/>
  <c r="D1697" i="1" s="1"/>
  <c r="C1992" i="1"/>
  <c r="D1992" i="1" s="1"/>
  <c r="C1921" i="1"/>
  <c r="D1921" i="1" s="1"/>
  <c r="C1827" i="1"/>
  <c r="D1827" i="1" s="1"/>
  <c r="C1775" i="1"/>
  <c r="D1775" i="1" s="1"/>
  <c r="C1661" i="1"/>
  <c r="D1661" i="1" s="1"/>
  <c r="C1313" i="1"/>
  <c r="D1313" i="1" s="1"/>
  <c r="C2027" i="1"/>
  <c r="D2027" i="1" s="1"/>
  <c r="C1940" i="1"/>
  <c r="D1940" i="1" s="1"/>
  <c r="C1845" i="1"/>
  <c r="D1845" i="1" s="1"/>
  <c r="C1744" i="1"/>
  <c r="D1744" i="1" s="1"/>
  <c r="C1651" i="1"/>
  <c r="D1651" i="1" s="1"/>
  <c r="C1683" i="1"/>
  <c r="D1683" i="1" s="1"/>
  <c r="C1535" i="1"/>
  <c r="D1535" i="1" s="1"/>
  <c r="C965" i="1"/>
  <c r="D965" i="1" s="1"/>
  <c r="C1718" i="1"/>
  <c r="D1718" i="1" s="1"/>
  <c r="C1631" i="1"/>
  <c r="D1631" i="1" s="1"/>
  <c r="C1469" i="1"/>
  <c r="D1469" i="1" s="1"/>
  <c r="C1589" i="1"/>
  <c r="D1589" i="1" s="1"/>
  <c r="C1353" i="1"/>
  <c r="D1353" i="1" s="1"/>
  <c r="C591" i="1"/>
  <c r="D591" i="1" s="1"/>
  <c r="C1373" i="1"/>
  <c r="D1373" i="1" s="1"/>
  <c r="C1720" i="1"/>
  <c r="D1720" i="1" s="1"/>
  <c r="C1633" i="1"/>
  <c r="D1633" i="1" s="1"/>
  <c r="C1465" i="1"/>
  <c r="D1465" i="1" s="1"/>
  <c r="C491" i="1"/>
  <c r="D491" i="1" s="1"/>
  <c r="C1533" i="1"/>
  <c r="D1533" i="1" s="1"/>
  <c r="C1349" i="1"/>
  <c r="D1349" i="1" s="1"/>
  <c r="C453" i="1"/>
  <c r="D453" i="1" s="1"/>
  <c r="C901" i="1"/>
  <c r="D901" i="1" s="1"/>
  <c r="C1385" i="1"/>
  <c r="D1385" i="1" s="1"/>
  <c r="C641" i="1"/>
  <c r="D641" i="1" s="1"/>
  <c r="C763" i="1"/>
  <c r="D763" i="1" s="1"/>
  <c r="C793" i="1"/>
  <c r="D793" i="1" s="1"/>
  <c r="C538" i="1"/>
  <c r="D538" i="1" s="1"/>
  <c r="C435" i="1"/>
  <c r="D435" i="1" s="1"/>
  <c r="C531" i="1"/>
  <c r="D531" i="1" s="1"/>
  <c r="C933" i="1"/>
  <c r="D933" i="1" s="1"/>
  <c r="C615" i="1"/>
  <c r="D615" i="1" s="1"/>
  <c r="C490" i="1"/>
  <c r="D490" i="1" s="1"/>
  <c r="C377" i="1"/>
  <c r="D377" i="1" s="1"/>
  <c r="C593" i="1"/>
  <c r="D593" i="1" s="1"/>
  <c r="C451" i="1"/>
  <c r="D451" i="1" s="1"/>
  <c r="C2113" i="1"/>
  <c r="D2113" i="1" s="1"/>
  <c r="C1917" i="1"/>
  <c r="D1917" i="1" s="1"/>
  <c r="C1736" i="1"/>
  <c r="D1736" i="1" s="1"/>
  <c r="C2109" i="1"/>
  <c r="D2109" i="1" s="1"/>
  <c r="C1705" i="1"/>
  <c r="D1705" i="1" s="1"/>
  <c r="C2080" i="1"/>
  <c r="D2080" i="1" s="1"/>
  <c r="C2063" i="1"/>
  <c r="D2063" i="1" s="1"/>
  <c r="C2073" i="1"/>
  <c r="D2073" i="1" s="1"/>
  <c r="C1885" i="1"/>
  <c r="D1885" i="1" s="1"/>
  <c r="C1860" i="1"/>
  <c r="D1860" i="1" s="1"/>
  <c r="C2083" i="1"/>
  <c r="D2083" i="1" s="1"/>
  <c r="C1997" i="1"/>
  <c r="D1997" i="1" s="1"/>
  <c r="C1475" i="1"/>
  <c r="D1475" i="1" s="1"/>
  <c r="C2103" i="1"/>
  <c r="D2103" i="1" s="1"/>
  <c r="C1888" i="1"/>
  <c r="D1888" i="1" s="1"/>
  <c r="C2112" i="1"/>
  <c r="D2112" i="1" s="1"/>
  <c r="C2016" i="1"/>
  <c r="D2016" i="1" s="1"/>
  <c r="C1307" i="1"/>
  <c r="D1307" i="1" s="1"/>
  <c r="C1955" i="1"/>
  <c r="D1955" i="1" s="1"/>
  <c r="C1832" i="1"/>
  <c r="D1832" i="1" s="1"/>
  <c r="C1767" i="1"/>
  <c r="D1767" i="1" s="1"/>
  <c r="C1719" i="1"/>
  <c r="D1719" i="1" s="1"/>
  <c r="C1377" i="1"/>
  <c r="D1377" i="1" s="1"/>
  <c r="C1819" i="1"/>
  <c r="D1819" i="1" s="1"/>
  <c r="C1756" i="1"/>
  <c r="D1756" i="1" s="1"/>
  <c r="C1621" i="1"/>
  <c r="D1621" i="1" s="1"/>
  <c r="C2059" i="1"/>
  <c r="D2059" i="1" s="1"/>
  <c r="C1983" i="1"/>
  <c r="D1983" i="1" s="1"/>
  <c r="C1909" i="1"/>
  <c r="D1909" i="1" s="1"/>
  <c r="C1837" i="1"/>
  <c r="D1837" i="1" s="1"/>
  <c r="C1759" i="1"/>
  <c r="D1759" i="1" s="1"/>
  <c r="C1681" i="1"/>
  <c r="D1681" i="1" s="1"/>
  <c r="C2071" i="1"/>
  <c r="D2071" i="1" s="1"/>
  <c r="C2009" i="1"/>
  <c r="D2009" i="1" s="1"/>
  <c r="C1899" i="1"/>
  <c r="D1899" i="1" s="1"/>
  <c r="C1796" i="1"/>
  <c r="D1796" i="1" s="1"/>
  <c r="C2055" i="1"/>
  <c r="D2055" i="1" s="1"/>
  <c r="C1989" i="1"/>
  <c r="D1989" i="1" s="1"/>
  <c r="C1911" i="1"/>
  <c r="D1911" i="1" s="1"/>
  <c r="C1824" i="1"/>
  <c r="D1824" i="1" s="1"/>
  <c r="C1772" i="1"/>
  <c r="D1772" i="1" s="1"/>
  <c r="C1613" i="1"/>
  <c r="D1613" i="1" s="1"/>
  <c r="C2084" i="1"/>
  <c r="D2084" i="1" s="1"/>
  <c r="C2024" i="1"/>
  <c r="D2024" i="1" s="1"/>
  <c r="C1924" i="1"/>
  <c r="D1924" i="1" s="1"/>
  <c r="C1836" i="1"/>
  <c r="D1836" i="1" s="1"/>
  <c r="C1734" i="1"/>
  <c r="D1734" i="1" s="1"/>
  <c r="C1641" i="1"/>
  <c r="D1641" i="1" s="1"/>
  <c r="C1669" i="1"/>
  <c r="D1669" i="1" s="1"/>
  <c r="C1513" i="1"/>
  <c r="D1513" i="1" s="1"/>
  <c r="C919" i="1"/>
  <c r="D919" i="1" s="1"/>
  <c r="C1711" i="1"/>
  <c r="D1711" i="1" s="1"/>
  <c r="C1615" i="1"/>
  <c r="D1615" i="1" s="1"/>
  <c r="C1437" i="1"/>
  <c r="D1437" i="1" s="1"/>
  <c r="C1573" i="1"/>
  <c r="D1573" i="1" s="1"/>
  <c r="C1275" i="1"/>
  <c r="D1275" i="1" s="1"/>
  <c r="C579" i="1"/>
  <c r="D579" i="1" s="1"/>
  <c r="C1337" i="1"/>
  <c r="D1337" i="1" s="1"/>
  <c r="C1710" i="1"/>
  <c r="D1710" i="1" s="1"/>
  <c r="C1617" i="1"/>
  <c r="D1617" i="1" s="1"/>
  <c r="C1431" i="1"/>
  <c r="D1431" i="1" s="1"/>
  <c r="C1653" i="1"/>
  <c r="D1653" i="1" s="1"/>
  <c r="C1503" i="1"/>
  <c r="D1503" i="1" s="1"/>
  <c r="C1333" i="1"/>
  <c r="D1333" i="1" s="1"/>
  <c r="C855" i="1"/>
  <c r="D855" i="1" s="1"/>
  <c r="C1357" i="1"/>
  <c r="D1357" i="1" s="1"/>
  <c r="C607" i="1"/>
  <c r="D607" i="1" s="1"/>
  <c r="C731" i="1"/>
  <c r="D731" i="1" s="1"/>
  <c r="C721" i="1"/>
  <c r="D721" i="1" s="1"/>
  <c r="C535" i="1"/>
  <c r="D535" i="1" s="1"/>
  <c r="C431" i="1"/>
  <c r="D431" i="1" s="1"/>
  <c r="C771" i="1"/>
  <c r="D771" i="1" s="1"/>
  <c r="C521" i="1"/>
  <c r="D521" i="1" s="1"/>
  <c r="C905" i="1"/>
  <c r="D905" i="1" s="1"/>
  <c r="C609" i="1"/>
  <c r="D609" i="1" s="1"/>
  <c r="C477" i="1"/>
  <c r="D477" i="1" s="1"/>
  <c r="C565" i="1"/>
  <c r="D565" i="1" s="1"/>
  <c r="C405" i="1"/>
  <c r="D405" i="1" s="1"/>
  <c r="C2095" i="1"/>
  <c r="D2095" i="1" s="1"/>
  <c r="C1887" i="1"/>
  <c r="D1887" i="1" s="1"/>
  <c r="C1709" i="1"/>
  <c r="D1709" i="1" s="1"/>
  <c r="C2081" i="1"/>
  <c r="D2081" i="1" s="1"/>
  <c r="C1647" i="1"/>
  <c r="D1647" i="1" s="1"/>
  <c r="C2029" i="1"/>
  <c r="D2029" i="1" s="1"/>
  <c r="C1988" i="1"/>
  <c r="D1988" i="1" s="1"/>
  <c r="C2039" i="1"/>
  <c r="D2039" i="1" s="1"/>
  <c r="C1859" i="1"/>
  <c r="D1859" i="1" s="1"/>
  <c r="C1777" i="1"/>
  <c r="D1777" i="1" s="1"/>
  <c r="C2079" i="1"/>
  <c r="D2079" i="1" s="1"/>
  <c r="C1971" i="1"/>
  <c r="D1971" i="1" s="1"/>
  <c r="C2091" i="1"/>
  <c r="D2091" i="1" s="1"/>
  <c r="C2096" i="1"/>
  <c r="D2096" i="1" s="1"/>
  <c r="C1869" i="1"/>
  <c r="D1869" i="1" s="1"/>
  <c r="C1935" i="1"/>
  <c r="D1935" i="1" s="1"/>
  <c r="C2004" i="1"/>
  <c r="D2004" i="1" s="1"/>
  <c r="C2033" i="1"/>
  <c r="D2033" i="1" s="1"/>
  <c r="C1939" i="1"/>
  <c r="D1939" i="1" s="1"/>
  <c r="C1829" i="1"/>
  <c r="D1829" i="1" s="1"/>
  <c r="C1764" i="1"/>
  <c r="D1764" i="1" s="1"/>
  <c r="C1716" i="1"/>
  <c r="D1716" i="1" s="1"/>
  <c r="C1932" i="1"/>
  <c r="D1932" i="1" s="1"/>
  <c r="C1816" i="1"/>
  <c r="D1816" i="1" s="1"/>
  <c r="C1749" i="1"/>
  <c r="D1749" i="1" s="1"/>
  <c r="C1611" i="1"/>
  <c r="D1611" i="1" s="1"/>
  <c r="C2056" i="1"/>
  <c r="D2056" i="1" s="1"/>
  <c r="C1980" i="1"/>
  <c r="D1980" i="1" s="1"/>
  <c r="C1896" i="1"/>
  <c r="D1896" i="1" s="1"/>
  <c r="C1828" i="1"/>
  <c r="D1828" i="1" s="1"/>
  <c r="C1752" i="1"/>
  <c r="D1752" i="1" s="1"/>
  <c r="C1677" i="1"/>
  <c r="D1677" i="1" s="1"/>
  <c r="C2068" i="1"/>
  <c r="D2068" i="1" s="1"/>
  <c r="C1976" i="1"/>
  <c r="D1976" i="1" s="1"/>
  <c r="C1883" i="1"/>
  <c r="D1883" i="1" s="1"/>
  <c r="C1793" i="1"/>
  <c r="D1793" i="1" s="1"/>
  <c r="C2043" i="1"/>
  <c r="D2043" i="1" s="1"/>
  <c r="C1979" i="1"/>
  <c r="D1979" i="1" s="1"/>
  <c r="C1905" i="1"/>
  <c r="D1905" i="1" s="1"/>
  <c r="C1821" i="1"/>
  <c r="D1821" i="1" s="1"/>
  <c r="C1765" i="1"/>
  <c r="D1765" i="1" s="1"/>
  <c r="C1581" i="1"/>
  <c r="D1581" i="1" s="1"/>
  <c r="C2077" i="1"/>
  <c r="D2077" i="1" s="1"/>
  <c r="C2011" i="1"/>
  <c r="D2011" i="1" s="1"/>
  <c r="C1908" i="1"/>
  <c r="D1908" i="1" s="1"/>
  <c r="C1833" i="1"/>
  <c r="D1833" i="1" s="1"/>
  <c r="C1727" i="1"/>
  <c r="D1727" i="1" s="1"/>
  <c r="C1637" i="1"/>
  <c r="D1637" i="1" s="1"/>
  <c r="C1655" i="1"/>
  <c r="D1655" i="1" s="1"/>
  <c r="C1505" i="1"/>
  <c r="D1505" i="1" s="1"/>
  <c r="C803" i="1"/>
  <c r="D803" i="1" s="1"/>
  <c r="C1708" i="1"/>
  <c r="D1708" i="1" s="1"/>
  <c r="C1599" i="1"/>
  <c r="D1599" i="1" s="1"/>
  <c r="C1423" i="1"/>
  <c r="D1423" i="1" s="1"/>
  <c r="C1561" i="1"/>
  <c r="D1561" i="1" s="1"/>
  <c r="C1243" i="1"/>
  <c r="D1243" i="1" s="1"/>
  <c r="C571" i="1"/>
  <c r="D571" i="1" s="1"/>
  <c r="C1309" i="1"/>
  <c r="D1309" i="1" s="1"/>
  <c r="C1703" i="1"/>
  <c r="D1703" i="1" s="1"/>
  <c r="C1601" i="1"/>
  <c r="D1601" i="1" s="1"/>
  <c r="C1425" i="1"/>
  <c r="D1425" i="1" s="1"/>
  <c r="C1639" i="1"/>
  <c r="D1639" i="1" s="1"/>
  <c r="C1481" i="1"/>
  <c r="D1481" i="1" s="1"/>
  <c r="C1261" i="1"/>
  <c r="D1261" i="1" s="1"/>
  <c r="C653" i="1"/>
  <c r="D653" i="1" s="1"/>
  <c r="C1325" i="1"/>
  <c r="D1325" i="1" s="1"/>
  <c r="C1345" i="1"/>
  <c r="D1345" i="1" s="1"/>
  <c r="C375" i="1"/>
  <c r="D375" i="1" s="1"/>
  <c r="C715" i="1"/>
  <c r="D715" i="1" s="1"/>
  <c r="C525" i="1"/>
  <c r="D525" i="1" s="1"/>
  <c r="C427" i="1"/>
  <c r="D427" i="1" s="1"/>
  <c r="C755" i="1"/>
  <c r="D755" i="1" s="1"/>
  <c r="C497" i="1"/>
  <c r="D497" i="1" s="1"/>
  <c r="C873" i="1"/>
  <c r="D873" i="1" s="1"/>
  <c r="C599" i="1"/>
  <c r="D599" i="1" s="1"/>
  <c r="C463" i="1"/>
  <c r="D463" i="1" s="1"/>
  <c r="C559" i="1"/>
  <c r="D559" i="1" s="1"/>
  <c r="C373" i="1"/>
  <c r="D373" i="1" s="1"/>
  <c r="C935" i="1"/>
  <c r="D935" i="1" s="1"/>
  <c r="C663" i="1"/>
  <c r="D663" i="1" s="1"/>
  <c r="C489" i="1"/>
  <c r="D489" i="1" s="1"/>
  <c r="C411" i="1"/>
  <c r="D411" i="1" s="1"/>
  <c r="C617" i="1"/>
  <c r="D617" i="1" s="1"/>
  <c r="C519" i="1"/>
  <c r="D519" i="1" s="1"/>
  <c r="C447" i="1"/>
  <c r="D447" i="1" s="1"/>
  <c r="C396" i="1"/>
  <c r="D396" i="1" s="1"/>
  <c r="C2047" i="1"/>
  <c r="D2047" i="1" s="1"/>
  <c r="C1872" i="1"/>
  <c r="D1872" i="1" s="1"/>
  <c r="C1629" i="1"/>
  <c r="D1629" i="1" s="1"/>
  <c r="C2057" i="1"/>
  <c r="D2057" i="1" s="1"/>
  <c r="C1453" i="1"/>
  <c r="D1453" i="1" s="1"/>
  <c r="C1991" i="1"/>
  <c r="D1991" i="1" s="1"/>
  <c r="C1901" i="1"/>
  <c r="D1901" i="1" s="1"/>
  <c r="C2036" i="1"/>
  <c r="D2036" i="1" s="1"/>
  <c r="C1807" i="1"/>
  <c r="D1807" i="1" s="1"/>
  <c r="C1597" i="1"/>
  <c r="D1597" i="1" s="1"/>
  <c r="C2076" i="1"/>
  <c r="D2076" i="1" s="1"/>
  <c r="C1967" i="1"/>
  <c r="D1967" i="1" s="1"/>
  <c r="C1871" i="1"/>
  <c r="D1871" i="1" s="1"/>
  <c r="C2072" i="1"/>
  <c r="D2072" i="1" s="1"/>
  <c r="C1760" i="1"/>
  <c r="D1760" i="1" s="1"/>
  <c r="C1856" i="1"/>
  <c r="D1856" i="1" s="1"/>
  <c r="C2000" i="1"/>
  <c r="D2000" i="1" s="1"/>
  <c r="C2023" i="1"/>
  <c r="D2023" i="1" s="1"/>
  <c r="C1923" i="1"/>
  <c r="D1923" i="1" s="1"/>
  <c r="C1820" i="1"/>
  <c r="D1820" i="1" s="1"/>
  <c r="C1757" i="1"/>
  <c r="D1757" i="1" s="1"/>
  <c r="C1712" i="1"/>
  <c r="D1712" i="1" s="1"/>
  <c r="C1916" i="1"/>
  <c r="D1916" i="1" s="1"/>
  <c r="C1813" i="1"/>
  <c r="D1813" i="1" s="1"/>
  <c r="C1739" i="1"/>
  <c r="D1739" i="1" s="1"/>
  <c r="C1593" i="1"/>
  <c r="D1593" i="1" s="1"/>
  <c r="C2053" i="1"/>
  <c r="D2053" i="1" s="1"/>
  <c r="C1964" i="1"/>
  <c r="D1964" i="1" s="1"/>
  <c r="C1893" i="1"/>
  <c r="D1893" i="1" s="1"/>
  <c r="C1825" i="1"/>
  <c r="D1825" i="1" s="1"/>
  <c r="C1742" i="1"/>
  <c r="D1742" i="1" s="1"/>
  <c r="C1665" i="1"/>
  <c r="D1665" i="1" s="1"/>
  <c r="C2065" i="1"/>
  <c r="D2065" i="1" s="1"/>
  <c r="C1973" i="1"/>
  <c r="D1973" i="1" s="1"/>
  <c r="C1867" i="1"/>
  <c r="D1867" i="1" s="1"/>
  <c r="C1779" i="1"/>
  <c r="D1779" i="1" s="1"/>
  <c r="C2040" i="1"/>
  <c r="D2040" i="1" s="1"/>
  <c r="C1963" i="1"/>
  <c r="D1963" i="1" s="1"/>
  <c r="C1895" i="1"/>
  <c r="D1895" i="1" s="1"/>
  <c r="C1812" i="1"/>
  <c r="D1812" i="1" s="1"/>
  <c r="C1751" i="1"/>
  <c r="D1751" i="1" s="1"/>
  <c r="C1577" i="1"/>
  <c r="D1577" i="1" s="1"/>
  <c r="C2067" i="1"/>
  <c r="D2067" i="1" s="1"/>
  <c r="C2008" i="1"/>
  <c r="D2008" i="1" s="1"/>
  <c r="C1892" i="1"/>
  <c r="D1892" i="1" s="1"/>
  <c r="C1795" i="1"/>
  <c r="D1795" i="1" s="1"/>
  <c r="C1724" i="1"/>
  <c r="D1724" i="1" s="1"/>
  <c r="C1627" i="1"/>
  <c r="D1627" i="1" s="1"/>
  <c r="C1635" i="1"/>
  <c r="D1635" i="1" s="1"/>
  <c r="C1369" i="1"/>
  <c r="D1369" i="1" s="1"/>
  <c r="C787" i="1"/>
  <c r="D787" i="1" s="1"/>
  <c r="C1701" i="1"/>
  <c r="D1701" i="1" s="1"/>
  <c r="C1583" i="1"/>
  <c r="D1583" i="1" s="1"/>
  <c r="C1397" i="1"/>
  <c r="D1397" i="1" s="1"/>
  <c r="C1553" i="1"/>
  <c r="D1553" i="1" s="1"/>
  <c r="C1227" i="1"/>
  <c r="D1227" i="1" s="1"/>
  <c r="C1523" i="1"/>
  <c r="D1523" i="1" s="1"/>
  <c r="C1291" i="1"/>
  <c r="D1291" i="1" s="1"/>
  <c r="C1700" i="1"/>
  <c r="D1700" i="1" s="1"/>
  <c r="C1585" i="1"/>
  <c r="D1585" i="1" s="1"/>
  <c r="C1393" i="1"/>
  <c r="D1393" i="1" s="1"/>
  <c r="C1623" i="1"/>
  <c r="D1623" i="1" s="1"/>
  <c r="C1473" i="1"/>
  <c r="D1473" i="1" s="1"/>
  <c r="C1171" i="1"/>
  <c r="D1171" i="1" s="1"/>
  <c r="C623" i="1"/>
  <c r="D623" i="1" s="1"/>
  <c r="C1273" i="1"/>
  <c r="D1273" i="1" s="1"/>
  <c r="C1297" i="1"/>
  <c r="D1297" i="1" s="1"/>
  <c r="C1265" i="1"/>
  <c r="D1265" i="1" s="1"/>
  <c r="C647" i="1"/>
  <c r="D647" i="1" s="1"/>
  <c r="C518" i="1"/>
  <c r="D518" i="1" s="1"/>
  <c r="C399" i="1"/>
  <c r="D399" i="1" s="1"/>
  <c r="C661" i="1"/>
  <c r="D661" i="1" s="1"/>
  <c r="C423" i="1"/>
  <c r="D423" i="1" s="1"/>
  <c r="C853" i="1"/>
  <c r="D853" i="1" s="1"/>
  <c r="C581" i="1"/>
  <c r="D581" i="1" s="1"/>
  <c r="C459" i="1"/>
  <c r="D459" i="1" s="1"/>
  <c r="C943" i="1"/>
  <c r="D943" i="1" s="1"/>
  <c r="C537" i="1"/>
  <c r="D537" i="1" s="1"/>
  <c r="C927" i="1"/>
  <c r="D927" i="1" s="1"/>
  <c r="C639" i="1"/>
  <c r="D639" i="1" s="1"/>
  <c r="C486" i="1"/>
  <c r="D486" i="1" s="1"/>
  <c r="C401" i="1"/>
  <c r="D401" i="1" s="1"/>
  <c r="C2019" i="1"/>
  <c r="D2019" i="1" s="1"/>
  <c r="C1857" i="1"/>
  <c r="D1857" i="1" s="1"/>
  <c r="C1551" i="1"/>
  <c r="D1551" i="1" s="1"/>
  <c r="C2003" i="1"/>
  <c r="D2003" i="1" s="1"/>
  <c r="C1984" i="1"/>
  <c r="D1984" i="1" s="1"/>
  <c r="C1972" i="1"/>
  <c r="D1972" i="1" s="1"/>
  <c r="C1808" i="1"/>
  <c r="D1808" i="1" s="1"/>
  <c r="C1987" i="1"/>
  <c r="D1987" i="1" s="1"/>
  <c r="C1761" i="1"/>
  <c r="D1761" i="1" s="1"/>
  <c r="C2131" i="1"/>
  <c r="D2131" i="1" s="1"/>
  <c r="C2069" i="1"/>
  <c r="D2069" i="1" s="1"/>
  <c r="C1945" i="1"/>
  <c r="D1945" i="1" s="1"/>
  <c r="C1844" i="1"/>
  <c r="D1844" i="1" s="1"/>
  <c r="C2048" i="1"/>
  <c r="D2048" i="1" s="1"/>
  <c r="C1699" i="1"/>
  <c r="D1699" i="1" s="1"/>
  <c r="C1804" i="1"/>
  <c r="D1804" i="1" s="1"/>
  <c r="C1948" i="1"/>
  <c r="D1948" i="1" s="1"/>
  <c r="C2020" i="1"/>
  <c r="D2020" i="1" s="1"/>
  <c r="C1907" i="1"/>
  <c r="D1907" i="1" s="1"/>
  <c r="C1817" i="1"/>
  <c r="D1817" i="1" s="1"/>
  <c r="C1750" i="1"/>
  <c r="D1750" i="1" s="1"/>
  <c r="C1702" i="1"/>
  <c r="D1702" i="1" s="1"/>
  <c r="C1900" i="1"/>
  <c r="D1900" i="1" s="1"/>
  <c r="C1797" i="1"/>
  <c r="D1797" i="1" s="1"/>
  <c r="C1729" i="1"/>
  <c r="D1729" i="1" s="1"/>
  <c r="C1401" i="1"/>
  <c r="D1401" i="1" s="1"/>
  <c r="C2044" i="1"/>
  <c r="D2044" i="1" s="1"/>
  <c r="C1944" i="1"/>
  <c r="D1944" i="1" s="1"/>
  <c r="C1880" i="1"/>
  <c r="D1880" i="1" s="1"/>
  <c r="C1803" i="1"/>
  <c r="D1803" i="1" s="1"/>
  <c r="C1735" i="1"/>
  <c r="D1735" i="1" s="1"/>
  <c r="C1521" i="1"/>
  <c r="D1521" i="1" s="1"/>
  <c r="C2031" i="1"/>
  <c r="D2031" i="1" s="1"/>
  <c r="C1960" i="1"/>
  <c r="D1960" i="1" s="1"/>
  <c r="C1864" i="1"/>
  <c r="D1864" i="1" s="1"/>
  <c r="C1769" i="1"/>
  <c r="D1769" i="1" s="1"/>
  <c r="C2037" i="1"/>
  <c r="D2037" i="1" s="1"/>
  <c r="C1953" i="1"/>
  <c r="D1953" i="1" s="1"/>
  <c r="C1889" i="1"/>
  <c r="D1889" i="1" s="1"/>
  <c r="C1809" i="1"/>
  <c r="D1809" i="1" s="1"/>
  <c r="C1748" i="1"/>
  <c r="D1748" i="1" s="1"/>
  <c r="C1549" i="1"/>
  <c r="D1549" i="1" s="1"/>
  <c r="C2064" i="1"/>
  <c r="D2064" i="1" s="1"/>
  <c r="C1975" i="1"/>
  <c r="D1975" i="1" s="1"/>
  <c r="C1876" i="1"/>
  <c r="D1876" i="1" s="1"/>
  <c r="C1792" i="1"/>
  <c r="D1792" i="1" s="1"/>
  <c r="C1713" i="1"/>
  <c r="D1713" i="1" s="1"/>
  <c r="C1609" i="1"/>
  <c r="D1609" i="1" s="1"/>
  <c r="C1619" i="1"/>
  <c r="D1619" i="1" s="1"/>
  <c r="C1329" i="1"/>
  <c r="D1329" i="1" s="1"/>
  <c r="C635" i="1"/>
  <c r="D635" i="1" s="1"/>
  <c r="C1691" i="1"/>
  <c r="D1691" i="1" s="1"/>
  <c r="C1567" i="1"/>
  <c r="D1567" i="1" s="1"/>
  <c r="C1365" i="1"/>
  <c r="D1365" i="1" s="1"/>
  <c r="C1507" i="1"/>
  <c r="D1507" i="1" s="1"/>
  <c r="C1201" i="1"/>
  <c r="D1201" i="1" s="1"/>
  <c r="C1501" i="1"/>
  <c r="D1501" i="1" s="1"/>
  <c r="C1249" i="1"/>
  <c r="D1249" i="1" s="1"/>
  <c r="C1693" i="1"/>
  <c r="D1693" i="1" s="1"/>
  <c r="C1569" i="1"/>
  <c r="D1569" i="1" s="1"/>
  <c r="C1321" i="1"/>
  <c r="D1321" i="1" s="1"/>
  <c r="C1607" i="1"/>
  <c r="D1607" i="1" s="1"/>
  <c r="C1439" i="1"/>
  <c r="D1439" i="1" s="1"/>
  <c r="C871" i="1"/>
  <c r="D871" i="1" s="1"/>
  <c r="C563" i="1"/>
  <c r="D563" i="1" s="1"/>
  <c r="C1263" i="1"/>
  <c r="D1263" i="1" s="1"/>
  <c r="C1281" i="1"/>
  <c r="D1281" i="1" s="1"/>
  <c r="C1231" i="1"/>
  <c r="D1231" i="1" s="1"/>
  <c r="C585" i="1"/>
  <c r="D585" i="1" s="1"/>
  <c r="C508" i="1"/>
  <c r="D508" i="1" s="1"/>
  <c r="C395" i="1"/>
  <c r="D395" i="1" s="1"/>
  <c r="C631" i="1"/>
  <c r="D631" i="1" s="1"/>
  <c r="C385" i="1"/>
  <c r="D385" i="1" s="1"/>
  <c r="C811" i="1"/>
  <c r="D811" i="1" s="1"/>
  <c r="C534" i="1"/>
  <c r="D534" i="1" s="1"/>
  <c r="C438" i="1"/>
  <c r="D438" i="1" s="1"/>
  <c r="C847" i="1"/>
  <c r="D847" i="1" s="1"/>
  <c r="C517" i="1"/>
  <c r="D517" i="1" s="1"/>
  <c r="C1985" i="1"/>
  <c r="D1985" i="1" s="1"/>
  <c r="C1853" i="1"/>
  <c r="D1853" i="1" s="1"/>
  <c r="C1497" i="1"/>
  <c r="D1497" i="1" s="1"/>
  <c r="C1977" i="1"/>
  <c r="D1977" i="1" s="1"/>
  <c r="C2132" i="1"/>
  <c r="D2132" i="1" s="1"/>
  <c r="C1897" i="1"/>
  <c r="D1897" i="1" s="1"/>
  <c r="C2128" i="1"/>
  <c r="D2128" i="1" s="1"/>
  <c r="C1961" i="1"/>
  <c r="D1961" i="1" s="1"/>
  <c r="C1753" i="1"/>
  <c r="D1753" i="1" s="1"/>
  <c r="C2121" i="1"/>
  <c r="D2121" i="1" s="1"/>
  <c r="C2045" i="1"/>
  <c r="D2045" i="1" s="1"/>
  <c r="C1881" i="1"/>
  <c r="D1881" i="1" s="1"/>
  <c r="C1519" i="1"/>
  <c r="D1519" i="1" s="1"/>
  <c r="C2035" i="1"/>
  <c r="D2035" i="1" s="1"/>
  <c r="C1679" i="1"/>
  <c r="D1679" i="1" s="1"/>
  <c r="C2120" i="1"/>
  <c r="D2120" i="1" s="1"/>
  <c r="C1929" i="1"/>
  <c r="D1929" i="1" s="1"/>
  <c r="C2017" i="1"/>
  <c r="D2017" i="1" s="1"/>
  <c r="C1891" i="1"/>
  <c r="D1891" i="1" s="1"/>
  <c r="C1798" i="1"/>
  <c r="D1798" i="1" s="1"/>
  <c r="C1743" i="1"/>
  <c r="D1743" i="1" s="1"/>
  <c r="C1695" i="1"/>
  <c r="D1695" i="1" s="1"/>
  <c r="C1884" i="1"/>
  <c r="D1884" i="1" s="1"/>
  <c r="C1783" i="1"/>
  <c r="D1783" i="1" s="1"/>
  <c r="C1715" i="1"/>
  <c r="D1715" i="1" s="1"/>
  <c r="C1299" i="1"/>
  <c r="D1299" i="1" s="1"/>
  <c r="C2041" i="1"/>
  <c r="D2041" i="1" s="1"/>
  <c r="C1941" i="1"/>
  <c r="D1941" i="1" s="1"/>
  <c r="C1877" i="1"/>
  <c r="D1877" i="1" s="1"/>
  <c r="C1800" i="1"/>
  <c r="D1800" i="1" s="1"/>
  <c r="C1732" i="1"/>
  <c r="D1732" i="1" s="1"/>
  <c r="C1441" i="1"/>
  <c r="D1441" i="1" s="1"/>
  <c r="C2028" i="1"/>
  <c r="D2028" i="1" s="1"/>
  <c r="C1957" i="1"/>
  <c r="D1957" i="1" s="1"/>
  <c r="C1861" i="1"/>
  <c r="D1861" i="1" s="1"/>
  <c r="C1755" i="1"/>
  <c r="D1755" i="1" s="1"/>
  <c r="C2021" i="1"/>
  <c r="D2021" i="1" s="1"/>
  <c r="C1943" i="1"/>
  <c r="D1943" i="1" s="1"/>
  <c r="C1879" i="1"/>
  <c r="D1879" i="1" s="1"/>
  <c r="C1799" i="1"/>
  <c r="D1799" i="1" s="1"/>
  <c r="C1741" i="1"/>
  <c r="D1741" i="1" s="1"/>
  <c r="C1459" i="1"/>
  <c r="D1459" i="1" s="1"/>
  <c r="C2061" i="1"/>
  <c r="D2061" i="1" s="1"/>
  <c r="C1969" i="1"/>
  <c r="D1969" i="1" s="1"/>
  <c r="C1863" i="1"/>
  <c r="D1863" i="1" s="1"/>
  <c r="C1785" i="1"/>
  <c r="D1785" i="1" s="1"/>
  <c r="C1696" i="1"/>
  <c r="D1696" i="1" s="1"/>
  <c r="C1605" i="1"/>
  <c r="D1605" i="1" s="1"/>
  <c r="C1603" i="1"/>
  <c r="D1603" i="1" s="1"/>
  <c r="C1317" i="1"/>
  <c r="D1317" i="1" s="1"/>
  <c r="C549" i="1"/>
  <c r="D549" i="1" s="1"/>
  <c r="C1685" i="1"/>
  <c r="D1685" i="1" s="1"/>
  <c r="C1545" i="1"/>
  <c r="D1545" i="1" s="1"/>
  <c r="C1341" i="1"/>
  <c r="D1341" i="1" s="1"/>
  <c r="C1485" i="1"/>
  <c r="D1485" i="1" s="1"/>
  <c r="C953" i="1"/>
  <c r="D953" i="1" s="1"/>
  <c r="C1471" i="1"/>
  <c r="D1471" i="1" s="1"/>
  <c r="C1233" i="1"/>
  <c r="D1233" i="1" s="1"/>
  <c r="C1673" i="1"/>
  <c r="D1673" i="1" s="1"/>
  <c r="C1539" i="1"/>
  <c r="D1539" i="1" s="1"/>
  <c r="C1315" i="1"/>
  <c r="D1315" i="1" s="1"/>
  <c r="C1591" i="1"/>
  <c r="D1591" i="1" s="1"/>
  <c r="C1413" i="1"/>
  <c r="D1413" i="1" s="1"/>
  <c r="C975" i="1"/>
  <c r="D975" i="1" s="1"/>
  <c r="C467" i="1"/>
  <c r="D467" i="1" s="1"/>
  <c r="C967" i="1"/>
  <c r="D967" i="1" s="1"/>
  <c r="C1247" i="1"/>
  <c r="D1247" i="1" s="1"/>
  <c r="C949" i="1"/>
  <c r="D949" i="1" s="1"/>
  <c r="C573" i="1"/>
  <c r="D573" i="1" s="1"/>
  <c r="C494" i="1"/>
  <c r="D494" i="1" s="1"/>
  <c r="C389" i="1"/>
  <c r="D389" i="1" s="1"/>
  <c r="C619" i="1"/>
  <c r="D619" i="1" s="1"/>
  <c r="C761" i="1"/>
  <c r="D761" i="1" s="1"/>
  <c r="C524" i="1"/>
  <c r="D524" i="1" s="1"/>
  <c r="C409" i="1"/>
  <c r="D409" i="1" s="1"/>
  <c r="C795" i="1"/>
  <c r="D795" i="1" s="1"/>
  <c r="C499" i="1"/>
  <c r="D499" i="1" s="1"/>
  <c r="C1981" i="1"/>
  <c r="D1981" i="1" s="1"/>
  <c r="C1841" i="1"/>
  <c r="D1841" i="1" s="1"/>
  <c r="C1489" i="1"/>
  <c r="D1489" i="1" s="1"/>
  <c r="C1913" i="1"/>
  <c r="D1913" i="1" s="1"/>
  <c r="C2125" i="1"/>
  <c r="D2125" i="1" s="1"/>
  <c r="C1811" i="1"/>
  <c r="D1811" i="1" s="1"/>
  <c r="C2111" i="1"/>
  <c r="D2111" i="1" s="1"/>
  <c r="C1949" i="1"/>
  <c r="D1949" i="1" s="1"/>
  <c r="C2101" i="1"/>
  <c r="D2101" i="1" s="1"/>
  <c r="C2107" i="1"/>
  <c r="D2107" i="1" s="1"/>
  <c r="C2032" i="1"/>
  <c r="D2032" i="1" s="1"/>
  <c r="C1787" i="1"/>
  <c r="D1787" i="1" s="1"/>
  <c r="C2127" i="1"/>
  <c r="D2127" i="1" s="1"/>
  <c r="C1952" i="1"/>
  <c r="D1952" i="1" s="1"/>
  <c r="C1675" i="1"/>
  <c r="D1675" i="1" s="1"/>
  <c r="C2099" i="1"/>
  <c r="D2099" i="1" s="1"/>
  <c r="C1823" i="1"/>
  <c r="D1823" i="1" s="1"/>
  <c r="C2007" i="1"/>
  <c r="D2007" i="1" s="1"/>
  <c r="C1875" i="1"/>
  <c r="D1875" i="1" s="1"/>
  <c r="C1791" i="1"/>
  <c r="D1791" i="1" s="1"/>
  <c r="C1740" i="1"/>
  <c r="D1740" i="1" s="1"/>
  <c r="C1657" i="1"/>
  <c r="D1657" i="1" s="1"/>
  <c r="C1868" i="1"/>
  <c r="D1868" i="1" s="1"/>
  <c r="C1780" i="1"/>
  <c r="D1780" i="1" s="1"/>
  <c r="C1694" i="1"/>
  <c r="D1694" i="1" s="1"/>
  <c r="C2092" i="1"/>
  <c r="D2092" i="1" s="1"/>
  <c r="C1999" i="1"/>
  <c r="D1999" i="1" s="1"/>
  <c r="C1928" i="1"/>
  <c r="D1928" i="1" s="1"/>
  <c r="C1855" i="1"/>
  <c r="D1855" i="1" s="1"/>
  <c r="C1790" i="1"/>
  <c r="D1790" i="1" s="1"/>
  <c r="C1725" i="1"/>
  <c r="D1725" i="1" s="1"/>
  <c r="C2115" i="1"/>
  <c r="D2115" i="1" s="1"/>
  <c r="C2025" i="1"/>
  <c r="D2025" i="1" s="1"/>
  <c r="C1947" i="1"/>
  <c r="D1947" i="1" s="1"/>
  <c r="C1852" i="1"/>
  <c r="D1852" i="1" s="1"/>
  <c r="C1721" i="1"/>
  <c r="D1721" i="1" s="1"/>
  <c r="C2005" i="1"/>
  <c r="D2005" i="1" s="1"/>
  <c r="C1937" i="1"/>
  <c r="D1937" i="1" s="1"/>
  <c r="C1873" i="1"/>
  <c r="D1873" i="1" s="1"/>
  <c r="C1789" i="1"/>
  <c r="D1789" i="1" s="1"/>
  <c r="C1731" i="1"/>
  <c r="D1731" i="1" s="1"/>
  <c r="C1455" i="1"/>
  <c r="D1455" i="1" s="1"/>
  <c r="C2052" i="1"/>
  <c r="D2052" i="1" s="1"/>
  <c r="C1959" i="1"/>
  <c r="D1959" i="1" s="1"/>
  <c r="C1851" i="1"/>
  <c r="D1851" i="1" s="1"/>
  <c r="C1768" i="1"/>
  <c r="D1768" i="1" s="1"/>
  <c r="C1689" i="1"/>
  <c r="D1689" i="1" s="1"/>
  <c r="C1595" i="1"/>
  <c r="D1595" i="1" s="1"/>
  <c r="C1587" i="1"/>
  <c r="D1587" i="1" s="1"/>
  <c r="C1283" i="1"/>
  <c r="D1283" i="1" s="1"/>
  <c r="C1745" i="1"/>
  <c r="D1745" i="1" s="1"/>
  <c r="C1671" i="1"/>
  <c r="D1671" i="1" s="1"/>
  <c r="C1537" i="1"/>
  <c r="D1537" i="1" s="1"/>
  <c r="C1259" i="1"/>
  <c r="D1259" i="1" s="1"/>
  <c r="C1463" i="1"/>
  <c r="D1463" i="1" s="1"/>
  <c r="C841" i="1"/>
  <c r="D841" i="1" s="1"/>
  <c r="C1457" i="1"/>
  <c r="D1457" i="1" s="1"/>
  <c r="C1217" i="1"/>
  <c r="D1217" i="1" s="1"/>
  <c r="C1659" i="1"/>
  <c r="D1659" i="1" s="1"/>
  <c r="C1517" i="1"/>
  <c r="D1517" i="1" s="1"/>
  <c r="C707" i="1"/>
  <c r="D707" i="1" s="1"/>
  <c r="C1575" i="1"/>
  <c r="D1575" i="1" s="1"/>
  <c r="C1381" i="1"/>
  <c r="D1381" i="1" s="1"/>
  <c r="C903" i="1"/>
  <c r="D903" i="1" s="1"/>
  <c r="C543" i="1"/>
  <c r="D543" i="1" s="1"/>
  <c r="C403" i="1"/>
  <c r="D403" i="1" s="1"/>
  <c r="C887" i="1"/>
  <c r="D887" i="1" s="1"/>
  <c r="C1195" i="1"/>
  <c r="D1195" i="1" s="1"/>
  <c r="C895" i="1"/>
  <c r="D895" i="1" s="1"/>
  <c r="C557" i="1"/>
  <c r="D557" i="1" s="1"/>
  <c r="C460" i="1"/>
  <c r="D460" i="1" s="1"/>
  <c r="C382" i="1"/>
  <c r="D382" i="1" s="1"/>
  <c r="C569" i="1"/>
  <c r="D569" i="1" s="1"/>
  <c r="C959" i="1"/>
  <c r="D959" i="1" s="1"/>
  <c r="C667" i="1"/>
  <c r="D667" i="1" s="1"/>
  <c r="C503" i="1"/>
  <c r="D503" i="1" s="1"/>
  <c r="C398" i="1"/>
  <c r="D398" i="1" s="1"/>
  <c r="C739" i="1"/>
  <c r="D739" i="1" s="1"/>
  <c r="C469" i="1"/>
  <c r="D469" i="1" s="1"/>
  <c r="C1951" i="1"/>
  <c r="D1951" i="1" s="1"/>
  <c r="C2060" i="1"/>
  <c r="D2060" i="1" s="1"/>
  <c r="C1771" i="1"/>
  <c r="D1771" i="1" s="1"/>
  <c r="C1643" i="1"/>
  <c r="D1643" i="1" s="1"/>
  <c r="C2015" i="1"/>
  <c r="D2015" i="1" s="1"/>
  <c r="C1717" i="1"/>
  <c r="D1717" i="1" s="1"/>
  <c r="C1571" i="1"/>
  <c r="D1571" i="1" s="1"/>
  <c r="C1443" i="1"/>
  <c r="D1443" i="1" s="1"/>
  <c r="C551" i="1"/>
  <c r="D551" i="1" s="1"/>
  <c r="C655" i="1"/>
  <c r="D655" i="1" s="1"/>
  <c r="C669" i="1"/>
  <c r="D669" i="1" s="1"/>
  <c r="C458" i="1"/>
  <c r="D458" i="1" s="1"/>
  <c r="C911" i="1"/>
  <c r="D911" i="1" s="1"/>
  <c r="C595" i="1"/>
  <c r="D595" i="1" s="1"/>
  <c r="C485" i="1"/>
  <c r="D485" i="1" s="1"/>
  <c r="C421" i="1"/>
  <c r="D421" i="1" s="1"/>
  <c r="C589" i="1"/>
  <c r="D589" i="1" s="1"/>
  <c r="C501" i="1"/>
  <c r="D501" i="1" s="1"/>
  <c r="C404" i="1"/>
  <c r="D404" i="1" s="1"/>
  <c r="C889" i="1"/>
  <c r="D889" i="1" s="1"/>
  <c r="C657" i="1"/>
  <c r="D657" i="1" s="1"/>
  <c r="C511" i="1"/>
  <c r="D511" i="1" s="1"/>
  <c r="C446" i="1"/>
  <c r="D446" i="1" s="1"/>
  <c r="C777" i="1"/>
  <c r="D777" i="1" s="1"/>
  <c r="C547" i="1"/>
  <c r="D547" i="1" s="1"/>
  <c r="C445" i="1"/>
  <c r="D445" i="1" s="1"/>
  <c r="C523" i="1"/>
  <c r="D523" i="1" s="1"/>
  <c r="C470" i="1"/>
  <c r="D470" i="1" s="1"/>
  <c r="C837" i="1"/>
  <c r="D837" i="1" s="1"/>
  <c r="C476" i="1"/>
  <c r="D476" i="1" s="1"/>
  <c r="C495" i="1"/>
  <c r="D495" i="1" s="1"/>
  <c r="C449" i="1"/>
  <c r="D449" i="1" s="1"/>
  <c r="C1805" i="1"/>
  <c r="D1805" i="1" s="1"/>
  <c r="C2100" i="1"/>
  <c r="D2100" i="1" s="1"/>
  <c r="C1968" i="1"/>
  <c r="D1968" i="1" s="1"/>
  <c r="C2085" i="1"/>
  <c r="D2085" i="1" s="1"/>
  <c r="C1931" i="1"/>
  <c r="D1931" i="1" s="1"/>
  <c r="C1389" i="1"/>
  <c r="D1389" i="1" s="1"/>
  <c r="C1215" i="1"/>
  <c r="D1215" i="1" s="1"/>
  <c r="C1737" i="1"/>
  <c r="D1737" i="1" s="1"/>
  <c r="C439" i="1"/>
  <c r="D439" i="1" s="1"/>
  <c r="C493" i="1"/>
  <c r="D493" i="1" s="1"/>
  <c r="C633" i="1"/>
  <c r="D633" i="1" s="1"/>
  <c r="C444" i="1"/>
  <c r="D444" i="1" s="1"/>
  <c r="C454" i="1"/>
  <c r="D454" i="1" s="1"/>
  <c r="C885" i="1"/>
  <c r="D885" i="1" s="1"/>
  <c r="C567" i="1"/>
  <c r="D567" i="1" s="1"/>
  <c r="C479" i="1"/>
  <c r="D479" i="1" s="1"/>
  <c r="C414" i="1"/>
  <c r="D414" i="1" s="1"/>
  <c r="C575" i="1"/>
  <c r="D575" i="1" s="1"/>
  <c r="C487" i="1"/>
  <c r="D487" i="1" s="1"/>
  <c r="C397" i="1"/>
  <c r="D397" i="1" s="1"/>
  <c r="C839" i="1"/>
  <c r="D839" i="1" s="1"/>
  <c r="C649" i="1"/>
  <c r="D649" i="1" s="1"/>
  <c r="C507" i="1"/>
  <c r="D507" i="1" s="1"/>
  <c r="C433" i="1"/>
  <c r="D433" i="1" s="1"/>
  <c r="C745" i="1"/>
  <c r="D745" i="1" s="1"/>
  <c r="C529" i="1"/>
  <c r="D529" i="1" s="1"/>
  <c r="C419" i="1"/>
  <c r="D419" i="1" s="1"/>
  <c r="C430" i="1"/>
  <c r="D430" i="1" s="1"/>
  <c r="C621" i="1"/>
  <c r="D621" i="1" s="1"/>
  <c r="C1692" i="1"/>
  <c r="D1692" i="1" s="1"/>
  <c r="C601" i="1"/>
  <c r="D601" i="1" s="1"/>
  <c r="C597" i="1"/>
  <c r="D597" i="1" s="1"/>
  <c r="C2119" i="1"/>
  <c r="D2119" i="1" s="1"/>
  <c r="C2013" i="1"/>
  <c r="D2013" i="1" s="1"/>
  <c r="C1847" i="1"/>
  <c r="D1847" i="1" s="1"/>
  <c r="C1996" i="1"/>
  <c r="D1996" i="1" s="1"/>
  <c r="C1849" i="1"/>
  <c r="D1849" i="1" s="1"/>
  <c r="C2049" i="1"/>
  <c r="D2049" i="1" s="1"/>
  <c r="C1728" i="1"/>
  <c r="D1728" i="1" s="1"/>
  <c r="C1645" i="1"/>
  <c r="D1645" i="1" s="1"/>
  <c r="C388" i="1"/>
  <c r="D388" i="1" s="1"/>
  <c r="C969" i="1"/>
  <c r="D969" i="1" s="1"/>
  <c r="C587" i="1"/>
  <c r="D587" i="1" s="1"/>
  <c r="C441" i="1"/>
  <c r="D441" i="1" s="1"/>
  <c r="C425" i="1"/>
  <c r="D425" i="1" s="1"/>
  <c r="C863" i="1"/>
  <c r="D863" i="1" s="1"/>
  <c r="C555" i="1"/>
  <c r="D555" i="1" s="1"/>
  <c r="C475" i="1"/>
  <c r="D475" i="1" s="1"/>
  <c r="C400" i="1"/>
  <c r="D400" i="1" s="1"/>
  <c r="C561" i="1"/>
  <c r="D561" i="1" s="1"/>
  <c r="C481" i="1"/>
  <c r="D481" i="1" s="1"/>
  <c r="C391" i="1"/>
  <c r="D391" i="1" s="1"/>
  <c r="C831" i="1"/>
  <c r="D831" i="1" s="1"/>
  <c r="C643" i="1"/>
  <c r="D643" i="1" s="1"/>
  <c r="C483" i="1"/>
  <c r="D483" i="1" s="1"/>
  <c r="C420" i="1"/>
  <c r="D420" i="1" s="1"/>
  <c r="C713" i="1"/>
  <c r="D713" i="1" s="1"/>
  <c r="C522" i="1"/>
  <c r="D522" i="1" s="1"/>
  <c r="C416" i="1"/>
  <c r="D416" i="1" s="1"/>
  <c r="C432" i="1"/>
  <c r="D432" i="1" s="1"/>
  <c r="C384" i="1"/>
  <c r="D384" i="1" s="1"/>
  <c r="C1782" i="1"/>
  <c r="D1782" i="1" s="1"/>
  <c r="C729" i="1"/>
  <c r="D729" i="1" s="1"/>
  <c r="C428" i="1"/>
  <c r="D428" i="1" s="1"/>
  <c r="C1781" i="1"/>
  <c r="D1781" i="1" s="1"/>
  <c r="C1726" i="1"/>
  <c r="D1726" i="1" s="1"/>
  <c r="C1784" i="1"/>
  <c r="D1784" i="1" s="1"/>
  <c r="C1925" i="1"/>
  <c r="D1925" i="1" s="1"/>
  <c r="C1707" i="1"/>
  <c r="D1707" i="1" s="1"/>
  <c r="C1956" i="1"/>
  <c r="D1956" i="1" s="1"/>
  <c r="C1649" i="1"/>
  <c r="D1649" i="1" s="1"/>
  <c r="C1487" i="1"/>
  <c r="D1487" i="1" s="1"/>
  <c r="C1211" i="1"/>
  <c r="D1211" i="1" s="1"/>
  <c r="C541" i="1"/>
  <c r="D541" i="1" s="1"/>
  <c r="C723" i="1"/>
  <c r="D723" i="1" s="1"/>
  <c r="C917" i="1"/>
  <c r="D917" i="1" s="1"/>
  <c r="C540" i="1"/>
  <c r="D540" i="1" s="1"/>
  <c r="C429" i="1"/>
  <c r="D429" i="1" s="1"/>
  <c r="C753" i="1"/>
  <c r="D753" i="1" s="1"/>
  <c r="C539" i="1"/>
  <c r="D539" i="1" s="1"/>
  <c r="C457" i="1"/>
  <c r="D457" i="1" s="1"/>
  <c r="C379" i="1"/>
  <c r="D379" i="1" s="1"/>
  <c r="C542" i="1"/>
  <c r="D542" i="1" s="1"/>
  <c r="C478" i="1"/>
  <c r="D478" i="1" s="1"/>
  <c r="C381" i="1"/>
  <c r="D381" i="1" s="1"/>
  <c r="C821" i="1"/>
  <c r="D821" i="1" s="1"/>
  <c r="C627" i="1"/>
  <c r="D627" i="1" s="1"/>
  <c r="C474" i="1"/>
  <c r="D474" i="1" s="1"/>
  <c r="C413" i="1"/>
  <c r="D413" i="1" s="1"/>
  <c r="C651" i="1"/>
  <c r="D651" i="1" s="1"/>
  <c r="C513" i="1"/>
  <c r="D513" i="1" s="1"/>
  <c r="C412" i="1"/>
  <c r="D412" i="1" s="1"/>
  <c r="C502" i="1"/>
  <c r="D502" i="1" s="1"/>
  <c r="C505" i="1"/>
  <c r="D505" i="1" s="1"/>
  <c r="C462" i="1"/>
  <c r="D462" i="1" s="1"/>
  <c r="C1919" i="1"/>
  <c r="D1919" i="1" s="1"/>
  <c r="C879" i="1"/>
  <c r="D879" i="1" s="1"/>
  <c r="C809" i="1"/>
  <c r="D809" i="1" s="1"/>
  <c r="C2108" i="1"/>
  <c r="D2108" i="1" s="1"/>
  <c r="C2124" i="1"/>
  <c r="D2124" i="1" s="1"/>
  <c r="C1733" i="1"/>
  <c r="D1733" i="1" s="1"/>
  <c r="C1843" i="1"/>
  <c r="D1843" i="1" s="1"/>
  <c r="C1995" i="1"/>
  <c r="D1995" i="1" s="1"/>
  <c r="C1848" i="1"/>
  <c r="D1848" i="1" s="1"/>
  <c r="C1491" i="1"/>
  <c r="D1491" i="1" s="1"/>
  <c r="C515" i="1"/>
  <c r="D515" i="1" s="1"/>
  <c r="C1427" i="1"/>
  <c r="D1427" i="1" s="1"/>
  <c r="C455" i="1"/>
  <c r="D455" i="1" s="1"/>
  <c r="C869" i="1"/>
  <c r="D869" i="1" s="1"/>
  <c r="C533" i="1"/>
  <c r="D533" i="1" s="1"/>
  <c r="C415" i="1"/>
  <c r="D415" i="1" s="1"/>
  <c r="C747" i="1"/>
  <c r="D747" i="1" s="1"/>
  <c r="C526" i="1"/>
  <c r="D526" i="1" s="1"/>
  <c r="C443" i="1"/>
  <c r="D443" i="1" s="1"/>
  <c r="C625" i="1"/>
  <c r="D625" i="1" s="1"/>
  <c r="C536" i="1"/>
  <c r="D536" i="1" s="1"/>
  <c r="C452" i="1"/>
  <c r="D452" i="1" s="1"/>
  <c r="C801" i="1"/>
  <c r="D801" i="1" s="1"/>
  <c r="C605" i="1"/>
  <c r="D605" i="1" s="1"/>
  <c r="C471" i="1"/>
  <c r="D471" i="1" s="1"/>
  <c r="C407" i="1"/>
  <c r="D407" i="1" s="1"/>
  <c r="C857" i="1"/>
  <c r="D857" i="1" s="1"/>
  <c r="C637" i="1"/>
  <c r="D637" i="1" s="1"/>
  <c r="C510" i="1"/>
  <c r="D510" i="1" s="1"/>
  <c r="C393" i="1"/>
  <c r="D393" i="1" s="1"/>
  <c r="C553" i="1"/>
  <c r="D553" i="1" s="1"/>
  <c r="C1773" i="1"/>
  <c r="D1773" i="1" s="1"/>
  <c r="C951" i="1"/>
  <c r="D951" i="1" s="1"/>
  <c r="C520" i="1"/>
  <c r="D520" i="1" s="1"/>
  <c r="C545" i="1"/>
  <c r="D545" i="1" s="1"/>
  <c r="C577" i="1"/>
  <c r="D577" i="1" s="1"/>
  <c r="C1788" i="1"/>
  <c r="D1788" i="1" s="1"/>
  <c r="C1933" i="1"/>
  <c r="D1933" i="1" s="1"/>
  <c r="C1565" i="1"/>
  <c r="D1565" i="1" s="1"/>
  <c r="C1776" i="1"/>
  <c r="D1776" i="1" s="1"/>
  <c r="C1927" i="1"/>
  <c r="D1927" i="1" s="1"/>
  <c r="C1758" i="1"/>
  <c r="D1758" i="1" s="1"/>
  <c r="C1179" i="1"/>
  <c r="D1179" i="1" s="1"/>
  <c r="C1555" i="1"/>
  <c r="D1555" i="1" s="1"/>
  <c r="C645" i="1"/>
  <c r="D645" i="1" s="1"/>
  <c r="C785" i="1"/>
  <c r="D785" i="1" s="1"/>
  <c r="C506" i="1"/>
  <c r="D506" i="1" s="1"/>
  <c r="C380" i="1"/>
  <c r="D380" i="1" s="1"/>
  <c r="C659" i="1"/>
  <c r="D659" i="1" s="1"/>
  <c r="C509" i="1"/>
  <c r="D509" i="1" s="1"/>
  <c r="C436" i="1"/>
  <c r="D436" i="1" s="1"/>
  <c r="C611" i="1"/>
  <c r="D611" i="1" s="1"/>
  <c r="C527" i="1"/>
  <c r="D527" i="1" s="1"/>
  <c r="C437" i="1"/>
  <c r="D437" i="1" s="1"/>
  <c r="C769" i="1"/>
  <c r="D769" i="1" s="1"/>
  <c r="C583" i="1"/>
  <c r="D583" i="1" s="1"/>
  <c r="C465" i="1"/>
  <c r="D465" i="1" s="1"/>
  <c r="C387" i="1"/>
  <c r="D387" i="1" s="1"/>
  <c r="C823" i="1"/>
  <c r="D823" i="1" s="1"/>
  <c r="C629" i="1"/>
  <c r="D629" i="1" s="1"/>
  <c r="C473" i="1"/>
  <c r="D473" i="1" s="1"/>
  <c r="C383" i="1"/>
  <c r="D383" i="1" s="1"/>
  <c r="C779" i="1"/>
  <c r="D779" i="1" s="1"/>
  <c r="C603" i="1"/>
  <c r="D603" i="1" s="1"/>
  <c r="C737" i="1"/>
  <c r="D737" i="1" s="1"/>
  <c r="C2089" i="1"/>
  <c r="D2089" i="1" s="1"/>
  <c r="C417" i="1"/>
  <c r="D417" i="1" s="1"/>
  <c r="C665" i="1"/>
  <c r="D665" i="1" s="1"/>
  <c r="C2104" i="1"/>
  <c r="D2104" i="1" s="1"/>
  <c r="C1579" i="1"/>
  <c r="D1579" i="1" s="1"/>
  <c r="C1865" i="1"/>
  <c r="D1865" i="1" s="1"/>
  <c r="C1704" i="1"/>
  <c r="D1704" i="1" s="1"/>
  <c r="C1839" i="1"/>
  <c r="D1839" i="1" s="1"/>
  <c r="C1667" i="1"/>
  <c r="D1667" i="1" s="1"/>
  <c r="C1411" i="1"/>
  <c r="D1411" i="1" s="1"/>
  <c r="C1361" i="1"/>
  <c r="D1361" i="1" s="1"/>
  <c r="C1185" i="1"/>
  <c r="D1185" i="1" s="1"/>
  <c r="C613" i="1"/>
  <c r="D613" i="1" s="1"/>
  <c r="C815" i="1"/>
  <c r="D815" i="1" s="1"/>
  <c r="C2105" i="1"/>
  <c r="D2105" i="1" s="1"/>
  <c r="C671" i="1"/>
  <c r="D671" i="1" s="1"/>
  <c r="C461" i="1"/>
  <c r="D461" i="1" s="1"/>
  <c r="C182" i="1"/>
  <c r="D182" i="1" s="1"/>
  <c r="C183" i="1"/>
  <c r="D183" i="1" s="1"/>
  <c r="C184" i="1"/>
  <c r="D184" i="1" s="1"/>
  <c r="C185" i="1"/>
  <c r="D185" i="1" s="1"/>
  <c r="C36" i="1"/>
  <c r="D36" i="1" s="1"/>
  <c r="C168" i="1"/>
  <c r="D168" i="1" s="1"/>
  <c r="C48" i="1"/>
  <c r="D48" i="1" s="1"/>
  <c r="C108" i="1"/>
  <c r="D108" i="1" s="1"/>
  <c r="C60" i="1"/>
  <c r="D60" i="1" s="1"/>
  <c r="C72" i="1"/>
  <c r="D72" i="1" s="1"/>
  <c r="C84" i="1"/>
  <c r="D84" i="1" s="1"/>
  <c r="C96" i="1"/>
  <c r="D96" i="1" s="1"/>
  <c r="C102" i="1"/>
  <c r="D102" i="1" s="1"/>
  <c r="C120" i="1"/>
  <c r="D120" i="1" s="1"/>
  <c r="C156" i="1"/>
  <c r="D156" i="1" s="1"/>
  <c r="C132" i="1"/>
  <c r="D132" i="1" s="1"/>
  <c r="C30" i="1"/>
  <c r="D30" i="1" s="1"/>
  <c r="C144" i="1"/>
  <c r="D144" i="1" s="1"/>
  <c r="C34" i="1"/>
  <c r="D34" i="1" s="1"/>
  <c r="C33" i="1"/>
  <c r="D33" i="1" s="1"/>
  <c r="C152" i="1"/>
  <c r="D152" i="1" s="1"/>
  <c r="C137" i="1"/>
  <c r="D137" i="1" s="1"/>
  <c r="C115" i="1"/>
  <c r="D115" i="1" s="1"/>
  <c r="C78" i="1"/>
  <c r="D78" i="1" s="1"/>
  <c r="C88" i="1"/>
  <c r="D88" i="1" s="1"/>
  <c r="C28" i="1"/>
  <c r="D28" i="1" s="1"/>
  <c r="C75" i="1"/>
  <c r="D75" i="1" s="1"/>
  <c r="C122" i="1"/>
  <c r="D122" i="1" s="1"/>
  <c r="C157" i="1"/>
  <c r="D157" i="1" s="1"/>
  <c r="C89" i="1"/>
  <c r="D89" i="1" s="1"/>
  <c r="C95" i="1"/>
  <c r="D95" i="1" s="1"/>
  <c r="C44" i="1"/>
  <c r="D44" i="1" s="1"/>
  <c r="C219" i="1"/>
  <c r="D219" i="1" s="1"/>
  <c r="C53" i="1"/>
  <c r="D53" i="1" s="1"/>
  <c r="C32" i="1"/>
  <c r="D32" i="1" s="1"/>
  <c r="C112" i="1"/>
  <c r="D112" i="1" s="1"/>
  <c r="C164" i="1"/>
  <c r="D164" i="1" s="1"/>
  <c r="C141" i="1"/>
  <c r="D141" i="1" s="1"/>
  <c r="C140" i="1"/>
  <c r="D140" i="1" s="1"/>
  <c r="C103" i="1"/>
  <c r="D103" i="1" s="1"/>
  <c r="C66" i="1"/>
  <c r="D66" i="1" s="1"/>
  <c r="C76" i="1"/>
  <c r="D76" i="1" s="1"/>
  <c r="C63" i="1"/>
  <c r="D63" i="1" s="1"/>
  <c r="C26" i="1"/>
  <c r="D26" i="1" s="1"/>
  <c r="C110" i="1"/>
  <c r="D110" i="1" s="1"/>
  <c r="C145" i="1"/>
  <c r="D145" i="1" s="1"/>
  <c r="C217" i="1"/>
  <c r="D217" i="1" s="1"/>
  <c r="C83" i="1"/>
  <c r="D83" i="1" s="1"/>
  <c r="C225" i="1"/>
  <c r="D225" i="1" s="1"/>
  <c r="C166" i="1"/>
  <c r="D166" i="1" s="1"/>
  <c r="C179" i="1"/>
  <c r="D179" i="1" s="1"/>
  <c r="C111" i="1"/>
  <c r="D111" i="1" s="1"/>
  <c r="C70" i="1"/>
  <c r="D70" i="1" s="1"/>
  <c r="C176" i="1"/>
  <c r="D176" i="1" s="1"/>
  <c r="C99" i="1"/>
  <c r="D99" i="1" s="1"/>
  <c r="C127" i="1"/>
  <c r="D127" i="1" s="1"/>
  <c r="C100" i="1"/>
  <c r="D100" i="1" s="1"/>
  <c r="C169" i="1"/>
  <c r="D169" i="1" s="1"/>
  <c r="C129" i="1"/>
  <c r="D129" i="1" s="1"/>
  <c r="C128" i="1"/>
  <c r="D128" i="1" s="1"/>
  <c r="C215" i="1"/>
  <c r="D215" i="1" s="1"/>
  <c r="C19" i="1"/>
  <c r="D19" i="1" s="1"/>
  <c r="C91" i="1"/>
  <c r="D91" i="1" s="1"/>
  <c r="C54" i="1"/>
  <c r="D54" i="1" s="1"/>
  <c r="C64" i="1"/>
  <c r="D64" i="1" s="1"/>
  <c r="C51" i="1"/>
  <c r="D51" i="1" s="1"/>
  <c r="C14" i="1"/>
  <c r="D14" i="1" s="1"/>
  <c r="C98" i="1"/>
  <c r="D98" i="1" s="1"/>
  <c r="C133" i="1"/>
  <c r="D133" i="1" s="1"/>
  <c r="C71" i="1"/>
  <c r="D71" i="1" s="1"/>
  <c r="C13" i="1"/>
  <c r="D13" i="1" s="1"/>
  <c r="C154" i="1"/>
  <c r="D154" i="1" s="1"/>
  <c r="C204" i="1"/>
  <c r="D204" i="1" s="1"/>
  <c r="C149" i="1"/>
  <c r="D149" i="1" s="1"/>
  <c r="C119" i="1"/>
  <c r="D119" i="1" s="1"/>
  <c r="C212" i="1"/>
  <c r="D212" i="1" s="1"/>
  <c r="C216" i="1"/>
  <c r="D216" i="1" s="1"/>
  <c r="C65" i="1"/>
  <c r="D65" i="1" s="1"/>
  <c r="C105" i="1"/>
  <c r="D105" i="1" s="1"/>
  <c r="C116" i="1"/>
  <c r="D116" i="1" s="1"/>
  <c r="C79" i="1"/>
  <c r="D79" i="1" s="1"/>
  <c r="C42" i="1"/>
  <c r="D42" i="1" s="1"/>
  <c r="C52" i="1"/>
  <c r="D52" i="1" s="1"/>
  <c r="C218" i="1"/>
  <c r="D218" i="1" s="1"/>
  <c r="C39" i="1"/>
  <c r="D39" i="1" s="1"/>
  <c r="C86" i="1"/>
  <c r="D86" i="1" s="1"/>
  <c r="C121" i="1"/>
  <c r="D121" i="1" s="1"/>
  <c r="C59" i="1"/>
  <c r="D59" i="1" s="1"/>
  <c r="C142" i="1"/>
  <c r="D142" i="1" s="1"/>
  <c r="C49" i="1"/>
  <c r="D49" i="1" s="1"/>
  <c r="C223" i="1"/>
  <c r="D223" i="1" s="1"/>
  <c r="C15" i="1"/>
  <c r="D15" i="1" s="1"/>
  <c r="C16" i="1"/>
  <c r="D16" i="1" s="1"/>
  <c r="C93" i="1"/>
  <c r="D93" i="1" s="1"/>
  <c r="C20" i="1"/>
  <c r="D20" i="1" s="1"/>
  <c r="C104" i="1"/>
  <c r="D104" i="1" s="1"/>
  <c r="C67" i="1"/>
  <c r="D67" i="1" s="1"/>
  <c r="C224" i="1"/>
  <c r="D224" i="1" s="1"/>
  <c r="C29" i="1"/>
  <c r="D29" i="1" s="1"/>
  <c r="C40" i="1"/>
  <c r="D40" i="1" s="1"/>
  <c r="C208" i="1"/>
  <c r="D208" i="1" s="1"/>
  <c r="C171" i="1"/>
  <c r="D171" i="1" s="1"/>
  <c r="C220" i="1"/>
  <c r="D220" i="1" s="1"/>
  <c r="C74" i="1"/>
  <c r="D74" i="1" s="1"/>
  <c r="C25" i="1"/>
  <c r="D25" i="1" s="1"/>
  <c r="C109" i="1"/>
  <c r="D109" i="1" s="1"/>
  <c r="C47" i="1"/>
  <c r="D47" i="1" s="1"/>
  <c r="C130" i="1"/>
  <c r="D130" i="1" s="1"/>
  <c r="C27" i="1"/>
  <c r="D27" i="1" s="1"/>
  <c r="C131" i="1"/>
  <c r="D131" i="1" s="1"/>
  <c r="C139" i="1"/>
  <c r="D139" i="1" s="1"/>
  <c r="C114" i="1"/>
  <c r="D114" i="1" s="1"/>
  <c r="C146" i="1"/>
  <c r="D146" i="1" s="1"/>
  <c r="C77" i="1"/>
  <c r="D77" i="1" s="1"/>
  <c r="C87" i="1"/>
  <c r="D87" i="1" s="1"/>
  <c r="C107" i="1"/>
  <c r="D107" i="1" s="1"/>
  <c r="C81" i="1"/>
  <c r="D81" i="1" s="1"/>
  <c r="C92" i="1"/>
  <c r="D92" i="1" s="1"/>
  <c r="C213" i="1"/>
  <c r="D213" i="1" s="1"/>
  <c r="C55" i="1"/>
  <c r="D55" i="1" s="1"/>
  <c r="C221" i="1"/>
  <c r="D221" i="1" s="1"/>
  <c r="C174" i="1"/>
  <c r="D174" i="1" s="1"/>
  <c r="C172" i="1"/>
  <c r="D172" i="1" s="1"/>
  <c r="C210" i="1"/>
  <c r="D210" i="1" s="1"/>
  <c r="C159" i="1"/>
  <c r="D159" i="1" s="1"/>
  <c r="C62" i="1"/>
  <c r="D62" i="1" s="1"/>
  <c r="C97" i="1"/>
  <c r="D97" i="1" s="1"/>
  <c r="C35" i="1"/>
  <c r="D35" i="1" s="1"/>
  <c r="C118" i="1"/>
  <c r="D118" i="1" s="1"/>
  <c r="C151" i="1"/>
  <c r="D151" i="1" s="1"/>
  <c r="C37" i="1"/>
  <c r="D37" i="1" s="1"/>
  <c r="C211" i="1"/>
  <c r="D211" i="1" s="1"/>
  <c r="C24" i="1"/>
  <c r="D24" i="1" s="1"/>
  <c r="C69" i="1"/>
  <c r="D69" i="1" s="1"/>
  <c r="C80" i="1"/>
  <c r="D80" i="1" s="1"/>
  <c r="C43" i="1"/>
  <c r="D43" i="1" s="1"/>
  <c r="C21" i="1"/>
  <c r="D21" i="1" s="1"/>
  <c r="C181" i="1"/>
  <c r="D181" i="1" s="1"/>
  <c r="C162" i="1"/>
  <c r="D162" i="1" s="1"/>
  <c r="C125" i="1"/>
  <c r="D125" i="1" s="1"/>
  <c r="C160" i="1"/>
  <c r="D160" i="1" s="1"/>
  <c r="C147" i="1"/>
  <c r="D147" i="1" s="1"/>
  <c r="C113" i="1"/>
  <c r="D113" i="1" s="1"/>
  <c r="C50" i="1"/>
  <c r="D50" i="1" s="1"/>
  <c r="C85" i="1"/>
  <c r="D85" i="1" s="1"/>
  <c r="C226" i="1"/>
  <c r="D226" i="1" s="1"/>
  <c r="C167" i="1"/>
  <c r="D167" i="1" s="1"/>
  <c r="C106" i="1"/>
  <c r="D106" i="1" s="1"/>
  <c r="C41" i="1"/>
  <c r="D41" i="1" s="1"/>
  <c r="C90" i="1"/>
  <c r="D90" i="1" s="1"/>
  <c r="C134" i="1"/>
  <c r="D134" i="1" s="1"/>
  <c r="C46" i="1"/>
  <c r="D46" i="1" s="1"/>
  <c r="C57" i="1"/>
  <c r="D57" i="1" s="1"/>
  <c r="C68" i="1"/>
  <c r="D68" i="1" s="1"/>
  <c r="C175" i="1"/>
  <c r="D175" i="1" s="1"/>
  <c r="C31" i="1"/>
  <c r="D31" i="1" s="1"/>
  <c r="C150" i="1"/>
  <c r="D150" i="1" s="1"/>
  <c r="C148" i="1"/>
  <c r="D148" i="1" s="1"/>
  <c r="C101" i="1"/>
  <c r="D101" i="1" s="1"/>
  <c r="C135" i="1"/>
  <c r="D135" i="1" s="1"/>
  <c r="C38" i="1"/>
  <c r="D38" i="1" s="1"/>
  <c r="C73" i="1"/>
  <c r="D73" i="1" s="1"/>
  <c r="C214" i="1"/>
  <c r="D214" i="1" s="1"/>
  <c r="C155" i="1"/>
  <c r="D155" i="1" s="1"/>
  <c r="C17" i="1"/>
  <c r="D17" i="1" s="1"/>
  <c r="C22" i="1"/>
  <c r="D22" i="1" s="1"/>
  <c r="C94" i="1"/>
  <c r="D94" i="1" s="1"/>
  <c r="C117" i="1"/>
  <c r="D117" i="1" s="1"/>
  <c r="C126" i="1"/>
  <c r="D126" i="1" s="1"/>
  <c r="C124" i="1"/>
  <c r="D124" i="1" s="1"/>
  <c r="C173" i="1"/>
  <c r="D173" i="1" s="1"/>
  <c r="C58" i="1"/>
  <c r="D58" i="1" s="1"/>
  <c r="C18" i="1"/>
  <c r="D18" i="1" s="1"/>
  <c r="C45" i="1"/>
  <c r="D45" i="1" s="1"/>
  <c r="C56" i="1"/>
  <c r="D56" i="1" s="1"/>
  <c r="C163" i="1"/>
  <c r="D163" i="1" s="1"/>
  <c r="C153" i="1"/>
  <c r="D153" i="1" s="1"/>
  <c r="C138" i="1"/>
  <c r="D138" i="1" s="1"/>
  <c r="C209" i="1"/>
  <c r="D209" i="1" s="1"/>
  <c r="C136" i="1"/>
  <c r="D136" i="1" s="1"/>
  <c r="C123" i="1"/>
  <c r="D123" i="1" s="1"/>
  <c r="C12" i="1"/>
  <c r="D12" i="1" s="1"/>
  <c r="C170" i="1"/>
  <c r="D170" i="1" s="1"/>
  <c r="C61" i="1"/>
  <c r="D61" i="1" s="1"/>
  <c r="C143" i="1"/>
  <c r="D143" i="1" s="1"/>
  <c r="C161" i="1"/>
  <c r="D161" i="1" s="1"/>
  <c r="C82" i="1"/>
  <c r="D82" i="1" s="1"/>
  <c r="C165" i="1"/>
  <c r="D165" i="1" s="1"/>
  <c r="C158" i="1"/>
  <c r="D158" i="1" s="1"/>
  <c r="C222" i="1"/>
  <c r="D222" i="1" s="1"/>
  <c r="C23" i="1"/>
  <c r="D23" i="1" s="1"/>
  <c r="C200" i="1"/>
  <c r="D200" i="1" s="1"/>
  <c r="C178" i="1"/>
  <c r="D178" i="1" s="1"/>
  <c r="C199" i="1"/>
  <c r="D199" i="1" s="1"/>
  <c r="C207" i="1"/>
  <c r="D207" i="1" s="1"/>
  <c r="C206" i="1"/>
  <c r="D206" i="1" s="1"/>
  <c r="C201" i="1"/>
  <c r="D201" i="1" s="1"/>
  <c r="C205" i="1"/>
  <c r="D205" i="1" s="1"/>
  <c r="C180" i="1"/>
  <c r="D180" i="1" s="1"/>
  <c r="C8" i="1"/>
  <c r="D8" i="1" s="1"/>
  <c r="C198" i="1"/>
  <c r="D198" i="1" s="1"/>
  <c r="C9" i="1"/>
  <c r="D9" i="1" s="1"/>
  <c r="C10" i="1"/>
  <c r="D10" i="1" s="1"/>
  <c r="C11" i="1"/>
  <c r="D11" i="1" s="1"/>
  <c r="C197" i="1"/>
  <c r="D197" i="1" s="1"/>
  <c r="C203" i="1"/>
  <c r="D203" i="1" s="1"/>
  <c r="C196" i="1"/>
  <c r="D196" i="1" s="1"/>
  <c r="C202" i="1"/>
  <c r="D202" i="1" s="1"/>
  <c r="C5" i="1"/>
  <c r="D5" i="1" s="1"/>
  <c r="C186" i="1"/>
  <c r="D186" i="1" s="1"/>
  <c r="C6" i="1"/>
  <c r="D6" i="1" s="1"/>
  <c r="C2" i="1"/>
  <c r="D2" i="1" s="1"/>
  <c r="C3" i="1"/>
  <c r="D3" i="1" s="1"/>
  <c r="C193" i="1"/>
  <c r="D193" i="1" s="1"/>
  <c r="C192" i="1"/>
  <c r="D192" i="1" s="1"/>
  <c r="C194" i="1"/>
  <c r="D194" i="1" s="1"/>
  <c r="C189" i="1"/>
  <c r="D189" i="1" s="1"/>
  <c r="C190" i="1"/>
  <c r="D190" i="1" s="1"/>
  <c r="C188" i="1"/>
  <c r="D188" i="1" s="1"/>
  <c r="C4" i="1"/>
  <c r="D4" i="1" s="1"/>
  <c r="C195" i="1"/>
  <c r="D195" i="1" s="1"/>
  <c r="C187" i="1"/>
  <c r="D187" i="1" s="1"/>
  <c r="C177" i="1"/>
  <c r="D177" i="1" s="1"/>
  <c r="C191" i="1"/>
  <c r="D191" i="1" s="1"/>
  <c r="C7" i="1"/>
  <c r="D7" i="1" s="1"/>
</calcChain>
</file>

<file path=xl/sharedStrings.xml><?xml version="1.0" encoding="utf-8"?>
<sst xmlns="http://schemas.openxmlformats.org/spreadsheetml/2006/main" count="3812" uniqueCount="3782">
  <si>
    <t>Count</t>
  </si>
  <si>
    <t>LastWeekAverage</t>
  </si>
  <si>
    <t>Category</t>
  </si>
  <si>
    <t>Review Comments</t>
  </si>
  <si>
    <t>trim 255 for vloopup</t>
  </si>
  <si>
    <t>trim 255 for VLOOKUP</t>
  </si>
  <si>
    <t>Average(total/30 +30%)</t>
  </si>
  <si>
    <t>EMSG:- MSG:- STRACE1:com.farmers.lob.pa.driverassignment.DriverAssignmentDriver.setDriverOrderData</t>
  </si>
  <si>
    <t>EMSG:- MSG:Failed to find Driver Order Class Code for XXX STRACE1:-</t>
  </si>
  <si>
    <t>EMSG:Failed to find Driver Order Class Code for XXX MSG:Error in Executing DriverAssignmentLUWRule#satisfied: STRACE1:com.farmers.lob.pa.driverassignment.DriverAssignmentDriver.setDriverOrderData</t>
  </si>
  <si>
    <t>EMSG:Failed to find Driver Order Class Code for XXX MSG:Exception occurred during QuoteProcess_requestQuote... STRACE1:com.farmers.lob.pa.driverassignment.DriverAssignmentDriver.setDriverOrderData</t>
  </si>
  <si>
    <t>EMSG:Failed to find Driver Order Class Code for XXX MSG:Failed to find Driver Order Class Code for XXX STRACE1:com.farmers.lob.pa.driverassignment.DriverAssignmentDriver.setDriverOrderData</t>
  </si>
  <si>
    <t>EMSG:- MSG:- STRACE1:com.guidewire.pl.system.workqueue.DistributedWorkerControllerImpl.checkOutWorkItems</t>
  </si>
  <si>
    <t>EMSG:\ MSG:AutomatedJob STRACE1:gw.lang.enhancements.CoreIterableEnhancement.partitionUniquely</t>
  </si>
  <si>
    <t>EMSG:- MSG:- STRACE1:com.guidewire.pl.system.integration.messaging.dispatch.MessagingHelperProxy$Operation.getDestinationNotOwnedResult</t>
  </si>
  <si>
    <t>Exception</t>
  </si>
  <si>
    <t>TRIM</t>
  </si>
  <si>
    <t>Comments</t>
  </si>
  <si>
    <t>EMSG:- MSG:- STRACE1:deployment.pc.war//gw.api.webservice.workflow.WorkflowAPIImpl.resumeWorkflow</t>
  </si>
  <si>
    <t>Existing</t>
  </si>
  <si>
    <t>EMSG:- MSG:Business Content Population Failed STRACE1:-</t>
  </si>
  <si>
    <t>EMSG:There MSG:Failed to Quote Enhanced STRACE1:gw.job.QuoteProcess.requestQuote</t>
  </si>
  <si>
    <t>EMSG:- MSG:- STRACE1:com.guidewire.pl.system.cache.RarelyChangingBeanDataCache.ensureIsStarted</t>
  </si>
  <si>
    <t>EMSG:- MSG:- STRACE1:com.farmers.config.pup.prefill.legacy.PUPULClientDetailsLoaderAndRefresher$block_24_.invoke</t>
  </si>
  <si>
    <t>EMSG:There is no bi code in the table 'pa_pi_bi_codes' for 30000_65000 BI limits MSG:There STRACE1:com.farmers.tier.pa.pitier.impl.PITierCodesCalculatorImpl.calculateBILimitCode</t>
  </si>
  <si>
    <t>EMSG:There is no bi code in the table 'pa_pi_bi_codes' for 35000_80000 BI limits MSG:There STRACE1:com.farmers.tier.pa.pitier.impl.PITierCodesCalculatorImpl.calculateBILimitCode</t>
  </si>
  <si>
    <t>EMSG:\ MSG:Exception Occurred STRACE1:com.farmers.integ.framework.job.automatejob.AutomatedJob.executeJob</t>
  </si>
  <si>
    <t xml:space="preserve">EMSG:- MSG:- STRACE1:[row,col {unknown-source}]: [205,27], while reading `payload` as Xml.
 [row,col]: [205,27]" evaluating expression: "%dw 2.0 
output application/xml 
ns soapenv http://schemas.xmlsoap.org/soap/envelope/  
--- 
</t>
  </si>
  <si>
    <t>EMSG:Correct the PNI and/or Spouse Name MSG:Exception has occured STRACE1:com.farmers.config.common.credit.ho.HOCreditScoreProcess.invokeService</t>
  </si>
  <si>
    <t>EMSG:Correct the PNI and/or Spouse Name MSG:gw.api.util.DisplayableException type exception occured STRACE1:com.farmers.config.common.credit.ho.HOCreditScoreProcess.invokeService</t>
  </si>
  <si>
    <t>EMSG:Period dates overlap an existing bound period MSG:BlockedRenewal - Other Issues STRACE1:deployment.pc.war//com.guidewire.pl.system.entity.proxy.EffDatedBranchProxy.checkForOverlapsAndGaps</t>
  </si>
  <si>
    <t>EMSG:There MSG:Failed to Quote Basic STRACE1:gw.job.QuoteProcess.requestQuote</t>
  </si>
  <si>
    <t>EMSG:There is no bi code in the table 'pa_pi_bi_codes' for 25000_65000 BI limits MSG:There STRACE1:com.farmers.tier.pa.pitier.impl.PITierCodesCalculatorImpl.calculateBILimitCode</t>
  </si>
  <si>
    <t>EMSG:\ MSG:com.farmers.integ.batch.epolicy.plugin.CSSEPolicyInboundBatchImpl STRACE1:com.farmers.integ.framework.job.automatejob.AutomatedJob.executeJob</t>
  </si>
  <si>
    <t>EMSG:error:entity.PUPLine_PUE/Enter the License # for Driver XXX. This is required to validate. MSG:Exception Occurred STRACE1:com.farmers.integ.framework.job.automatejob.AutomatedJob.executeJob</t>
  </si>
  <si>
    <t>EMSG:- MSG:Exception STRACE1:com.sun.proxy.$Proxy151.invoke</t>
  </si>
  <si>
    <t>EMSG:- MSG:Exception STRACE1:com.sun.proxy.$Proxy150.invoke</t>
  </si>
  <si>
    <t>EMSG:class entity.RelatedPolicyDetail_Ext cannot be cast to class entity.MDMPolicyDetail_Ext (entity.RelatedPolicyDetail_Ext and entity.MDMPolicyDetail_Ext are in unnamed module of loader 'deployment.pc.war' @705096dd) MSG:Exception STRACE1:com.farmers.contingencies.enhancements.PolicyPeriodContingencyEnhancement$block_11_.invoke</t>
  </si>
  <si>
    <t>New</t>
  </si>
  <si>
    <t>EMSG:class entity.RelatedPolicyDetail_Ext cannot be cast to class entity.MDMPolicyDetail_Ext (entity.RelatedPolicyDetail_Ext and entity.MDMPolicyDetail_Ext are in unnamed module of loader 'deployment.pc.war' @39c2db6b) MSG:Exception STRACE1:com.farmers.contingencies.enhancements.PolicyPeriodContingencyEnhancement$block_11_.invoke</t>
  </si>
  <si>
    <t>EMSG:class entity.RelatedPolicyDetail_Ext cannot be cast to class entity.MDMPolicyDetail_Ext (entity.RelatedPolicyDetail_Ext and entity.MDMPolicyDetail_Ext are in unnamed module of loader 'deployment.pc.war' @4b65ffe1) MSG:Exception STRACE1:com.farmers.contingencies.enhancements.PolicyPeriodContingencyEnhancement$block_11_.invoke</t>
  </si>
  <si>
    <t>EMSG:class entity.RelatedPolicyDetail_Ext cannot be cast to class entity.MDMPolicyDetail_Ext (entity.RelatedPolicyDetail_Ext and entity.MDMPolicyDetail_Ext are in unnamed module of loader 'deployment.pc.war' @5fb4994e) MSG:Exception STRACE1:com.farmers.contingencies.enhancements.PolicyPeriodContingencyEnhancement$block_11_.invoke</t>
  </si>
  <si>
    <t>exception</t>
  </si>
  <si>
    <t>EMSG:Attempt to add coverage unsupported by pattern XXXSTRACE:edge.capabilities.policycommon.coverage.util.CoverageUtil.updateFrom XXXSTRACERAW:-</t>
  </si>
  <si>
    <t>EMSG:Select XXX as the Primary Driver on at least one vehicle. Since the number of vehicles is greater than the number of driversSTRACE:STRACERAW:-</t>
  </si>
  <si>
    <t>EMSG:-STRACE:STRACERAW:-</t>
  </si>
  <si>
    <t>EMSG:-STRACE:-STRACERAW:[Source: (String</t>
  </si>
  <si>
    <t>EMSG:LUW Policy Change Job XXX: The object you are trying to update was XXXSTRACE:STRACERAW:-</t>
  </si>
  <si>
    <t>EMSG:-STRACE:-STRACERAW:sun.nio.ch.SocketChannelImpl.checkConnect(Native Method</t>
  </si>
  <si>
    <t>EMSG:error:entity.xxxUI-ValidationERRORMessagexxxSTRACE:-STRACERAW:</t>
  </si>
  <si>
    <t>EMSG:Message replied as retryable errorSTRACE:-STRACERAW:</t>
  </si>
  <si>
    <t>EMSG:Select XXX as the Primary Driver on at least one vehicle by reviewing this transaction and associated transaction(s) XXX. Since the number of vehicles is greater than the number of driversSTRACE:least one vehicle by reviewing this transaction and associated transaction(sSTRACERAW:-</t>
  </si>
  <si>
    <t>EMSG:warning:entity.xxxUI-ValidationWARNMessagexxxSTRACE:-STRACERAW:the end of this message with the applicant and, if it is the accurate address, please select the Click to Update Address/Click to Update Risk Address link below to continue (If no address is found, or the vendor-provided address is out of state, a Post Office box, or includes an invalid ZIP Code, a link will not be available</t>
  </si>
  <si>
    <t>EMSG:-STRACE:-STRACERAW:least one vehicle by reviewing this transaction and associated transaction(s</t>
  </si>
  <si>
    <t>EMSG:-STRACE:-STRACERAW:needs to be replaced (in-tact and fully operational</t>
  </si>
  <si>
    <t>EMSG:Unexpected character ('&lt;' (code XXX)): expected a valid value (JSON StringSTRACE:[Source: (StringSTRACERAW:-</t>
  </si>
  <si>
    <t>EMSG:-STRACE:least one vehicle by reviewing this transaction and associated transaction(sSTRACERAW:-</t>
  </si>
  <si>
    <t>EMSG:No message configured: XXXSTRACE:-STRACERAW:</t>
  </si>
  <si>
    <t>EMSG:-STRACE:-STRACERAW:com.guidewire.pc.domain.purge.PurgeHandlerImpl.doPurge(PurgeHandlerImpl.java:XXX</t>
  </si>
  <si>
    <t>EMSG:-STRACE:-STRACERAW:gw.rating.flow.domain.CalcRoutine.executeRoutine(CalcRoutine.gs:XXX</t>
  </si>
  <si>
    <t>EMSG:Answer the eligibility questions in order to validate the quote. If the questions have been answeredSTRACE:com.farmers.config.quoteandbind.validatequote.AbstractValidateQuoteHandler.validate(AbstractValidateQuoteHandler.gs:XXXSTRACERAW:-</t>
  </si>
  <si>
    <t>EMSG:-STRACE:-STRACERAW:com.guidewire.pl.system.transaction.TransactionManagerImpl.rethrowException(TransactionManagerImpl.java:XXX</t>
  </si>
  <si>
    <t>EMSG:-STRACE:-STRACERAW:com.guidewire.pl.system.transaction.ConnectionHandler.newDbException(ConnectionHandler.java:XXX</t>
  </si>
  <si>
    <t>EMSG:-STRACE:-STRACERAW:com.farmers.config.pa.validator.BrightlineValidator.validateQuoteBrightlineRules(BrightlineValidator.gs:XXX</t>
  </si>
  <si>
    <t>EMSG:-STRACE:-STRACERAW:com.farmers.edge.framework.exception.handler.imp.DefaultEdgeExceptionHandler.handleException(DefaultEdgeExceptionHandler.gs:XXX</t>
  </si>
  <si>
    <t>EMSG:-STRACE:com.farmers.config.quoteandbind.validatequote.AbstractValidateQuoteHandler.validate(AbstractValidateQuoteHandler.gs:XXXSTRACERAW:-</t>
  </si>
  <si>
    <t>EMSG:-STRACE:com.farmers.lob.pa.driverassignment.DriverAssignment.validateData(DriverAssignment.gs:XXXSTRACERAW:-</t>
  </si>
  <si>
    <t>EMSG:XXX has exceeded the accident and/or violation threshold for eligibility in this program.STRACE:com.farmers.config.pa.validator.BrightlineValidator.validateQuoteBrightlineRules(BrightlineValidator.gs:XXXSTRACERAW:-</t>
  </si>
  <si>
    <t>EMSG:EntityValidationExceptionSTRACE:edge.capabilities.quote.submission.quoting.util.SubmissionUnderwritingIssuesUtil.checkSideBySideProcessExceptions(SubmissionUnderwritingIssuesUtil.gs:XXXSTRACERAW:-</t>
  </si>
  <si>
    <t>EMSG:Read timed outSTRACE:java.base/java.net.SocketInputStream.socketReadXXX(Native MethodSTRACERAW:-</t>
  </si>
  <si>
    <t>EMSG:-STRACE:-STRACERAW:com.guidewire.pl.system.database.DatabaseChangedBeanWriter.createConcurrentDataChangeException(DatabaseChangedBeanWriter.java:XXX</t>
  </si>
  <si>
    <t>EMSG:-STRACE:-STRACERAW:com.guidewire.pl.system.entity.proxy.BeanProxy.checkIsInBundle(BeanProxy.java:XXX</t>
  </si>
  <si>
    <t>EMSG:-STRACE:-STRACERAW:com.farmers.lob.pa.driverassignment.DriverAssignment.validateData(DriverAssignment.gs:XXX</t>
  </si>
  <si>
    <t>EMSG:An email address is required for the selected electronic delivery options. To continueSTRACE:com.farmers.config.quoteandbind.validatequote.AbstractValidateQuoteHandler.validate(AbstractValidateQuoteHandler.gs:XXXSTRACERAW:-</t>
  </si>
  <si>
    <t>EMSG:Update the Primary Driver selection for XXXSTRACE:com.farmers.lob.pa.driverassignment.DriverAssignment.validateData(DriverAssignment.gs:XXXSTRACERAW:-</t>
  </si>
  <si>
    <t>EMSG:-STRACE:-STRACERAW:gw.lob.pa.PALineDriversValidator.validateDriverDPSScore(PALineDriversValidator.gs:XXX</t>
  </si>
  <si>
    <t>EMSG:Drivers who do not qualify for the Good Driver Discount must have a clean driving record and be accompanied on the policy by a Good Driver to be eligible for a policy with Farmers.STRACE:gw.lob.pa.PALineDriversValidator.validateDriverDPSScore(PALineDriversValidator.gs:XXXSTRACERAW:-</t>
  </si>
  <si>
    <t>EMSG:java.lang.RuntimeException: java.util.concurrent.TimeoutExceptionSTRACE:deployment.pc.war//gw.internal.xml.ws.WsdlPortImpl.invoke(WsdlPortImpl.java:XXXSTRACERAW:-</t>
  </si>
  <si>
    <t>EMSG:-STRACE:-STRACERAW:com.guidewire.pl.system.transaction.ConnectionHandler.executeDatabaseOperationForCloseConnection(ConnectionHandler.java:XXX</t>
  </si>
  <si>
    <t>EMSG:Failed to close the connectionSTRACE:deployment.pc.war//com.guidewire.pl.system.transaction.ConnectionHandler.executeDatabaseOperationForCloseConnection(ConnectionHandler.java:XXXSTRACERAW:-</t>
  </si>
  <si>
    <t>EMSG:PolicyPeriod:XXX = XXX/XXXSTRACE:deployment.pc.war//com.guidewire.pl.system.entity.proxy.EffDatedBranchProxy.checkBranchVersionMostRecent(EffDatedBranchProxy.java:XXXSTRACERAW:-</t>
  </si>
  <si>
    <t>EMSG:Activity not found in system: XXXSTRACE:com.farmers.integ.serviceoperations.deeplaunch.servlets.DeepLaunchServlet.validateActivity(DeepLaunchServlet.gs:XXXSTRACERAW:-</t>
  </si>
  <si>
    <t>EMSG:, AOR=XXXSTRACE:deployment.pc.war//com.guidewire.pl.system.entity.proxy.BeanProxy.checkIsInBundle(BeanProxy.java:XXXSTRACERAW:-</t>
  </si>
  <si>
    <t>EMSG:-STRACE:-STRACERAW:com.guidewire.pl.system.entity.proxy.EffDatedBranchProxy.handleBranchChange(EffDatedBranchProxy.java:XXX</t>
  </si>
  <si>
    <t>EMSG:Mention period is cancelledSTRACE:com.farmers.integ.framework.job.automatejob.policychange.AutomatedPolicyChangeJobAPI.canStartJob(AutomatedPolicyChangeJobAPI.gs:XXXSTRACERAW:-</t>
  </si>
  <si>
    <t>EMSG:Attempt to access bean of type "CreditTieringResult_Ext" id=XXX with a null bundleSTRACE:deployment.pc.war//com.guidewire.pl.system.entity.proxy.BeanProxy.checkIsInBundle(BeanProxy.java:XXXSTRACERAW:-</t>
  </si>
  <si>
    <t>EMSG:-STRACE:-STRACERAW:deployment.pc.war//com.guidewire.pc.domain.job.impl.JobImpl.checkSelectedVersionIsSet(JobImpl.java:XXX</t>
  </si>
  <si>
    <t>EMSG:-STRACE:gw.job.JobConditions.assertOkay(JobConditions.gs:XXXSTRACERAW:-</t>
  </si>
  <si>
    <t>EMSG:XXX has exceeded the accident and/or violation threshold for eligibility in this program.STRACE:gw.job.QuoteProcess.requestQuote(QuoteProcess.gs:XXXSTRACERAW:-</t>
  </si>
  <si>
    <t>EMSG:-STRACE:-STRACERAW:deployment.pc.war//com.guidewire.pl.system.entity.proxy.BeanProxy.checkIsInBundle(BeanProxy.java:XXX</t>
  </si>
  <si>
    <t>EMSG:-STRACE:-STRACERAW:com.guidewire.pl.web.navigation.Location.commit(Location.java:XXX</t>
  </si>
  <si>
    <t>EMSG:This risk is ineligible for Farmers due to excessive accidents and/or violations. You may submit an application to Bristol West on request by selecting the Bridge to Bristol West button to create a quote in the Bristol West system.STRACE:com.farmers.config.pa.validator.BrightlineValidator.validateQuoteBrightlineRules(BrightlineValidator.gs:XXXSTRACERAW:-</t>
  </si>
  <si>
    <t>EMSG:Mention period is cancelledSTRACE:com.farmers.integ.framework.job.automatejob.AutomatedJob.executeJob(AutomatedJob.gs:XXXSTRACERAW:-</t>
  </si>
  <si>
    <t>EMSG:-STRACE:-STRACERAW:com.guidewire.pl.system.entity.proxy.EffDatedBranchProxy.checkBranchVersionMostRecent(EffDatedBranchProxy.java:XXX</t>
  </si>
  <si>
    <t>EMSG:-STRACE:-STRACERAW:com.farmers.config.quoteandbind.validatequote.AbstractValidateQuoteHandler.validate(AbstractValidateQuoteHandler.gs:XXX</t>
  </si>
  <si>
    <t>EMSG:Exception Occured while processing the updateEsignDocumentContingency Documents. Please check individual Document StatusSTRACE:com.farmers.integ.documentmgmt.updatetrigger.UpdateEsignTriggerHelper.processUpdateEsignDocumentContingency(UpdateEsignTriggerHelper.gs:XXXSTRACERAW:-</t>
  </si>
  <si>
    <t>EMSG:-STRACE:gw.job.QuoteProcess.requestQuote(QuoteProcess.gs:XXXSTRACERAW:-</t>
  </si>
  <si>
    <t>EMSG:You cannot change a locked branchSTRACE:deployment.pc.war//com.guidewire.pl.system.entity.proxy.EffDatedBranchProxy.handleBranchChange(EffDatedBranchProxy.java:XXXSTRACERAW:-</t>
  </si>
  <si>
    <t>EMSG:EntityValidationExceptionSTRACE:edge.capabilities.quote.submission.quoting.util.SubmissionUnderwritingIssuesUtil.checkVerifyRateExceptions(SubmissionUnderwritingIssuesUtil.gs:XXXSTRACERAW:-</t>
  </si>
  <si>
    <t>EMSG:Create Note User not found in PolicyCenter: XXXSTRACE:edge.capabilities.gateway.note.DefaultNotePlugin.createNoteForPolicy(DefaultNotePlugin.gs:XXXSTRACERAW:-</t>
  </si>
  <si>
    <t>EMSG:The policy period is not in a valid state to be quoted.STRACE:edge.capabilities.quote.submission.GatewayQuoteHandler$block_XXX_.invoke(GatewayQuoteHandler.gs:XXXSTRACERAW:-</t>
  </si>
  <si>
    <t>EMSG:License already present for user:XXXSTRACE:com.farmers.integ.security.community.ace.agent.license.AgentLicenseHelper.processAgentLicenseInfo(AgentLicenseHelper.gs:XXXSTRACERAW:-</t>
  </si>
  <si>
    <t>EMSG:, AOR=XXXSTRACE:com.farmers.integ.downstream.util.DownstreamHelper.handleLuwStatusIssue(DownstreamHelper.gs:XXXSTRACERAW:-</t>
  </si>
  <si>
    <t>EMSG:Cannot calculate an age without a date of birth.STRACE:gw.contact.PolicyContactRoleEnhancement.AgeAtTermStartDate(PolicyContactRoleEnhancement.gsx:XXXSTRACERAW:-</t>
  </si>
  <si>
    <t>EMSG:-STRACE:-STRACERAW:edge.jsonrpc.endpoint.InvokableMethod.call(InvokableMethod.gs:XXX</t>
  </si>
  <si>
    <t>EMSG:-STRACE:-STRACERAW:edge.jsonrpc.endpoint.RpcMethod.invoke(RpcMethod.gs:XXX</t>
  </si>
  <si>
    <t>EMSG:LHPI Ordering Failed! - [Value required.STRACE:java.base/jdk.internal.reflect.NativeConstructorAccessorImpl.newInstanceXXX(Native MethodSTRACERAW:-</t>
  </si>
  <si>
    <t>EMSG:-STRACE:-STRACERAW:gw.lob.pa.PAPolicyLineMethods.postRateProcessing_Ext(PAPolicyLineMethods.gs:XXX</t>
  </si>
  <si>
    <t>EMSG:Policy is ineligible for Farmers Auto.STRACE:gw.lob.pa.PAPolicyLineMethods.postRateProcessing_Ext(PAPolicyLineMethods.gs:XXXSTRACERAW:-</t>
  </si>
  <si>
    <t>EMSG:, AOR=XXXSTRACE:-STRACERAW:(XXX</t>
  </si>
  <si>
    <t>EMSG:Auto/Home-Life discount has been removedSTRACE:com.farmers.config.quoteandbind.validatequote.AbstractValidateQuoteHandler.validate(AbstractValidateQuoteHandler.gs:XXXSTRACERAW:-</t>
  </si>
  <si>
    <t>EMSG:java.lang.NullPointerExceptionSTRACE:com.farmers.integ.framework.service.rest.RestServiceAdapter.invokeService(RestServiceAdapter.gs:XXXSTRACERAW:-</t>
  </si>
  <si>
    <t>EMSG:-STRACE:-STRACERAW:com.guidewire.pc.domain.job.impl.JobImpl.checkSelectedVersionIsSet(JobImpl.java:XXX</t>
  </si>
  <si>
    <t>EMSG:Cannot withdraw an LUW child job where the child is primary (significant transaction). Only the parent PolicyChange Job XXX can be withdrawn.STRACE:gw.acc.luw.LUWCoordinator.withdrawJob(LUWCoordinator.gs:XXXSTRACERAW:-</t>
  </si>
  <si>
    <t>EMSG:The object you are trying to update was XXXSTRACE:edge.capabilities.quote.submission.GatewayQuoteHandler.handleOrThrowException(GatewayQuoteHandler.gs:XXXSTRACERAW:-</t>
  </si>
  <si>
    <t>EMSG:The applicant has past due Earned Premium. EP must be collected prior to quoting Billing Account# XXXSTRACE:com.farmers.config.common.mdm.MDMProcess.retrieveEarnedPremiumForContacts(MDMProcess.gs:XXXSTRACERAW:-</t>
  </si>
  <si>
    <t>EMSG:Exception during Rating ExecuteIterationsMultiThreaded : java.util.concurrent.ExecutionException: com.guidewire.pl.system.exception.DBException: Failed to close the connectionSTRACE:com.farmers.rating.common.flow.iteration.impl.IterationsExecutorImpl$block_XXX_.invoke(IterationsExecutorImpl.gs:XXXSTRACERAW:-</t>
  </si>
  <si>
    <t>EMSG:java.lang.IllegalStateException: Attempt to access bean of type "PolicyIIDADPFPNIDetl_Ext" id=XXX with a null bundleSTRACE:deployment.pc.war//com.guidewire.pl.web.widget.Widget.getVisibleValue(Widget.java:XXXSTRACERAW:-</t>
  </si>
  <si>
    <t>EMSG:-STRACE:-STRACERAW:gw.job.JobConditions.assertOkay(JobConditions.gs:XXX</t>
  </si>
  <si>
    <t>EMSG:Failed Login Exception: Couldn't authenticate userSTRACE:deployment.pc.war//gw.api.webservice.exception.LoginException.FailedLoginException(LoginException.java:XXXSTRACERAW:-</t>
  </si>
  <si>
    <t>EMSG:LHPI Ordering Failed! - [Value required.STRACE:java.base/jdk.internal.reflect.GeneratedConstructorAccessorXXX.newInstance(Unknown SourceSTRACERAW:-</t>
  </si>
  <si>
    <t>EMSG:-STRACE:-STRACERAW:com.guidewire.pl.web.widget.Widget.getVisibleValue(Widget.java:XXX</t>
  </si>
  <si>
    <t>EMSG:Invalid QuoteSTRACE:gw.job.sxs.SideBySideProcess$ParallelQuoteCallable.call(SideBySideProcess.gs:XXXSTRACERAW:-</t>
  </si>
  <si>
    <t>EMSG:-STRACE:-STRACERAW:com.farmers.contingencies.helper.ContingencyUtil.getPDFResponseList(ContingencyUtil.gs:XXX</t>
  </si>
  <si>
    <t>EMSG:Personal Auto Line: Personal Injury Protection is required and must be added. XXXSTRACE:gw.api.extension.PCExtensionInterfacesMapper$block_XXX_.invoke(PCExtensionInterfacesMapper.gs:XXXSTRACERAW:-</t>
  </si>
  <si>
    <t>EMSG:This risk is ineligible for Farmers due to excessive accidents and/or violations. You may submit an application to Bristol West on request by selecting the Bridge to Bristol West button to create a quote in the Bristol West system.STRACE:gw.job.QuoteProcess.requestQuote(QuoteProcess.gs:XXXSTRACERAW:-</t>
  </si>
  <si>
    <t>EMSG:-STRACE:-STRACERAW:com.guidewire.pl.cluster.internal.nbio.ClusterNbioSocketHandler.doRead(ClusterNbioSocketHandler.java:XXX</t>
  </si>
  <si>
    <t>EMSG:Given policy is inactive more than XXX monthsSTRACE:com.farmers.integ.distribution.opra.batch.helper.OpraRecordHandler.validateRecords(OpraRecordHandler.gs:XXXSTRACERAW:-</t>
  </si>
  <si>
    <t>EMSG:-STRACE:-STRACERAW:gw.pcf.job.QuoteUIHelper.validateFlexLiabLimits(QuoteUIHelper.gs:XXX</t>
  </si>
  <si>
    <t>EMSG:-STRACE:edge.validation.EdgeValidationContext.raiseExceptionIfProblemsFound(EdgeValidationContext.gs:XXXSTRACERAW:-</t>
  </si>
  <si>
    <t>EMSG:XXX with one or more major citations in the last XXX years are not eligible for coverage. Coverage may be available with Bristol West.STRACE:com.farmers.config.pa.validator.BrightlineValidator.validateQuoteBrightlineRules(BrightlineValidator.gs:XXXSTRACERAW:-</t>
  </si>
  <si>
    <t>EMSG:Policy is ineligible for Farmers Auto due to driver(s) with unacceptable license status.STRACE:com.farmers.config.pa.validator.BrightlineValidator.validateQuoteBrightlineRules(BrightlineValidator.gs:XXXSTRACERAW:-</t>
  </si>
  <si>
    <t>EMSG:error:entity.xxxUI-ValidationERRORMessagexxxSTRACE:com.farmers.integ.framework.job.automatejob.AutomatedJob.executeJob(AutomatedJob.gs:XXXSTRACERAW:-</t>
  </si>
  <si>
    <t>EMSG:ConcurrentDataChangeException XXXSTRACE:java.base/java.util.concurrent.FutureTask.report(FutureTask.java:XXXSTRACERAW:-</t>
  </si>
  <si>
    <t>EMSG:Try again later. An error occurred during processing.STRACE:com.farmers.billing.dao.BillingInformationProcessor.validateNOCorServiceFailure(BillingInformationProcessor.gs:XXXSTRACERAW:-</t>
  </si>
  <si>
    <t>EMSG:-STRACE:-STRACERAW:com.guidewire.pl.web.navigation.Location.render(Location.java:XXX</t>
  </si>
  <si>
    <t>EMSG:, AOR=XXXSTRACE:deployment.pc.war//com.guidewire.pl.system.entity.proxy.BeanProxy.loadForeignKeyBean(BeanProxy.java:XXXSTRACERAW:-</t>
  </si>
  <si>
    <t>EMSG:PolicyPeriod:XXX = XXX/XXXSTRACE:com.farmers.integ.framework.job.automatejob.AutomatedJob.executeJob(AutomatedJob.gs:XXXSTRACERAW:-</t>
  </si>
  <si>
    <t>EMSG:-STRACE:-STRACERAW:edge.validation.EdgeValidationContext.raiseExceptionIfProblemsFound(EdgeValidationContext.gs:XXX</t>
  </si>
  <si>
    <t>EMSG:java.lang.NullPointerExceptionSTRACE:com.farmers.integ.documentmgmt.ondemand.api.transformer.GetPolicyDetailsRestRequestTransformer.transform(GetPolicyDetailsRestRequestTransformer.gs:XXXSTRACERAW:-</t>
  </si>
  <si>
    <t>EMSG:java.lang.NullPointerExceptionSTRACE:gw.rating.flow.domain.CalcRoutine.executeRoutine(CalcRoutine.gs:XXXSTRACERAW:-</t>
  </si>
  <si>
    <t>EMSG:-STRACE:-STRACERAW:gw.job.QuoteProcess.requestQuote(QuoteProcess.gs:XXX</t>
  </si>
  <si>
    <t>EMSG:, AOR=XXXSTRACE:deployment.pc.war//com.guidewire.pl.system.entity.proxy.EffDatedBranchProxy.isChanged(EffDatedBranchProxy.java:XXXSTRACERAW:-</t>
  </si>
  <si>
    <t>EMSG:-STRACE:-STRACERAW:com.guidewire.pl.web.adaptor.render.WidgetRendererClassReflection$ConstructorFactory.createRenderer(WidgetRendererClassReflection.java:XXX</t>
  </si>
  <si>
    <t>EMSG:-STRACE:-STRACERAW:jdk.internal.reflect.GeneratedConstructorAccessorXXX.newInstance(Unknown Source</t>
  </si>
  <si>
    <t>EMSG:Database bean version conflict : XXXSTRACE:com.farmers.integ.framework.job.automatejob.AutomatedJob.executeJob(AutomatedJob.gs:XXXSTRACERAW:-</t>
  </si>
  <si>
    <t>EMSG:The client is ineligible for an umbrella policy because the allowable amount of driving activity has been exceeded.STRACE:gw.pcf.job.QuoteUIHelper.validateFlexLiabLimits(QuoteUIHelper.gs:XXXSTRACERAW:-</t>
  </si>
  <si>
    <t>EMSG:-STRACE:gw.acc.luw.LUWExceptionHelper.processJobStateException(LUWExceptionHelper.gs:XXXSTRACERAW:-</t>
  </si>
  <si>
    <t>EMSG:-STRACE:-STRACERAW:com.guidewire.pl.system.database.metadata.TableMetadataFactoryImpl.getTableMetadata(TableMetadataFactoryImpl.java:XXX</t>
  </si>
  <si>
    <t>EMSG:-STRACE:-STRACERAW:gw.transaction.Transaction.runWithNewBundle(Transaction.java:XXX</t>
  </si>
  <si>
    <t>EMSG:-STRACE:-STRACERAW:com.farmers.config.ho.thirdparty.process.HOMortgageeProcess.displayMortgageServiceException(HOMortgageeProcess.gs:XXX</t>
  </si>
  <si>
    <t>EMSG:-STRACE:-STRACERAW:com.farmers.integ.framework.job.automatejob.AutomatedJob.executeJob(AutomatedJob.gs:XXX</t>
  </si>
  <si>
    <t>EMSG:-STRACE:-STRACERAW:com.guidewire.pl.system.entity.proxy.EffDatedBaseProxy.getSliceUntyped(EffDatedBaseProxy.java:XXX</t>
  </si>
  <si>
    <t>EMSG:Found more than one target of the property XXXSTRACE:deployment.pc.war//com.guidewire.pl.system.entity.proxy.AbstractKeyableBeanProxy.getOneToOneForeignKeyId(AbstractKeyableBeanProxy.java:XXXSTRACERAW:-</t>
  </si>
  <si>
    <t>EMSG:-STRACE:-STRACERAW:com.guidewire.pl.system.entity.proxy.AbstractKeyableBeanProxy.getOneToOneForeignKeyId(AbstractKeyableBeanProxy.java:XXX</t>
  </si>
  <si>
    <t>EMSG:-STRACE:-STRACERAW:gw.contact.PolicyContactRoleEnhancement.AgeAtTermStartDate(PolicyContactRoleEnhancement.gsx:XXX</t>
  </si>
  <si>
    <t>EMSG:-STRACE:-STRACERAW:com.guidewire.pl.system.entity.proxy.AbstractKeyableBeanProxy.getEdgeForeignKeyId(AbstractKeyableBeanProxy.java:XXX</t>
  </si>
  <si>
    <t>EMSG:A balance of $XXX.XXX must be paid prior to rewriting or reinstating this policy. The Account is on a Notice of Cancellation.STRACE:com.farmers.billing.dao.BillingInformationProcessor.validateNOCorServiceFailure(BillingInformationProcessor.gs:XXXSTRACERAW:-</t>
  </si>
  <si>
    <t>EMSG:-STRACE:-STRACERAW:(XXX</t>
  </si>
  <si>
    <t>EMSG:-STRACE:-STRACERAW:com.guidewire.pl.web.controller.autocomplete.AutocompleteWebRequestHandler.handleAjaxRequest(AutocompleteWebRequestHandler.java:XXX</t>
  </si>
  <si>
    <t>EMSG:-STRACE:-STRACERAW:com.guidewire.pl.system.entity.proxy.EffDatedVersionListImpl.lambda$isNonOverlapping$XXX(EffDatedVersionListImpl.java:XXX</t>
  </si>
  <si>
    <t>EMSG:-STRACE:-STRACERAW:deployment.pc.war//com.guidewire.pl.system.bundle.EntityBundleImpl.commitAndGetBeans(EntityBundleImpl.java:XXX</t>
  </si>
  <si>
    <t>EMSG:Policy not found in system:nullSTRACE:com.farmers.integ.serviceoperations.deeplaunch.servlets.DeepLaunchServlet.validatePolicyNumber(DeepLaunchServlet.gs:XXXSTRACERAW:-</t>
  </si>
  <si>
    <t>EMSG:-STRACE:-STRACERAW:java.util.concurrent.FutureTask.report(FutureTask.java:XXX</t>
  </si>
  <si>
    <t>EMSG:com.guidewire.pl.system.exception.DBException: Failed to close the connectionSTRACE:gw.rating.flow.domain.CalcRoutine.executeRoutine(CalcRoutine.gs:XXXSTRACERAW:-</t>
  </si>
  <si>
    <t>EMSG:Failed to execute a querySTRACE:deployment.pc.war//com.guidewire.pl.system.transaction.ConnectionHandler.newDbException(ConnectionHandler.java:XXXSTRACERAW:-</t>
  </si>
  <si>
    <t>EMSG:, AOR=XXXSTRACE:deployment.pc.war//gw.api.util.LocationUtil.addRequestScopedMessage(LocationUtil.java:XXXSTRACERAW:-</t>
  </si>
  <si>
    <t>EMSG:-STRACE:-STRACERAW:com.guidewire.pl.web.controller.lifecycle.LifecycleRequestHandler.handleException(LifecycleRequestHandler.java:XXX</t>
  </si>
  <si>
    <t>EMSG:Correct VIN on XXX.  VIN failed verification.;STRACE:edge.capabilities.quote.submission.quoting.util.SubmissionUnderwritingIssuesUtil.checkVerifyRateExceptions(SubmissionUnderwritingIssuesUtil.gs:XXXSTRACERAW:-</t>
  </si>
  <si>
    <t>EMSG:There is no Underwriting Company with input NAIC Code XXX in Policy CenterSTRACE:com.farmers.integ.security.community.ace.agent.license.AgentLicenseHelper.updateAgentLicenseInfo(AgentLicenseHelper.gs:XXXSTRACERAW:-</t>
  </si>
  <si>
    <t>EMSG:Attempt to access bean of type "PolicyPeriod" id=XXX with a null bundleSTRACE:deployment.pc.war//com.guidewire.pl.system.entity.proxy.BeanProxy.checkIsInBundle(BeanProxy.java:XXXSTRACERAW:-</t>
  </si>
  <si>
    <t>EMSG:-STRACE:-STRACERAW:com.guidewire.pl.system.entity.proxy.EffDatedBranchProxy.checkForOverlapsAndGaps(EffDatedBranchProxy.java:XXX</t>
  </si>
  <si>
    <t>EMSG:-STRACE:-STRACERAW:edge.servlet.jsonrpc.marshalling.TypeKeyInstantiator.createFromString(TypeKeyInstantiator.gs:XXX</t>
  </si>
  <si>
    <t>EMSG:Cannot start job XXXSTRACE:com.farmers.integ.framework.job.automatejob.AutomatedJob$block_XXX_.invoke(AutomatedJob.gs:XXXSTRACERAW:-</t>
  </si>
  <si>
    <t>EMSG:-STRACE:-STRACERAW:com.guidewire.pl.system.entity.proxy.BeanProxy.loadForeignKeyBean(BeanProxy.java:XXX</t>
  </si>
  <si>
    <t>EMSG:Old Agent no longer on policy to be transferredSTRACE:com.farmers.integ.distribution.opra.batch.helper.OpraRecordHandler.validateRecords(OpraRecordHandler.gs:XXXSTRACERAW:-</t>
  </si>
  <si>
    <t>EMSG:Not able to map the payload value pcOperation_START on index XXXSTRACE:com.farmers.integ.coexistence.helper.NRTCoExistenceMessageHelper.generateCoexistencePLAtoPCMsgPayload(NRTCoExistenceMessageHelper.gs:XXXSTRACERAW:-</t>
  </si>
  <si>
    <t>EMSG:Unable to set property '_TransactionRequestDt' of 'com.farmers.integ.distribution.lms.wsc.uploadcustomerwsc.ecms_quote_xsd.types.complex.HomePolicyQuoteInqRq_Type instance'STRACE:deployment.pc.war//gw.internal.xml.XmlSchemaProperty.setValue(XmlSchemaProperty.java:XXXSTRACERAW:-</t>
  </si>
  <si>
    <t>EMSG:No rate book found for filter [ref date: XXXXXXXXXSTRACE:gw.rating.rtm.query.RatingQueryFacade.matchRateBook(RatingQueryFacade.gs:XXXSTRACERAW:-</t>
  </si>
  <si>
    <t>EMSG:MVR Ordering Failed! - [MVR interactive unavailableSTRACE:com.farmers.config.common.mvr.MVRProcess.orderMVR(MVRProcess.gs:XXXSTRACERAW:-</t>
  </si>
  <si>
    <t>EMSG:-STRACE:-STRACERAW:deployment.pc.war//com.guidewire.pl.system.entity.proxy.EffDatedBranchProxy.checkBranchVersionMostRecent(EffDatedBranchProxy.java:XXX</t>
  </si>
  <si>
    <t>EMSG:-STRACE:-STRACERAW:gw.acc.luw.LUWCoordinator.withdrawJob(LUWCoordinator.gs:XXX</t>
  </si>
  <si>
    <t>EMSG:-STRACE:-STRACERAW:com.farmers.config.pa.validator.PALineQuoteValidator_Ext.checkDriverDPSScoreForPolicyChange(PALineQuoteValidator_Ext.gs:XXX</t>
  </si>
  <si>
    <t>EMSG:Drivers who do not qualify for the Good Driver Discount must have a clean driving record and be accompanied on the policy by a Good Driver to be eligible for a policy with Farmers.STRACE:com.farmers.config.pa.validator.PALineQuoteValidator_Ext.checkDriverDPSScoreForPolicyChange(PALineQuoteValidator_Ext.gs:XXXSTRACERAW:-</t>
  </si>
  <si>
    <t>EMSG:There is no Underwriting Company with input NAIC Code XXX in Policy CenterSTRACE:com.farmers.integ.security.community.ace.agent.license.AgentLicenseHelper.insertAgentLicenseInfo(AgentLicenseHelper.gs:XXXSTRACERAW:-</t>
  </si>
  <si>
    <t>EMSG:Exception during Rating ExecuteIterationsMultiThreaded : com.guidewire.pl.system.exception.DBException: Failed to close the connectionSTRACE:com.farmers.rating.common.flow.iteration.impl.IterationsExecutorImpl$block_XXX_.invoke(IterationsExecutorImpl.gs:XXXSTRACERAW:-</t>
  </si>
  <si>
    <t>EMSG:-STRACE:-STRACERAW:com.farmers.config.pa.validator.PALineQuoteValidator_Ext.blockExcToOtherNonDrvRsnForExternalUser(PALineQuoteValidator_Ext.gs:XXX</t>
  </si>
  <si>
    <t>EMSG:Try again later. Unable to retrieve Auto Data Prefill (ADPF) report.STRACE:com.farmers.config.pa.adpf.ADPFReportHelper.orderReportAndFlood(ADPFReportHelper.gs:XXXSTRACERAW:-</t>
  </si>
  <si>
    <t>EMSG:-STRACE:-STRACERAW:com.guidewire.pl.system.entity.proxy.EffDatedBranchProxy.isChanged(EffDatedBranchProxy.java:XXX</t>
  </si>
  <si>
    <t>EMSG:You do not have the permission required to perform this action: User doesn't have sufficient permission to perform this task.STRACE:deployment.pc.war//com.guidewire.pl.domain.community.impl.UserImpl.assertPermission(UserImpl.java:XXXSTRACERAW:-</t>
  </si>
  <si>
    <t>EMSG:Submission is not DPJ eligibleSTRACE:edge.capabilities.quote.submission.QuoteHandler.retrieve(QuoteHandler.gs:XXXSTRACERAW:-</t>
  </si>
  <si>
    <t>EMSG:One or more null constraint violations detected for Chargeability_ExtSTRACE:deployment.pc.war//com.guidewire.pl.system.database.entitywriter.DatabaseEntityWriterImpl.checkForNullConstraintViolation(DatabaseEntityWriterImpl.java:XXXSTRACERAW:-</t>
  </si>
  <si>
    <t>EMSG:Cannot start job XXXSTRACE:com.farmers.integ.framework.job.automatejob.AutomatedJob.executeJob(AutomatedJob.gs:XXXSTRACERAW:-</t>
  </si>
  <si>
    <t>EMSG:, AOR=XXXSTRACE:java.base/java.util.HashMap$HashIterator.nextNode(HashMap.java:XXXSTRACERAW:-</t>
  </si>
  <si>
    <t>EMSG:XXX has exceeded the maximum accident count with BI payout for the state. You may select the Bridge to Bristol West button to create a quote in the Bristol West system.STRACE:com.farmers.config.pa.validator.BrightlineValidator.validateQuoteBrightlineRules(BrightlineValidator.gs:XXXSTRACERAW:-</t>
  </si>
  <si>
    <t>EMSG:apis-pceisg.farmersinsurance.com:XXX failed to respondSTRACE:deployment.pc.war//org.apache.http.impl.conn.DefaultHttpResponseParser.parseHead(DefaultHttpResponseParser.java:XXXSTRACERAW:-</t>
  </si>
  <si>
    <t>EMSG:-STRACE:-STRACERAW:deployment.pc.war//com.guidewire.pl.system.transaction.ConnectionHandler.executeDatabaseOperationForCloseConnection(ConnectionHandler.java:XXX</t>
  </si>
  <si>
    <t>EMSG:Try again later. Equifax credit reporting is unavailable.STRACE:com.farmers.config.common.credit.ho.HOCreditScoreProcess.createCreditReportData(HOCreditScoreProcess.gs:XXXSTRACERAW:-</t>
  </si>
  <si>
    <t>EMSG:, AOR=XXXSTRACE:deployment.pc.war//com.guidewire.pl.web.navigation.Location.reValidateModel(Location.java:XXXSTRACERAW:-</t>
  </si>
  <si>
    <t>EMSG:Review the Valuation ID. XXX Value was unable to locate a match.STRACE:com.farmers.config.ho.dwelling.propertyvaluation.process.HOPropertyValuationProcess.validateRetrieveReportStatusForPLARewrite(HOPropertyValuationProcess.gs:XXXSTRACERAW:-</t>
  </si>
  <si>
    <t>EMSG:Update Primary Use for vehicles with XXXSTRACE:com.farmers.lob.pa.driverassignment.DriverAssignment.validateData(DriverAssignment.gs:XXXSTRACERAW:-</t>
  </si>
  <si>
    <t>EMSG:-STRACE:-STRACERAW:com.guidewire.pl.system.database.entitywriter.DatabaseEntityWriterImpl.checkForNullConstraintViolation(DatabaseEntityWriterImpl.java:XXX</t>
  </si>
  <si>
    <t>EMSG:Enter a Carrier Name. It is required for an underlying policy.STRACE:gw.lob.pup.PUPLineValidation_PUE.validateIneligiblePUPfields(PUPLineValidation_PUE.gs:XXXSTRACERAW:-</t>
  </si>
  <si>
    <t>EMSG:, AOR=XXXSTRACE:com.farmers.config.pa.adpf.ADPFReportHelper.startProcessing(ADPFReportHelper.gs:XXXSTRACERAW:-</t>
  </si>
  <si>
    <t>EMSG:-STRACE:-STRACERAW:gw.xml.XMLParserBase.makeParseException(XMLParserBase.java:XXX</t>
  </si>
  <si>
    <t>EMSG:error:entity.xxxUI-ValidationERRORMessagexxxSTRACE:edge.capabilities.quote.submission.GatewayQuoteHandler.submitBindPolicy(GatewayQuoteHandler.gs:XXXSTRACERAW:-</t>
  </si>
  <si>
    <t>EMSG:Invalid ECN on mpdoder for policy XXXSTRACE:com.farmers.integ.distribution.multipolicylinediscount.batch.util.MPDOutboundBatchHelper.buildMPDOrderPayload(MPDOutboundBatchHelper.gs:XXXSTRACERAW:-</t>
  </si>
  <si>
    <t>EMSG:The risk is not eligible for a Farmers policy due to a driver with a financial responsibility filing. Select the Bridge to Bristol West button to create a quote in the Bristol West system.STRACE:com.farmers.config.pa.validator.BrightlineValidator.validateQuoteBrightlineRules(BrightlineValidator.gs:XXXSTRACERAW:-</t>
  </si>
  <si>
    <t>EMSG:-STRACE:deployment.pc.war//com.guidewire.pl.system.entity.proxy.EffDatedBranchProxy.isChanged(EffDatedBranchProxy.java:XXXSTRACERAW:-</t>
  </si>
  <si>
    <t>EMSG:Professionally installed and monitored central burglar and fire alarm systemsSTRACE:edge.capabilities.quote.submission.quoting.util.SubmissionUnderwritingIssuesUtil.checkSideBySideProcessExceptions(SubmissionUnderwritingIssuesUtil.gs:XXXSTRACERAW:-</t>
  </si>
  <si>
    <t>EMSG:Validate mortgagee information and retry.  Mortgagee code creation was not successful.STRACE:com.farmers.config.ho.thirdparty.process.HOMortgageeProcess.displayMortgageServiceException(HOMortgageeProcess.gs:XXXSTRACERAW:-</t>
  </si>
  <si>
    <t>EMSG:Personal Auto Line: Personal Injury Protection is required and must be added.STRACE:gw.api.extension.PCExtensionInterfacesMapper$block_XXX_.invoke(PCExtensionInterfacesMapper.gs:XXXSTRACERAW:-</t>
  </si>
  <si>
    <t>EMSG:Cannot re-add UserRole:XXX since it has already been removed.  You must use bundle rollback to undo a remove.STRACE:deployment.pc.war//com.guidewire.pl.system.bundle.EntityBundleImpl.add(EntityBundleImpl.java:XXXSTRACERAW:-</t>
  </si>
  <si>
    <t>EMSG:-STRACE:deployment.pc.war//gw.lang.enhancements.OrderedList$XXX.compare(OrderedList.java:XXXSTRACERAW:-</t>
  </si>
  <si>
    <t>EMSG:for policy: XXX canStartPolicyChange() has returned error: There is an open rewrite transactionSTRACE:gw.acc.luw.perf.JobCreationHelper.useParentEffectiveDateOrNot(JobCreationHelper.gs:XXXSTRACERAW:-</t>
  </si>
  <si>
    <t>EMSG:Slice date XXX outside of range XXX for XXX XXX bean of type ULPolicy_PUESTRACE:deployment.pc.war//com.guidewire.pl.system.entity.proxy.EffDatedBaseProxy.getSliceUntyped(EffDatedBaseProxy.java:XXXSTRACERAW:-</t>
  </si>
  <si>
    <t>EMSG:Account Creation failed because of invalid AgentOfRecord XXXSTRACE:com.farmers.integ.distribution.ecms.deeplaunch.util.QuoteNavigationHelper.retrieveProducerCode(QuoteNavigationHelper.gs:XXXSTRACERAW:-</t>
  </si>
  <si>
    <t>EMSG:-STRACE:-STRACERAW:java.util.HashMap$HashIterator.nextNode(HashMap.java:XXX</t>
  </si>
  <si>
    <t>EMSG:One or more null constraint violations detected for DiagnosticRatingWorksheetSTRACE:deployment.pc.war//com.guidewire.pl.system.database.entitywriter.DatabaseEntityWriterImpl.checkForNullConstraintViolation(DatabaseEntityWriterImpl.java:XXXSTRACERAW:-</t>
  </si>
  <si>
    <t>EMSG:-STRACE:-STRACERAW:pcfc.expressions.AccountFile_Summary_PolicyTerms_ExtCVExpressions$IteratorEntryExpressionsImpl.initializeVariables_XXX(AccountFile_Summary_PolicyTerms_ExtCVExpressions.gs:XXX</t>
  </si>
  <si>
    <t>EMSG:Verify Zip Code. Property Zip Code is not valid or supported.STRACE:com.farmers.config.ho.dwelling.location.process.HOLocationProcess.getLocationReports(HOLocationProcess.gs:XXXSTRACERAW:-</t>
  </si>
  <si>
    <t>EMSG:-STRACE:-STRACERAW:com.farmers.integ.serviceoperations.deeplaunch.servlets.util.PolicySearchHelper.policySearch(PolicySearchHelper.gs:XXX</t>
  </si>
  <si>
    <t>EMSG:error:entity.xxxUI-ValidationERRORMessagexxxSTRACE:(XXXSTRACERAW:-</t>
  </si>
  <si>
    <t>EMSG:java.util.ConcurrentModificationExceptionSTRACE:deployment.pc.war//gw.internal.xml.ws.WsdlPortImpl.invoke(WsdlPortImpl.java:XXXSTRACERAW:-</t>
  </si>
  <si>
    <t>EMSG:gw.xml.XmlSortException: Unable to process children of element '{http://zsoa.zurichna.com/enterpriseservices/ZSOA_FinancialTransaction}fullTermPremiumAmount'. Expected one of '{theCurrencyAmount}'STRACE:deployment.pc.war//gw.internal.xml.ws.WsdlPortImpl.invoke(WsdlPortImpl.java:XXXSTRACERAW:-</t>
  </si>
  <si>
    <t>EMSG:-STRACE:gw.acc.luw.LUWExceptionHelper.processUserDisplayableException(LUWExceptionHelper.gs:XXXSTRACERAW:-</t>
  </si>
  <si>
    <t>EMSG:This risk is not eligible for the new auto product due to excessive accidents and/or violations.STRACE:com.farmers.config.pa.validator.BrightlineValidator.validateQuoteBrightlineRules(BrightlineValidator.gs:XXXSTRACERAW:-</t>
  </si>
  <si>
    <t>EMSG:api-int.farmersinsurance.com:XXX failed to respondSTRACE:deployment.pc.war//org.apache.http.impl.conn.DefaultHttpResponseParser.parseHead(DefaultHttpResponseParser.java:XXXSTRACERAW:-</t>
  </si>
  <si>
    <t>EMSG:-STRACE:deployment.pc.war//com.guidewire.pl.system.entity.proxy.AbstractKeyableBeanProxy.getOneToOneForeignKeyId(AbstractKeyableBeanProxy.java:XXXSTRACERAW:-</t>
  </si>
  <si>
    <t>EMSG:-STRACE:com.farmers.integ.framework.job.automatejob.AutomatedJob.executeJob(AutomatedJob.gs:XXXSTRACERAW:-</t>
  </si>
  <si>
    <t>EMSG:Can't add a bean with a different branch?STRACE:deployment.pc.war//com.guidewire.pl.system.entity.proxy.EffDatedBaseProxy.addAssociatedBean(EffDatedBaseProxy.java:XXXSTRACERAW:-</t>
  </si>
  <si>
    <t>EMSG:gw.xml.XmlException: Please use XmlElement.parse( java.io.File ) to parse a fileSTRACE:deployment.pc.war//gw.internal.xml.ws.WsdlPortImpl.invoke(WsdlPortImpl.java:XXXSTRACERAW:-</t>
  </si>
  <si>
    <t>EMSG:-STRACE:-STRACERAW:gw.job.SubmissionProcess.sendRequesttoPLAonBind(SubmissionProcess.gs:XXX</t>
  </si>
  <si>
    <t>EMSG:Restart the Product Rewrite transaction from Express. The system was unable to cancel the corresponding policy in Express.STRACE:gw.job.SubmissionProcess.sendRequesttoPLAonBind(SubmissionProcess.gs:XXXSTRACERAW:-</t>
  </si>
  <si>
    <t>EMSG:Found more than one target of the property XXXSTRACE:com.farmers.integ.framework.job.automatejob.AutomatedJob.executeJob(AutomatedJob.gs:XXXSTRACERAW:-</t>
  </si>
  <si>
    <t>EMSG:You cannot change a locked branchSTRACE:com.farmers.integ.framework.job.automatejob.AutomatedJob.executeJob(AutomatedJob.gs:XXXSTRACERAW:-</t>
  </si>
  <si>
    <t>EMSG:, AOR=XXXSTRACE:deployment.pc.war//com.guidewire.pl.system.bundle.EntityBundleImpl.removeInternal(EntityBundleImpl.java:XXXSTRACERAW:-</t>
  </si>
  <si>
    <t>EMSG:-STRACE:-STRACERAW:deployment.pc.war//gw.api.webservice.exception.LoginException.FailedLoginException(LoginException.java:XXX</t>
  </si>
  <si>
    <t>EMSG:Policy is not eligible for new Auto Product due to driver(s) with unacceptable license status.STRACE:com.farmers.config.pa.validator.BrightlineValidator.validateQuoteBrightlineRules(BrightlineValidator.gs:XXXSTRACERAW:-</t>
  </si>
  <si>
    <t>EMSG:-STRACE:-STRACERAW:com.farmers.integ.batch.odsreconciliation.util.ODSReconciliationProcessor.processPolicyPeriod(ODSReconciliationProcessor.gs:XXX</t>
  </si>
  <si>
    <t>EMSG:-STRACE:-STRACERAW:gw.policy.PolicyPeriodBaseEnhancement$block_XXX_.invoke(PolicyPeriodBaseEnhancement.gsx:XXX</t>
  </si>
  <si>
    <t>EMSG:, AOR=XXXSTRACE:deployment.pc.war//com.guidewire.pl.system.transaction.ConnectionHandler.executeDatabaseOperationForCloseConnection(ConnectionHandler.java:XXXSTRACERAW:-</t>
  </si>
  <si>
    <t>EMSG:, AOR=XXXSTRACE:deployment.pc.war//com.guidewire.pl.system.bundle.EntityBundleImpl.replaceBean(EntityBundleImpl.java:XXXSTRACERAW:-</t>
  </si>
  <si>
    <t>EMSG:Account Holder in PC is different from Head of Hosuehold. Account Holder in PC needs to be manually corrected before attempting Product Rewrite.STRACE:edge.capabilities.gateway.account.DefaultAccountPlugin.verifyAndReassignAccountHolder(DefaultAccountPlugin.gs:XXXSTRACERAW:-</t>
  </si>
  <si>
    <t>EMSG:-STRACE:java.base/java.util.HashMap$HashIterator.nextNode(HashMap.java:XXXSTRACERAW:-</t>
  </si>
  <si>
    <t>EMSG:Attempt to access bean of type "UserWorkInProgress" id=XXX with a null bundleSTRACE:deployment.pc.war//com.guidewire.pl.system.entity.proxy.BeanProxy.checkIsInBundle(BeanProxy.java:XXXSTRACERAW:-</t>
  </si>
  <si>
    <t>EMSG:-STRACE:-STRACERAW:gw.lob.pup.PUPLineValidation_PUE.validateIneligiblePUPfields(PUPLineValidation_PUE.gs:XXX</t>
  </si>
  <si>
    <t>EMSG:-STRACE:-STRACERAW:pcfc.expressions.SideBySideScreenExpressions$SideBySideScreenExpressionsImpl.initialValue_XXX(SideBySideScreenExpressions.gs:XXX</t>
  </si>
  <si>
    <t>EMSG:Cannot make XXX the secondary named insured because it is already the primary named insured.STRACE:deployment.pc.war//com.guidewire.pc.domain.policy.period.impl.PolicyPeriodImpl.changeSecondaryNamedInsuredTo(PolicyPeriodImpl.java:XXXSTRACERAW:-</t>
  </si>
  <si>
    <t>EMSG:-STRACE:-STRACERAW:com.guidewire.pl.domain.community.impl.UserImpl.assertPermission(UserImpl.java:XXX</t>
  </si>
  <si>
    <t>EMSG:Cannot create Access through Foundations and Walls because it already exists.STRACE:deployment.pc.war//com.guidewire.pc.domain.coverage.impl.CoverableImpl.createCoverage(CoverableImpl.java:XXXSTRACERAW:-</t>
  </si>
  <si>
    <t>EMSG:java.lang.RuntimeException: javax.net.ssl.SSLException: Couldn't kickstart handshakingSTRACE:deployment.pc.war//gw.internal.xml.ws.WsdlPortImpl.invoke(WsdlPortImpl.java:XXXSTRACERAW:-</t>
  </si>
  <si>
    <t>EMSG:-STRACE:-STRACERAW:com.guidewire.pl.system.bundle.EntityBundleImpl.removeInternal(EntityBundleImpl.java:XXX</t>
  </si>
  <si>
    <t>EMSG:Policy is not eligible for new Auto Product as  driver(s) did not receive a valid Motor Vehicle Record.STRACE:com.farmers.config.pa.validator.BrightlineValidator.validateQuoteBrightlineRules(BrightlineValidator.gs:XXXSTRACERAW:-</t>
  </si>
  <si>
    <t>EMSG:, AOR=XXXSTRACE:java.base/java.lang.String.concat(String.java:XXXSTRACERAW:-</t>
  </si>
  <si>
    <t>EMSG:Correct Name/DOB and/or License#  on Drivers screen and re-validate. Name/DOB on XXX MVR Report does not match entered information. Cannot submit until valid MVR is received.;STRACE:edge.capabilities.quote.submission.quoting.util.SubmissionUnderwritingIssuesUtil.checkVerifyRateExceptions(SubmissionUnderwritingIssuesUtil.gs:XXXSTRACERAW:-</t>
  </si>
  <si>
    <t>EMSG:Personal Auto Line: $XXXSTRACE:gw.api.extension.PCExtensionInterfacesMapper$block_XXX_.invoke(PCExtensionInterfacesMapper.gs:XXXSTRACERAW:-</t>
  </si>
  <si>
    <t>EMSG:Unparseable date: "XXX/XXX/XXX"STRACE:java.base/java.text.DateFormat.parse(DateFormat.java:XXXSTRACERAW:-</t>
  </si>
  <si>
    <t>EMSG:-STRACE:com.farmers.integ.policychange.helper.HomeValidatorHelper.isDwellingAdditionalInterestAvailable(HomeValidatorHelper.gs:XXXSTRACERAW:-</t>
  </si>
  <si>
    <t>EMSG:ODSReconciliationProcessor#processPolicyPeriod : Exception Occurred com.guidewire.pl.system.exception.DBException: Failed to execute a querySTRACE:com.farmers.integ.batch.odsreconciliation.util.ODSReconciliationProcessor$block_XXX_.invoke(ODSReconciliationProcessor.gs:XXXSTRACERAW:-</t>
  </si>
  <si>
    <t>EMSG:ODSReconciliationProcessor#processPolicyPeriod : Exception Occurred java.lang.Exception: ODSReconciliationProcessor#processPolicyPeriod : Exception Occurred com.guidewire.pl.system.exception.DBException: Failed to execute a querySTRACE:com.farmers.integ.batch.odsreconciliation.util.ODSReconciliationProcessor.processPolicyPeriod(ODSReconciliationProcessor.gs:XXXSTRACERAW:-</t>
  </si>
  <si>
    <t>EMSG:Cannot create Fences because it already exists.STRACE:deployment.pc.war//com.guidewire.pc.domain.coverage.impl.CoverableImpl.createCoverage(CoverableImpl.java:XXXSTRACERAW:-</t>
  </si>
  <si>
    <t>EMSG:Exception during Rating ExecuteIterationsMultiThreaded : gw.api.rating.RatingException: Correct the VIN XXXSTRACE:com.farmers.rating.common.flow.iteration.impl.IterationsExecutorImpl$block_XXX_.invoke(IterationsExecutorImpl.gs:XXXSTRACERAW:-</t>
  </si>
  <si>
    <t>EMSG:-STRACE:edge.validation.EdgeValidationContext.raiseExceptionIfErrorsFound(EdgeValidationContext.gs:XXXSTRACERAW:-</t>
  </si>
  <si>
    <t>EMSG:-STRACE:-STRACERAW:com.fasterxml.jackson.databind.JsonMappingException.wrapWithPath(JsonMappingException.java:XXX</t>
  </si>
  <si>
    <t>EMSG:Policy XXX cannot be canceled: The policy is already canceled as of this dateSTRACE:com.farmers.integ.framework.job.automatejob.policycancel.AutomatedPolicyCancelJobAPI.canStartJob(AutomatedPolicyCancelJobAPI.gs:XXXSTRACERAW:-</t>
  </si>
  <si>
    <t>EMSG:Update XXX for Driver XXXSTRACE:edge.capabilities.quote.submission.quoting.util.SubmissionUnderwritingIssuesUtil.checkVerifyRateExceptions(SubmissionUnderwritingIssuesUtil.gs:XXXSTRACERAW:-</t>
  </si>
  <si>
    <t>EMSG:XXX with one or more major citations in the last XXX years are not eligible for coverage. Coverage may be available with Bristol West.STRACE:gw.job.QuoteProcess.requestQuote(QuoteProcess.gs:XXXSTRACERAW:-</t>
  </si>
  <si>
    <t>EMSG:wasserviceselk.farmersinsurance.com:XXX failed to respondSTRACE:deployment.pc.war//org.apache.http.impl.conn.DefaultHttpResponseParser.parseHead(DefaultHttpResponseParser.java:XXXSTRACERAW:-</t>
  </si>
  <si>
    <t>EMSG:, AOR=XXXSTRACE:com.farmers.integ.framework.job.automatejob.policychange.AutomatedPolicyChangeJobAPI.finishJob(AutomatedPolicyChangeJobAPI.gs:XXXSTRACERAW:-</t>
  </si>
  <si>
    <t>EMSG:-STRACE:-STRACERAW:com.sun.proxy.$ProxyXXX.invoke(Unknown Source</t>
  </si>
  <si>
    <t>EMSG:Inbound payload doesn't have coverages for vehicle XXXSTRACE:edge.capabilities.policyjob.lob.personalauto.coverages.DefaultPaCoveragePlugin$block_XXX_.invoke(DefaultPaCoveragePlugin.gs:XXXSTRACERAW:-</t>
  </si>
  <si>
    <t>EMSG:The value XXX is not formatted correctly for the field "AddressLineXXX": Please edit address as only the following special characters are acceptable:   # STRACE:deployment.pc.war//com.guidewire.pl.metadata.datatypeXXX.fieldvalidator.FieldValidatorInfo.validateFormat(FieldValidatorInfo.java:XXXSTRACERAW:-</t>
  </si>
  <si>
    <t>EMSG:-STRACE:-STRACERAW:com.farmers.config.quoteandbind.validatequote.FFQAutoValidateQuoteHandler.invokeServices(FFQAutoValidateQuoteHandler.gs:XXX</t>
  </si>
  <si>
    <t>EMSG:-STRACE:com.farmers.config.quoteandbind.validatequote.FFQAutoValidateQuoteHandler.invokeServices(FFQAutoValidateQuoteHandler.gs:XXXSTRACERAW:-</t>
  </si>
  <si>
    <t>EMSG:Connection resetSTRACE:java.base/sun.security.ssl.Alert.createSSLException(Alert.java:XXXSTRACERAW:-</t>
  </si>
  <si>
    <t>EMSG:, AOR=XXXSTRACE:com.farmers.config.ho.dwelling.location.process.HOLocationProcess.getPPCDetails(HOLocationProcess.gs:XXXSTRACERAW:-</t>
  </si>
  <si>
    <t>EMSG:Ineligible BIÂ limits. A risk with excessive accidents and/or violations is not eligible for Bodily Injury limits of XXXSTRACE:com.farmers.config.pa.validator.BrightlineValidator.validateQuoteBrightlineRules(BrightlineValidator.gs:XXXSTRACERAW:-</t>
  </si>
  <si>
    <t>EMSG:error:entity.xxxUI-ValidationERRORMessagexxxSTRACE:com.farmers.integ.framework.job.automatejob.AutomatedJob.handleSpillOverExceptions(AutomatedJob.gs:XXXSTRACERAW:-</t>
  </si>
  <si>
    <t>EMSG:-STRACE:-STRACERAW:[Source: UNKNOWN; byte offset: #UNKNOWN] (through reference chain: com.farmers.edge.capabilities.quote.submission.lob.homeowners.locationReport.dto.LocationReportsRequestDTO["quoteData"]-&gt;edge.capabilities.quote.submission.dto.QuoteDataDTO["baseData"]-&gt;edge.capabilities.quote.submission.base.dto.QuoteBaseDataDTO["spouse"]-&gt;edge.capabilities.gateway.contact.dto.PersonDTO["dateOfBirth"]-&gt;edge.time.LocalDateDTO["year"]</t>
  </si>
  <si>
    <t>EMSG:-STRACE:-STRACERAW:com.guidewire.pl.system.workflow.engine.WorkflowEngineImpl.checkTriggerAvailable(WorkflowEngineImpl.java:XXX</t>
  </si>
  <si>
    <t>EMSG:-STRACE:-STRACERAW:com.guidewire.pl.web.navigation.Location.startEditing(Location.java:XXX</t>
  </si>
  <si>
    <t>EMSG:-STRACE:-STRACERAW:gw.lang.enhancements.CoreIterableEnhancement.single(CoreIterableEnhancement.gsx:XXX</t>
  </si>
  <si>
    <t>EMSG:Comparison method violates its general contract!STRACE:java.base/java.util.TimSort.mergeHi(TimSort.java:XXXSTRACERAW:-</t>
  </si>
  <si>
    <t>EMSG:XXX has exceeded the maximum accident count with BI payout for the state. You may select the Bridge to Bristol West button to create a quote in the Bristol West system.STRACE:gw.job.QuoteProcess.requestQuote(QuoteProcess.gs:XXXSTRACERAW:-</t>
  </si>
  <si>
    <t>EMSG:-STRACE:gw.pcf.job.QuoteUIHelper.validateFlexLiabLimits(QuoteUIHelper.gs:XXXSTRACERAW:-</t>
  </si>
  <si>
    <t>EMSG:The value XXX is not formatted correctly for the field "City": Exceeds the maximum length of XXX characters (XXX)STRACE:deployment.pc.war//gw.datatype.impl.StringConstraintsHandlerBase.validateStringLength(StringConstraintsHandlerBase.java:XXXSTRACERAW:-</t>
  </si>
  <si>
    <t>EMSG:Missing/Invalid Mandatory Fields - CriteriaSTRACE:com.farmers.integ.distribution.ecms.quote.validator.RetrieveQuotesValidator.validate(RetrieveQuotesValidator.gs:XXXSTRACERAW:-</t>
  </si>
  <si>
    <t>EMSG:-STRACE:deployment.pc.war//com.guidewire.pl.system.transaction.ConnectionHandler.newDbException(ConnectionHandler.java:XXXSTRACERAW:-</t>
  </si>
  <si>
    <t>EMSG:-STRACE:-STRACERAW:java.util.stream.Collectors.duplicateKeyException(Collectors.java:XXX</t>
  </si>
  <si>
    <t>EMSG:java.sql.SQLRecoverableException: No more data to read from socketSTRACE:deployment.pc.war//gw.pl.util.ExceptionUtil.convertToRuntimeException(ExceptionUtil.java:XXXSTRACERAW:-</t>
  </si>
  <si>
    <t>EMSG:-STRACE:-STRACERAW:pcfc.expressions.LicenseInputSet_PolicyDriverExpressions$LicenseInputSetExpressionsImpl.visible_XXX(LicenseInputSet_PolicyDriverExpressions.gs:XXX</t>
  </si>
  <si>
    <t>EMSG:-STRACE:-STRACERAW:com.guidewire.pl.system.transaction.TransactionManagerImpl.executeInJoinedThread(TransactionManagerImpl.java:XXX</t>
  </si>
  <si>
    <t>EMSG:-STRACE:-STRACERAW:gw.financials.PolicyPeriodTransactionCalculator$block_XXX_.invoke(PolicyPeriodTransactionCalculator.gs:XXX</t>
  </si>
  <si>
    <t>EMSG:-STRACE:-STRACERAW:pcfc.expressions.AccountFile_Summary_PolicyTerms_ExtCVExpressions$IteratorEntryExpressionsImpl.value_XXX(AccountFile_Summary_PolicyTerms_ExtCVExpressions.gs:XXX</t>
  </si>
  <si>
    <t>EMSG:-STRACE:java.base/java.lang.String.compareTo(String.java:XXXSTRACERAW:-</t>
  </si>
  <si>
    <t>EMSG:Multiple onsetting costs with same cost key (BillGroup:nullSTRACE:gw.financials.PolicyPeriodTransactionCalculator$block_XXX_.invoke(PolicyPeriodTransactionCalculator.gs:XXXSTRACERAW:-</t>
  </si>
  <si>
    <t>EMSG:Remove or correct Prior Policy # for Declining Deductible Balance Transfer. No Declining Deductible Balance will be applied as an invalid Policy # has been entered.STRACE:com.farmers.config.decliningdeductible.HODecliningDeductibleHelper.validatePriorPolicyNumber(HODecliningDeductibleHelper.gs:XXXSTRACERAW:-</t>
  </si>
  <si>
    <t>EMSG:Correct the VIN XXXSTRACE:com.farmers.rating.pa.prerating.carsymbol.impl.CarSymbolCalculatorImplVXXX.setSymbolsForNewerVehicles(CarSymbolCalculatorImplVXXX.gs:XXXSTRACERAW:-</t>
  </si>
  <si>
    <t>EMSG:-STRACE:-STRACERAW:gw.job.JobProcessUWIssueEvaluator.evaluateAndCheckForBlockingUWIssuesInSlices(JobProcessUWIssueEvaluator.gs:XXX</t>
  </si>
  <si>
    <t>EMSG:Exception occurs while transforming request for RetrieveContactID Service Call STRACE:com.farmers.integ.framework.service.rest.RestServiceAdapter.invokeService(RestServiceAdapter.gs:XXXSTRACERAW:-</t>
  </si>
  <si>
    <t>EMSG:MVR Ordering Failed! - [Runtime Error]STRACE:com.farmers.config.common.mvr.MVRProcess.orderMVR(MVRProcess.gs:XXXSTRACERAW:-</t>
  </si>
  <si>
    <t>EMSG:Select XXX as the Primary Driver on at least one vehicle by reviewing this transaction and associated transaction(s) XXXSTRACE:least one vehicle by reviewing this transaction and associated transaction(sSTRACERAW:-</t>
  </si>
  <si>
    <t>EMSG:XXX Policy Period not in Quoted statusSTRACE:edge.capabilities.quote.submission.GatewayQuoteHandler.submitBindPolicy(GatewayQuoteHandler.gs:XXXSTRACERAW:-</t>
  </si>
  <si>
    <t>EMSG:-STRACE:-STRACERAW:com.guidewire.pl.system.integration.messaging.dispatch.DestinationManagerImpl.processor(DestinationManagerImpl.java:XXX</t>
  </si>
  <si>
    <t>EMSG:No message configured: XXXSTRACE:gw.api.extension.PCExtensionInterfacesMapper$block_XXX_.invoke(PCExtensionInterfacesMapper.gs:XXXSTRACERAW:-</t>
  </si>
  <si>
    <t>EMSG:LHPI Ordering Failed due to TimeOut! - [java.lang.RuntimeException: java.util.concurrent.TimeoutException]STRACE:java.base/jdk.internal.reflect.NativeConstructorAccessorImpl.newInstanceXXX(Native MethodSTRACERAW:-</t>
  </si>
  <si>
    <t>EMSG:MVR Ordering Failed! - [java.lang.RuntimeException: java.util.concurrent.TimeoutException]STRACE:com.farmers.config.common.mvr.MVRProcess.orderMVR(MVRProcess.gs:XXXSTRACERAW:-</t>
  </si>
  <si>
    <t>EMSG:java.lang.IllegalStateException: Attempt to access bean of type "PUPHouseholdMember_PUE" id=XXX with a null bundleSTRACE:deployment.pc.war//com.guidewire.pl.web.widget.Widget.getVisibleValue(Widget.java:XXXSTRACERAW:-</t>
  </si>
  <si>
    <t>EMSG:-STRACE:-STRACERAW:pcfc.expressions.Job_RiskAnalysisScreenExpressions$Job_RiskAnalysisScreenExpressionsImpl.initialValue_XXX(Job_RiskAnalysisScreenExpressions.gs:XXX</t>
  </si>
  <si>
    <t>EMSG:Unable to set property '_PhoneNumber' of 'com.farmers.integ.distribution.lms.wsc.uploadcustomerwsc.ecms_quote_xsd.types.complex.PhoneInfo_Type instance'STRACE:deployment.pc.war//gw.internal.xml.XmlSchemaProperty.setValue(XmlSchemaProperty.java:XXXSTRACERAW:-</t>
  </si>
  <si>
    <t>EMSG:-STRACE:-STRACERAW:com.guidewire.pl.system.database.query.DeleteBuilder.execute(DeleteBuilder.java:XXX</t>
  </si>
  <si>
    <t>EMSG:Attempt to access bean of type "EffectiveDatedFields" id=XXX with a null bundleSTRACE:deployment.pc.war//com.guidewire.pl.system.entity.proxy.BeanProxy.checkIsInBundle(BeanProxy.java:XXXSTRACERAW:-</t>
  </si>
  <si>
    <t>EMSG:Verify Risk Address city. The city is either invalid or ineligible for coverage.STRACE:com.farmers.config.ho.dwelling.location.process.HOLocationProcess.populateCountyNames(HOLocationProcess.gs:XXXSTRACERAW:-</t>
  </si>
  <si>
    <t>EMSG:-STRACE:edge.capabilities.policyjob.lob.homeowners.HoCoverageDefaultPlugin.updateDefaultCoverages(HoCoverageDefaultPlugin.gs:XXXSTRACERAW:-</t>
  </si>
  <si>
    <t>EMSG:Ineligible BIÂ limits. A risk with excessive accidents and/or violations is not eligible for Bodily Injury limits of XXXSTRACE:gw.job.QuoteProcess.requestQuote(QuoteProcess.gs:XXXSTRACERAW:-</t>
  </si>
  <si>
    <t>EMSG:Remove Prior Policy # for Declining Deductible Balance Transfer. Prior policy has no Declining Deductible balance to transfer.STRACE:com.farmers.config.decliningdeductible.HODecliningDeductibleHelper.validateErrorMessages(HODecliningDeductibleHelper.gs:XXXSTRACERAW:-</t>
  </si>
  <si>
    <t>EMSG:The call to external service MVR failedSTRACE:com.farmers.config.pa.adpf.ParallelServiceExecutor$block_XXX_.invoke(ParallelServiceExecutor.gs:XXXSTRACERAW:-</t>
  </si>
  <si>
    <t>EMSG:com.guidewire.pl.system.exception.DBException: Failed to close the connectionSTRACE:com.farmers.integ.documentmgmt.ondemand.autoformgeneration.transformer.AutoOnDemandFormGenRequestTransformer.transform(AutoOnDemandFormGenRequestTransformer.gs:XXXSTRACERAW:-</t>
  </si>
  <si>
    <t>EMSG:, AOR=XXXSTRACE:com.farmers.integ.inspectionmodel.servicedelegate.InspectionModelServiceDelegate.invokeInspectionModelService(InspectionModelServiceDelegate.gs:XXXSTRACERAW:-</t>
  </si>
  <si>
    <t>EMSG:-STRACE:-STRACERAW:com.farmers.config.pa.helper.RiskAnalysisUIHelper.getMCVehicles(RiskAnalysisUIHelper.gs:XXX</t>
  </si>
  <si>
    <t>EMSG:-STRACE:-STRACERAW:com.farmers.rating.ho.param.HOParameterAdapter.selectCreditTier(HOParameterAdapter.gs:XXX</t>
  </si>
  <si>
    <t>EMSG:Could not map property ContingencyPattern_ExtSTRACE:deployment.pc.war//gw.internal.xml.gx.GxRuntime.createElement(GxRuntime.java:XXXSTRACERAW:-</t>
  </si>
  <si>
    <t>EMSG:The client is ineligible for an umbrella policy because the allowable amount of driving activity has been exceeded.STRACE:gw.job.QuoteProcess.requestQuote(QuoteProcess.gs:XXXSTRACERAW:-</t>
  </si>
  <si>
    <t>EMSG:, AOR=XXXSTRACE:com.farmers.config.pa.adpf.ADPFDriverdupingProcess.truncate(ADPFDriverdupingProcess.gs:XXXSTRACERAW:-</t>
  </si>
  <si>
    <t>EMSG:-STRACE:-STRACERAW:com.guidewire.pl.system.entity.proxy.EffDatedBeanProxy.checkForOverlaps(EffDatedBeanProxy.java:XXX</t>
  </si>
  <si>
    <t>EMSG:-STRACE:-STRACERAW:gw.policy.PolicyPeriodValidation.validateInforcePolicy(PolicyPeriodValidation.gs:XXX</t>
  </si>
  <si>
    <t>EMSG:-STRACE:-STRACERAW:java.base/sun.net.www.protocol.http.HttpURLConnection.getInputStreamXXX(HttpURLConnection.java:XXX</t>
  </si>
  <si>
    <t>EMSG:Account Creation failed because of bad input from APEXSTRACE:com.farmers.integ.distribution.ecms.deeplaunch.util.QuoteNavigationHelper.validateApexQuotePrefillJson(QuoteNavigationHelper.gs:XXXSTRACERAW:-</t>
  </si>
  <si>
    <t>EMSG:Multiple entries with same key: loggedOnUserID=&lt;?xml version="XXX.XXX" encoding="UTFXXX"?&gt;&lt;loggedOnUserID xmlns="http://zsoa.zurichna.com/enterpriseservices/ZSOA"&gt;customerdaemon&lt;/loggedOnUserID&gt; and loggedOnUserID=&lt;?xml version="XXX.XXX" encoding="UTFXXX"?&gt;&lt;loggedOnUserID xmlns="http://zsoa.zurichna.com/enterpriseservices/ZSOA"&gt;customerdaemon&lt;/loggedOnUserID&gt;STRACE:deployment.pc.war//gw.internal.xml.ws.AsyncResponseImpl.throwSoapXXXFault(AsyncResponseImpl.java:XXXSTRACERAW:-</t>
  </si>
  <si>
    <t>EMSG:Submission has already been bound by DPJSTRACE:edge.capabilities.quote.submission.QuoteHandler.retrieve(QuoteHandler.gs:XXXSTRACERAW:-</t>
  </si>
  <si>
    <t>EMSG:The value XXX is not formatted correctly for the field "StInfoType_Ext": Exceeds the maximum length of XXX characters (XXX)STRACE:deployment.pc.war//gw.datatype.impl.StringConstraintsHandlerBase.validateStringLength(StringConstraintsHandlerBase.java:XXXSTRACERAW:-</t>
  </si>
  <si>
    <t>EMSG:, AOR=XXXSTRACE:com.farmers.integ.multireport.helper.ThirdPartyReportExperienceAPIHelper.processAPLUSResponse(ThirdPartyReportExperienceAPIHelper.gs:XXXSTRACERAW:-</t>
  </si>
  <si>
    <t>EMSG:, AOR=XXXSTRACE:com.farmers.rating.capping.factor.impl.PACappingFactorCalculatorImplVXXX.calculateRateStabilityFactor(PACappingFactorCalculatorImplVXXX.gs:XXXSTRACERAW:-</t>
  </si>
  <si>
    <t>EMSG:-STRACE:-STRACERAW:com.farmers.rating.capping.factor.impl.PACappingFactorCalculatorImplVXXX.calculateRateStabilityFactor(PACappingFactorCalculatorImplVXXX.gs:XXX</t>
  </si>
  <si>
    <t>EMSG:Correct the address. Address line for MortgageesSTRACE:edge.capabilities.quote.submission.quoting.util.SubmissionUnderwritingIssuesUtil.checkVerifyRateExceptions(SubmissionUnderwritingIssuesUtil.gs:XXXSTRACERAW:-</t>
  </si>
  <si>
    <t>EMSG:Improperly started job cannot be committed to the database because it has no policy.STRACE:deployment.pc.war//com.guidewire.pc.domain.job.impl.JobImpl.beforeInsert(JobImpl.java:XXXSTRACERAW:-</t>
  </si>
  <si>
    <t>EMSG:com.guidewire.pl.system.exception.DBException: Failed to close the connectionSTRACE:com.farmers.integ.documentmgmt.ondemand.homeformgeneration.transformer.HomeOnDemandFormGenRequestTransformer.transform(HomeOnDemandFormGenRequestTransformer.gs:XXXSTRACERAW:-</t>
  </si>
  <si>
    <t>EMSG:-STRACE:com.sun.proxy.$ProxyXXX.invoke(Unknown SourceSTRACERAW:-</t>
  </si>
  <si>
    <t>EMSG:-STRACE:gw.acc.luw.LUWUtil.determineAndSetStatusOfLUW(LUWUtil.gs:XXXSTRACERAW:-</t>
  </si>
  <si>
    <t>EMSG:-STRACE:org.jboss.as.naming@XXX.XXX.XXX.GA-redhatXXX//org.jboss.as.naming.InitialContext.getURLScheme(InitialContext.java:XXXSTRACERAW:-</t>
  </si>
  <si>
    <t>EMSG:Comparison method violates its general contract!STRACE:java.base/java.util.TimSort.mergeLo(TimSort.java:XXXSTRACERAW:-</t>
  </si>
  <si>
    <t>EMSG:Submission not foundSTRACE:edge.capabilities.quote.submission.QuoteHandler.getSubmissionByJob(QuoteHandler.gs:XXXSTRACERAW:-</t>
  </si>
  <si>
    <t>EMSG:begin XXXSTRACE:java.base/java.lang.String.checkBoundsBeginEnd(String.java:XXXSTRACERAW:-</t>
  </si>
  <si>
    <t>EMSG:warning:entity.xxxUI-ValidationWARNMessagexxxSTRACE:com.farmers.integ.framework.job.automatejob.AutomatedJob.executeJob(AutomatedJob.gs:XXXSTRACERAW:-</t>
  </si>
  <si>
    <t>EMSG:-STRACE:-STRACERAW:com.guidewire.pc.domain.rating.impl.RateBookImpl.getTable(RateBookImpl.java:XXX</t>
  </si>
  <si>
    <t>EMSG:-STRACE:-STRACERAW:com.guidewire.pl.system.entity.proxy.EffDatedBeanProxy.setEffectiveWindow(EffDatedBeanProxy.java:XXX</t>
  </si>
  <si>
    <t>EMSG:-STRACE:-STRACERAW:most one cost version list on gw.lob.pup.rating.PUPCovCostData_PUE&lt;entity.PUPCovCost_PUE&gt; for dates (XXXXXXXXXXXXXXXXXX</t>
  </si>
  <si>
    <t>EMSG:Account Creation failed due to [Primary Contact Address City] fields missingSTRACE:com.farmers.integ.distribution.ecms.deeplaunch.validation.QuoteNavigationValidator.validateApexQuotePrefillInfo(QuoteNavigationValidator.gs:XXXSTRACERAW:-</t>
  </si>
  <si>
    <t>EMSG:Lienholder/Lessor information is not found.STRACE:com.farmers.config.pa.thirdparty.process.PALienHolderProcess.searchLienholders(PALienHolderProcess.gs:XXXSTRACERAW:-</t>
  </si>
  <si>
    <t>EMSG:-STRACE:-STRACERAW:com.guidewire.pl.system.entity.proxy.EffDatedBranchProxy.getTraversalDate(EffDatedBranchProxy.java:XXX</t>
  </si>
  <si>
    <t>EMSG:-STRACE:-STRACERAW:pcfc.expressions.AccountInfoInputSetExpressions$AccountInfoInputSetExpressionsImpl.editable_XXX(AccountInfoInputSetExpressions.gs:XXX</t>
  </si>
  <si>
    <t>EMSG:-STRACE:-STRACERAW:pcfc.expressions.HODwellingHOEScreenExpressions$HODwellingHOEScreenExpressionsImpl.initialValue_XXX(HODwellingHOEScreenExpressions.gs:XXX</t>
  </si>
  <si>
    <t>EMSG:-STRACE:-STRACERAW:pcfc.expressions.RatingCumulDetailsPanelSet_HomeownersLine_HOEExpressions$RatingCumulDetailsPanelSetExpressionsImpl.initialValue_XXX(RatingCumulDetailsPanelSet_HomeownersLine_HOEExpressions.gs:XXX</t>
  </si>
  <si>
    <t>EMSG:ODSReconciliationProcessor#processPolicyPeriod : Exception Occurred com.guidewire.pl.system.exception.DBException: Failed to execute a querySTRACE:com.farmers.integ.batch.odsreconciliation.util.ODSReconciliationProcessor.processPolicyPeriod(ODSReconciliationProcessor.gs:XXXSTRACERAW:-</t>
  </si>
  <si>
    <t>EMSG:Policy is not eligible for new Auto Product due to driver(s) with unacceptable license status. Drivers with an unacceptable license status may be excluded by request in CO.STRACE:com.farmers.config.pa.validator.BrightlineValidator.validateQuoteBrightlineRules(BrightlineValidator.gs:XXXSTRACERAW:-</t>
  </si>
  <si>
    <t>EMSG:-STRACE:-STRACERAW:com.guidewire.pl.system.batchprocessing.MultiPhaseBatchProcess.runPhases(MultiPhaseBatchProcess.java:XXX</t>
  </si>
  <si>
    <t>EMSG:-STRACE:-STRACERAW:com.guidewire.pl.system.bundle.EntityBundleImpl.replaceBean(EntityBundleImpl.java:XXX</t>
  </si>
  <si>
    <t>EMSG:-STRACE:-STRACERAW:deployment.pc.war//com.guidewire.pl.system.transaction.ConnectionHandler.newDbException(ConnectionHandler.java:XXX</t>
  </si>
  <si>
    <t>EMSG:-STRACE:-STRACERAW:pcfc.expressions.RatingCumulDetailsPanelSet_HomeownersLine_HOEExpressions$DetailViewPanelExpressionsImpl.initialValue_XXX(RatingCumulDetailsPanelSet_HomeownersLine_HOEExpressions.gs:XXX</t>
  </si>
  <si>
    <t>EMSG:Null dateSTRACE:deployment.pc.war//com.guidewire.commons.gosu.libraries.DateLibrary.differenceInDays(DateLibrary.java:XXXSTRACERAW:-</t>
  </si>
  <si>
    <t>EMSG:-STRACE:-STRACERAW:com.farmers.claims.ClaimsFieldHelper.populatePolicyClaims(ClaimsFieldHelper.gs:XXX</t>
  </si>
  <si>
    <t>EMSG:-STRACE:-STRACERAW:com.farmers.config.pa.mvr.validator.MVRDriverValidator.throwDisplayableExceptionIfNeeded(MVRDriverValidator.gs:XXX</t>
  </si>
  <si>
    <t>EMSG:-STRACE:-STRACERAW:com.guidewire.pl.web.value.ValueWidget.onValidateModel(ValueWidget.java:XXX</t>
  </si>
  <si>
    <t>EMSG:-STRACE:-STRACERAW:pcfc.expressions.CALicenseInputSetExpressions$CALicenseInputSetExpressionsImpl.visible_XXX(CALicenseInputSetExpressions.gs:XXX</t>
  </si>
  <si>
    <t>EMSG:-STRACE:-STRACERAW:pcfc.expressions.HODwellingSingleHOEPanelSetExpressions$HODwellingSingleHOEPanelSetExpressionsImpl.visible_XXX(HODwellingSingleHOEPanelSetExpressions.gs:XXX</t>
  </si>
  <si>
    <t>EMSG:Inactive User XXX is inactiveSTRACE:deployment.pc.war//gw.api.webservice.exception.LoginException.InactiveUserException(LoginException.java:XXXSTRACERAW:-</t>
  </si>
  <si>
    <t>EMSG:Policy not found in system:XXXSTRACE:com.farmers.integ.serviceoperations.deeplaunch.servlets.DeepLaunchServlet.validatePolicyNumber(DeepLaunchServlet.gs:XXXSTRACERAW:-</t>
  </si>
  <si>
    <t>EMSG:Rate book code: fpho_co_ratebookSTRACE:deployment.pc.war//com.guidewire.pc.domain.rating.impl.RateBookImpl.getTable(RateBookImpl.java:XXXSTRACERAW:-</t>
  </si>
  <si>
    <t>EMSG:The value XXX is not formatted correctly for the field "StName_Ext": Exceeds the maximum length of XXX characters (XXX)STRACE:deployment.pc.war//gw.datatype.impl.StringConstraintsHandlerBase.validateStringLength(StringConstraintsHandlerBase.java:XXXSTRACERAW:-</t>
  </si>
  <si>
    <t>EMSG:-STRACE:com.farmers.config.pa.mvr.validator.MVRDriverValidator.throwDisplayableExceptionIfNeeded(MVRDriverValidator.gs:XXXSTRACERAW:-</t>
  </si>
  <si>
    <t>EMSG:-STRACE:com.farmers.integ.erti.riskanalysis.contactid.transformer.RetrieveContactIDRequestTransformer.getAddress(RetrieveContactIDRequestTransformer.gs:XXXSTRACERAW:-</t>
  </si>
  <si>
    <t>EMSG:Attempt to access bean of type "PUPHouseholdMember_PUE" id=XXX with a null bundleSTRACE:deployment.pc.war//com.guidewire.pl.system.entity.proxy.BeanProxy.checkIsInBundle(BeanProxy.java:XXXSTRACERAW:-</t>
  </si>
  <si>
    <t>EMSG:Exception occurs while transforming request for RetrieveContactID Service Call STRACE:com.farmers.integ.erti.riskanalysis.contactid.transformer.RetrieveContactIDRequestTransformer.transform(RetrieveContactIDRequestTransformer.gs:XXXSTRACERAW:-</t>
  </si>
  <si>
    <t>EMSG:Invalid producer code: XXXSTRACE:edge.capabilities.quote.submission.base.account.DefaultSubmissionAccountPlugin.createNewAccount(DefaultSubmissionAccountPlugin.gs:XXXSTRACERAW:-</t>
  </si>
  <si>
    <t>EMSG:The value XXX is not formatted correctly for the field "AddressLine": Please edit address as only the following special characters are acceptable:   # STRACE:deployment.pc.war//com.guidewire.pl.metadata.datatypeXXX.fieldvalidator.FieldValidatorInfo.validateFormat(FieldValidatorInfo.java:XXXSTRACERAW:-</t>
  </si>
  <si>
    <t>EMSG:-STRACE:-STRACERAW:com.guidewire.pl.system.bundle.EntityBundleImpl.add(EntityBundleImpl.java:XXX</t>
  </si>
  <si>
    <t>EMSG:-STRACE:-STRACERAW:gw.pl.util.Throw.unless(Throw.java:XXX</t>
  </si>
  <si>
    <t>EMSG:-STRACE:-STRACERAW:most one cost version list on gw.lob.pup.rating.PUPCovCostData_PUE&lt;entity.Cost&gt; for dates (XXXXXXXXXXXXXXXXXX</t>
  </si>
  <si>
    <t>EMSG:Exception during Rating ExecuteIterationsMultiThreaded : java.util.concurrent.ExecutionException: gw.api.rating.RatingException: There is no credit tier for credit peril 'firenonwildfire' and model 'HOF'STRACE:com.farmers.rating.common.flow.iteration.impl.IterationsExecutorImpl$block_XXX_.invoke(IterationsExecutorImpl.gs:XXXSTRACERAW:-</t>
  </si>
  <si>
    <t>EMSG:Improperly started job cannot be committed to the database because it has no policy.STRACE:com.farmers.integ.framework.job.automatejob.AutomatedJob.executeJob(AutomatedJob.gs:XXXSTRACERAW:-</t>
  </si>
  <si>
    <t>EMSG:Invalid ActionCodeSTRACE:com.farmers.integ.serviceoperations.deeplaunch.servlets.DeepLaunchServlet.processRequest(DeepLaunchServlet.gs:XXXSTRACERAW:-</t>
  </si>
  <si>
    <t>EMSG:The selected version for job "XXX" cannot be null.STRACE:deployment.pc.war//com.guidewire.pc.domain.job.impl.JobImpl.setSelectedVersion(JobImpl.java:XXXSTRACERAW:-</t>
  </si>
  <si>
    <t>EMSG:Unparseable date: "XXXXXXXXX"STRACE:java.base/java.text.DateFormat.parse(DateFormat.java:XXXSTRACERAW:-</t>
  </si>
  <si>
    <t>EMSG:-STRACE:-STRACERAW:com.guidewire.pl.system.entity.proxy.EffDatedBranchProxy.createNewBranch(EffDatedBranchProxy.java:XXX</t>
  </si>
  <si>
    <t>EMSG:-STRACE:edge.capabilities.quote.submission.quoting.util.SubmissionUnderwritingIssuesUtil.checkVerifyRateExceptions(SubmissionUnderwritingIssuesUtil.gs:XXXSTRACERAW:-</t>
  </si>
  <si>
    <t>EMSG:Attempt to access bean of type "HOBathroom_Ext" id=XXX with a null bundleSTRACE:deployment.pc.war//com.guidewire.pl.system.entity.proxy.BeanProxy.checkIsInBundle(BeanProxy.java:XXXSTRACERAW:-</t>
  </si>
  <si>
    <t>EMSG:Cannot create Dwelling because it already exists.STRACE:deployment.pc.war//com.guidewire.pc.domain.coverage.impl.CoverableImpl.createCoverage(CoverableImpl.java:XXXSTRACERAW:-</t>
  </si>
  <si>
    <t>EMSG:Cannot re-add ULPolicy_PUE:XXX since it has already been removed.  You must use bundle rollback to undo a remove.STRACE:deployment.pc.war//com.guidewire.pl.system.bundle.EntityBundleImpl.add(EntityBundleImpl.java:XXXSTRACERAW:-</t>
  </si>
  <si>
    <t>EMSG:Try again later. Unable to retrieve Prior Insurance Auto Data Prefill (PIADPF) report.STRACE:com.farmers.config.pa.adpf.PIADPFReportHelper.orderReportAndFlood(PIADPFReportHelper.gs:XXXSTRACERAW:-</t>
  </si>
  <si>
    <t>EMSG:com.guidewire.pl.system.exception.DBException: Failed to execute a querySTRACE:com.farmers.integ.documentmgmt.ondemand.api.transformer.GetPolicyDetailsRestRequestTransformer.transform(GetPolicyDetailsRestRequestTransformer.gs:XXXSTRACERAW:-</t>
  </si>
  <si>
    <t>EMSG:com.guidewire.pl.system.exception.DBException: Failed to execute a querySTRACE:com.farmers.integ.framework.service.rest.RestServiceAdapter.invokeService(RestServiceAdapter.gs:XXXSTRACERAW:-</t>
  </si>
  <si>
    <t>EMSG:-STRACE:-STRACERAW:com.farmers.lob.pa.driverassignment.DriverAssignmentDriver.setDriverOrderData(DriverAssignmentDriver.gs:XXX</t>
  </si>
  <si>
    <t>EMSG:-STRACE:-STRACERAW:com.guidewire.pl.system.bundle.EntityBundleImpl.handleBeanChange(EntityBundleImpl.java:XXX</t>
  </si>
  <si>
    <t>EMSG:-STRACE:-STRACERAW:gw.api.util.LocationUtil.addRequestScopedMessage(LocationUtil.java:XXX</t>
  </si>
  <si>
    <t>EMSG:-STRACE:-STRACERAW:gw.contact.AgeCalculator.getAge(AgeCalculator.gs:XXX</t>
  </si>
  <si>
    <t>EMSG:Account Creation failed because of bad input from ECMSSTRACE:com.farmers.integ.distribution.ecms.deeplaunch.util.QuoteNavigationHelper.parseandValidateRequestXml(QuoteNavigationHelper.gs:XXXSTRACERAW:-</t>
  </si>
  <si>
    <t>EMSG:Cannot calculate an age without a date of birth.STRACE:gw.contact.AgeCalculator.getAge(AgeCalculator.gs:XXXSTRACERAW:-</t>
  </si>
  <si>
    <t>EMSG:Failed to close the connectionSTRACE:com.farmers.integ.framework.job.automatejob.AutomatedJob.executeJob(AutomatedJob.gs:XXXSTRACERAW:-</t>
  </si>
  <si>
    <t>EMSG:Internal error: bean entity.PolicyPeriod:XXX was staged for edit.STRACE:deployment.pc.war//com.guidewire.pl.system.bundle.EntityBundleImpl.handleBeanChange(EntityBundleImpl.java:XXXSTRACERAW:-</t>
  </si>
  <si>
    <t>EMSG:Personal Auto Line: UM/UIM - Property Damage is required and must be added. XXXSTRACE:gw.api.extension.PCExtensionInterfacesMapper$block_XXX_.invoke(PCExtensionInterfacesMapper.gs:XXXSTRACERAW:-</t>
  </si>
  <si>
    <t>EMSG:Try again later. Unable to retrieve Prior Insurance Auto Data Prefill (PIADPF) report.STRACE:com.farmers.config.pa.adpf.PIADPFReportHelper.startProcessing(PIADPFReportHelper.gs:XXXSTRACERAW:-</t>
  </si>
  <si>
    <t>EMSG:, AOR=XXXSTRACE:com.farmers.config.pa.adpf.ADPFReportHelper.orderReportAndFlood(ADPFReportHelper.gs:XXXSTRACERAW:-</t>
  </si>
  <si>
    <t>EMSG:-STRACE:-STRACERAW:com.guidewire.pl.web.navigation.screen.NorthPanelRenderer.getSystemAlertBar(NorthPanelRenderer.java:XXX</t>
  </si>
  <si>
    <t>EMSG:-STRACE:-STRACERAW:gw.pcf.sidebyside.SideBySideScreenHelper$block_XXX_$block_XXX_.invoke(SideBySideScreenHelper.gs:XXX</t>
  </si>
  <si>
    <t>EMSG:-STRACE:-STRACERAW:pcfc.expressions.PriorPolicy_ExtPanelSet_PersonalAutoExpressions$PriorPolicy_ExtPanelSetExpressionsImpl.getReportOrderPerson_Ext(PriorPolicy_ExtPanelSet_PersonalAutoExpressions.gs:XXX</t>
  </si>
  <si>
    <t>EMSG:-STRACE:-STRACERAW:sun.net.www.protocol.http.HttpURLConnection.getInputStreamXXX(HttpURLConnection.java:XXX</t>
  </si>
  <si>
    <t>EMSG:Exception in transforming response for GetBillingOptionsResponse STRACE:com.farmers.integ.billing.policybilling.getbillingoptions.transformer.GetBillingOptionsResponseTransformer.transform(GetBillingOptionsResponseTransformer.gs:XXXSTRACERAW:-</t>
  </si>
  <si>
    <t>EMSG:Failed to find default answer for required Question PrivacyQuestionSPCSPRNC_ExtSTRACE:com.farmers.config.pa.embeddedquote.process.EmbeddedQuoteProcess.defaultAnswer(EmbeddedQuoteProcess.gs:XXXSTRACERAW:-</t>
  </si>
  <si>
    <t>EMSG:Households with XXX or more drivers per vehicle are ineligible for coverage. Policy is not eligible for Farmers and should be submitted to Bristol West.STRACE:com.farmers.config.pa.validator.PALineQuoteValidator_Ext.validateDriverToVehicleRatio(PALineQuoteValidator_Ext.gs:XXXSTRACERAW:-</t>
  </si>
  <si>
    <t>EMSG:Ineligible for PD limits. A risk with excessive accidents and/or violations is not eligible for Property Damage limits greater than XXXSTRACE:com.farmers.config.pa.validator.BrightlineValidator.validateQuoteBrightlineRules(BrightlineValidator.gs:XXXSTRACERAW:-</t>
  </si>
  <si>
    <t>EMSG:Missing/Invalid Mandatory Fields - Job in invalid status :: nullSTRACE:com.farmers.integ.conversion.coexistence.policymanagementapi.validator.BindValidator.validate(BindValidator.gs:XXXSTRACERAW:-</t>
  </si>
  <si>
    <t>EMSG:Policy is not eligible for new Auto Product due to driver with a foreign driverâ€™s license.STRACE:com.farmers.config.pa.validator.BrightlineValidator.validateQuoteBrightlineRules(BrightlineValidator.gs:XXXSTRACERAW:-</t>
  </si>
  <si>
    <t>EMSG:Remove Prior Policy # for Declining Deductible Balance Transfer. Prior policy has no Declining Deductible balance to transfer.STRACE:com.farmers.config.decliningdeductible.HODecliningDeductibleHelper.persistDecDedFromPLA(HODecliningDeductibleHelper.gs:XXXSTRACERAW:-</t>
  </si>
  <si>
    <t>EMSG:Submission is withdrawnSTRACE:edge.capabilities.quote.submission.QuoteHandler.retrieve(QuoteHandler.gs:XXXSTRACERAW:-</t>
  </si>
  <si>
    <t>EMSG:The value XXX is not formatted correctly for the field "PUPPolicyNumber": Exceeds the maximum length of XXX characters (XXX)STRACE:deployment.pc.war//gw.datatype.impl.StringConstraintsHandlerBase.validateStringLength(StringConstraintsHandlerBase.java:XXXSTRACERAW:-</t>
  </si>
  <si>
    <t>EMSG:You do not have the permission required to perform this action: User doesn't have permission: Permission to create a submission jobSTRACE:deployment.pc.war//com.guidewire.pl.domain.community.impl.UserImpl.assertPermission(UserImpl.java:XXXSTRACERAW:-</t>
  </si>
  <si>
    <t>EMSG:-STRACE:-STRACERAW:com.guidewire.pl.system.workqueue.DistributedWorkerControllerImpl.extractExceptionPropertyLength(DistributedWorkerControllerImpl.java:XXX</t>
  </si>
  <si>
    <t>EMSG:-STRACE:-STRACERAW:com.guidewire.pl.system.workqueue.DistributedWorkerControllerImpl.setExceptionOnWorkItem(DistributedWorkerControllerImpl.java:XXX</t>
  </si>
  <si>
    <t>EMSG:-STRACE:-STRACERAW:most one result.  Select statement causing error: Values=[pc:XXX (publicid</t>
  </si>
  <si>
    <t>EMSG:-STRACE:com.farmers.config.account.AccountEnhancement$block_XXX_.invoke(AccountEnhancement.gsx:XXXSTRACERAW:-</t>
  </si>
  <si>
    <t>EMSG:-STRACE:com.farmers.integ.security.community.ace.agent.profile.processor.creator.LicensedStaffUserProfileDataCreateProcessor.create(LicensedStaffUserProfileDataCreateProcessor.gs:XXXSTRACERAW:-</t>
  </si>
  <si>
    <t>EMSG:Duplicated instance found in array of edge.capabilities.policyjob.lob.personalauto.coverables.dto.DriverDTO. DtoKey = XXXSTRACE:edge.util.mapping.ArrayUpdater.checkDuplicatedDto(ArrayUpdater.gs:XXXSTRACERAW:-</t>
  </si>
  <si>
    <t>EMSG:Exception during Rating ExecuteIterationsMultiThreaded : java.util.concurrent.ExecutionException: java.lang.NullPointerExceptionSTRACE:com.farmers.rating.common.flow.iteration.impl.IterationsExecutorImpl$block_XXX_.invoke(IterationsExecutorImpl.gs:XXXSTRACERAW:-</t>
  </si>
  <si>
    <t>EMSG:Expected query to have at most one result.  Select statement causing error: Values=[pc:XXX (publicid)STRACE:most one result.  Select statement causing error: Values=[pc:XXX (publicidSTRACERAW:-</t>
  </si>
  <si>
    <t>EMSG:ODSReconciliationProcessor#processPolicyPeriod : Exception Occurred gw.api.database.MultipleMatchesException: Expected query to have at most one result.  Select statement causing error: Values=[pc:XXX (publicid)STRACE:most one result.  Select statement causing error: Values=[pc:XXX (publicidSTRACERAW:-</t>
  </si>
  <si>
    <t>EMSG:ODSReconciliationProcessor#processPolicyPeriod : Exception Occurred java.lang.Exception: ODSReconciliationProcessor#processPolicyPeriod : Exception Occurred gw.api.database.MultipleMatchesException: Expected query to have at most one result.  Select statement causing error: Values=[pc:XXX (publicid)STRACE:most one result.  Select statement causing error: Values=[pc:XXX (publicidSTRACERAW:-</t>
  </si>
  <si>
    <t>EMSG:Policy is not eligible for new Auto Product as driver(s) did not receive a valid Motor Vehicle Record. Drivers without a valid Motor Vehicle Record may be excluded by request in CO.STRACE:com.farmers.config.pa.validator.BrightlineValidator.validateQuoteBrightlineRules(BrightlineValidator.gs:XXXSTRACERAW:-</t>
  </si>
  <si>
    <t>EMSG:Submission already boundSTRACE:edge.capabilities.quote.submission.QuoteHandler.retrieve(QuoteHandler.gs:XXXSTRACERAW:-</t>
  </si>
  <si>
    <t>EMSG:Update Primary Driver selection for XXXSTRACE:com.farmers.lob.pa.driverassignment.DriverAssignment.validateData(DriverAssignment.gs:XXXSTRACERAW:-</t>
  </si>
  <si>
    <t>EMSG:com.guidewire.pl.metadata.datatypeXXX.PLDataTypeException: The value XXX is not formatted correctly for the field "StInfoType_ExtInternal": Exceeds the maximum length of XXX characters (XXX)STRACE:com.farmers.edge.capabilities.quote.submission.lob.homeowners.locationReport.plugin.LocationReportPlugin.addOrUpdatePolicyLocation(LocationReportPlugin.gs:XXXSTRACERAW:-</t>
  </si>
  <si>
    <t>EMSG:-STRACE:-STRACERAW:com.farmers.config.common.mdm.MDMProcess.retrieveEarnedPremiumForContacts(MDMProcess.gs:XXX</t>
  </si>
  <si>
    <t>EMSG:-STRACE:-STRACERAW:com.farmers.config.pa.adpf.ParallelServiceExecutor$block_XXX_.invoke(ParallelServiceExecutor.gs:XXX</t>
  </si>
  <si>
    <t>EMSG:-STRACE:-STRACERAW:com.guidewire.pl.system.lease.impl.DBLeaseMgrImpl.transaction(DBLeaseMgrImpl.java:XXX</t>
  </si>
  <si>
    <t>EMSG:-STRACE:-STRACERAW:com.guidewire.pl.web.config.PCFElement.remove(PCFElement.java:XXX</t>
  </si>
  <si>
    <t>EMSG:Can't have NULL branchIdSTRACE:deployment.pc.war//gw.pl.persistence.core.effdate.EffDatedKey.&lt;init&gt;(EffDatedKey.java:XXXSTRACERAW:-</t>
  </si>
  <si>
    <t>EMSG:Could not find a policy with policy number: XXX.STRACE:com.farmers.integ.framework.job.automatejob.AutomatedJob.initialize(AutomatedJob.gs:XXXSTRACERAW:-</t>
  </si>
  <si>
    <t>EMSG:Could not map property Policies[].Periods[].PersonalUmbrellaLine_PUEExistsSTRACE:deployment.pc.war//gw.internal.xml.gx.GxRuntime.createElement(GxRuntime.java:XXXSTRACERAW:-</t>
  </si>
  <si>
    <t>EMSG:LUW Policy Change Job XXX: Enter a Carrier Name. It is required for an underlying policy.STRACE:gw.acc.luw.LUWExceptionHelper.processUserDisplayableException(LUWExceptionHelper.gs:XXXSTRACERAW:-</t>
  </si>
  <si>
    <t>EMSG:Personal Auto Line: Bodily Injury is required and must be added. XXXSTRACE:gw.api.extension.PCExtensionInterfacesMapper$block_XXX_.invoke(PCExtensionInterfacesMapper.gs:XXXSTRACERAW:-</t>
  </si>
  <si>
    <t>EMSG:The date XXX/XXX/XXX XXX:XXX:XXX AM is before the earliest valid effective date of XXX/XXX/XXX XXX:XXX:XXX AM.STRACE:gw.job.CancellationProcess.setCancellationDate(CancellationProcess.gs:XXXSTRACERAW:-</t>
  </si>
  <si>
    <t>EMSG:Verify and increase underlying policy liability limits in order to proceed with quote. One or more policies do not qualify for Umbrella coverage.STRACE:gw.lob.pup.PUPLineValidation_PUE.validateIneligiblePUPfields(PUPLineValidation_PUE.gs:XXXSTRACERAW:-</t>
  </si>
  <si>
    <t>EMSG:XXX has exceeded the accident and/or violation threshold for eligibility in this program. Drivers with excessive accidents and/or convictions may be excluded by request in CO.STRACE:com.farmers.config.pa.validator.BrightlineValidator.validateQuoteBrightlineRules(BrightlineValidator.gs:XXXSTRACERAW:-</t>
  </si>
  <si>
    <t>EMSG:, AOR=XXXSTRACE:com.sun.proxy.$ProxyXXX.invoke(Unknown SourceSTRACERAW:-</t>
  </si>
  <si>
    <t>EMSG:-STRACE:-STRACERAW:com.guidewire.pl.system.bundle.EntityBundleImpl.loadBean(EntityBundleImpl.java:XXX</t>
  </si>
  <si>
    <t>EMSG:-STRACE:-STRACERAW:pcfc.expressions.SubmissionWizard_PriorCarrier_ExtScreenExpressions$SubmissionWizard_PriorCarrier_ExtScreenExpressionsImpl.initialValue_XXX(SubmissionWizard_PriorCarrier_ExtScreenExpressions.gs:XXX</t>
  </si>
  <si>
    <t>EMSG:Attempt to access bean of type "Dwelling_HOE" id=XXX with a null bundleSTRACE:deployment.pc.war//com.guidewire.pl.system.entity.proxy.BeanProxy.checkIsInBundle(BeanProxy.java:XXXSTRACERAW:-</t>
  </si>
  <si>
    <t>EMSG:LHPI Ordering Failed due to TimeOut! - [java.lang.RuntimeException: java.util.concurrent.TimeoutException]STRACE:java.base/jdk.internal.reflect.GeneratedConstructorAccessorXXX.newInstance(Unknown SourceSTRACERAW:-</t>
  </si>
  <si>
    <t>EMSG:, AOR=XXXSTRACE:com.farmers.config.pup.policyrefresh.PolicyDiscountRefresher.createCLOBContingencyForCancellation(PolicyDiscountRefresher.gs:XXXSTRACERAW:-</t>
  </si>
  <si>
    <t>EMSG:, AOR=XXXSTRACE:com.farmers.config.pup.policyrefresh.ruleengine.PUPAutomaticUpdater.createAllActivity(PUPAutomaticUpdater.gs:XXXSTRACERAW:-</t>
  </si>
  <si>
    <t>EMSG:-STRACE:-STRACERAW:com.farmers.config.ho.enhancement.PolicyPeriodEnhancement.getPropertyScore(PolicyPeriodEnhancement.gsx:XXX</t>
  </si>
  <si>
    <t>EMSG:-STRACE:-STRACERAW:com.guidewire.pl.system.database.sequence.SequenceGenerator.incrementSequence(SequenceGenerator.java:XXX</t>
  </si>
  <si>
    <t>EMSG:-STRACE:-STRACERAW:com.guidewire.pl.system.entity.proxy.EffDatedBranchProxy.checkBranchNotEdited(EffDatedBranchProxy.java:XXX</t>
  </si>
  <si>
    <t>EMSG:-STRACE:-STRACERAW:com.guidewire.pl.web.navigation.Forward.performForward(Forward.java:XXX</t>
  </si>
  <si>
    <t>EMSG:-STRACE:-STRACERAW:gw.plugin.billing.impl.StandAloneBillingSystemPlugin.generatePreviewFor(StandAloneBillingSystemPlugin.gs:XXX</t>
  </si>
  <si>
    <t>EMSG:Attempt to access bean of type "TieringResult_Ext" id=XXX with a null bundleSTRACE:deployment.pc.war//com.guidewire.pl.system.entity.proxy.BeanProxy.checkIsInBundle(BeanProxy.java:XXXSTRACERAW:-</t>
  </si>
  <si>
    <t>EMSG:Cannot calculate an age without a date of birth.STRACE:com.farmers.integ.framework.job.automatejob.AutomatedJob.executeJob(AutomatedJob.gs:XXXSTRACERAW:-</t>
  </si>
  <si>
    <t>EMSG:LHPI Ordering Failed! - [Runtime Error]STRACE:java.base/jdk.internal.reflect.NativeConstructorAccessorImpl.newInstanceXXX(Native MethodSTRACERAW:-</t>
  </si>
  <si>
    <t>EMSG:ODSReconciliationProcessor#processPolicyPeriod : Exception Occurred java.lang.Exception: ODSReconciliationProcessor#processPolicyPeriod : Exception Occurred java.lang.reflect.UndeclaredThrowableExceptionSTRACE:com.farmers.integ.batch.odsreconciliation.util.ODSReconciliationProcessor.processPolicyPeriod(ODSReconciliationProcessor.gs:XXXSTRACERAW:-</t>
  </si>
  <si>
    <t>EMSG:ODSReconciliationProcessor#processPolicyPeriod : Exception Occurred java.lang.reflect.UndeclaredThrowableExceptionSTRACE:com.farmers.integ.batch.odsreconciliation.util.ODSReconciliationProcessor$block_XXX_.invoke(ODSReconciliationProcessor.gs:XXXSTRACERAW:-</t>
  </si>
  <si>
    <t>EMSG:Submit proof of eligibility for Innocent No Prior. If noneSTRACE:com.farmers.config.pa.validator.BrightlineValidator.validateQuoteBrightlineRules(BrightlineValidator.gs:XXXSTRACERAW:-</t>
  </si>
  <si>
    <t>EMSG:, AOR=XXXSTRACE:com.farmers.config.pup.prefill.legacy.PUPULClientDetailsLoaderAndRefresher.load(PUPULClientDetailsLoaderAndRefresher.gs:XXXSTRACERAW:-</t>
  </si>
  <si>
    <t>EMSG:-STRACE:-STRACERAW:com.guidewire.pl.web.config.PCFElement.preCancel(PCFElement.java:XXX</t>
  </si>
  <si>
    <t>EMSG:-STRACE:-STRACERAW:deployment.pc.war//com.guidewire.pl.system.entity.proxy.EffDatedBaseProxy.getSliceUntyped(EffDatedBaseProxy.java:XXX</t>
  </si>
  <si>
    <t>EMSG:-STRACE:-STRACERAW:deployment.pc.war//com.guidewire.pl.system.entity.proxy.EffDatedBeanProxy.setEffectiveWindow(EffDatedBeanProxy.java:XXX</t>
  </si>
  <si>
    <t>EMSG:-STRACE:-STRACERAW:gw.api.web.job.JobWizardHelper.&lt;init&gt;(JobWizardHelper.java:XXX</t>
  </si>
  <si>
    <t>EMSG:-STRACE:java.base/java.lang.String.contains(String.java:XXXSTRACERAW:-</t>
  </si>
  <si>
    <t>EMSG:Duplicate key in XXX has value "XXX".  Column "UserID" has value "XXX".STRACE:deployment.pc.war//com.guidewire.pl.system.database.entitywriter.TableWriterImpl.throwDBDuplicateKeyException(TableWriterImpl.java:XXXSTRACERAW:-</t>
  </si>
  <si>
    <t>EMSG:Missing contact details : genderSTRACE:edge.capabilities.quote.submission.quoting.util.SubmissionUnderwritingIssuesUtil.checkVerifyRateExceptions(SubmissionUnderwritingIssuesUtil.gs:XXXSTRACERAW:-</t>
  </si>
  <si>
    <t>EMSG:Policy Driver XXXXX already exists.STRACE:gw.lob.pa.PersonalAutoLineEnhancement.addNewPolicyDriverForContact(PersonalAutoLineEnhancement.gsx:XXXSTRACERAW:-</t>
  </si>
  <si>
    <t>EMSG:XXX has already granted access to XXXSTRACE:com.farmers.edge.capabilities.communitymodel.checkgrantaccess.processor.CheckGrantAccessProcessor.processGrantAccess(CheckGrantAccessProcessor.gs:XXXSTRACERAW:-</t>
  </si>
  <si>
    <t>EMSG:java.lang.IllegalStateException: Attempt to access bean of type "PUPLocation_PUE" id=XXX with a null bundleSTRACE:deployment.pc.war//com.guidewire.pl.web.widget.Widget.getVisibleValue(Widget.java:XXXSTRACERAW:-</t>
  </si>
  <si>
    <t>EMSG:, AOR=XXXSTRACE:com.farmers.config.pup.prefill.legacy.PUPULClientDetailsLoaderAndRefresher$block_XXX_.invoke(PUPULClientDetailsLoaderAndRefresher.gs:XXXSTRACERAW:-</t>
  </si>
  <si>
    <t>EMSG:, AOR=XXXSTRACE:gw.lob.common.PolicyInfoValidation$block_XXX_.invoke(PolicyInfoValidation.gs:XXXSTRACERAW:-</t>
  </si>
  <si>
    <t>EMSG:-STRACE:-STRACERAW:anonymous::main (line: XXX, column: XXX</t>
  </si>
  <si>
    <t>EMSG:-STRACE:-STRACERAW:com.guidewire.pl.cluster.internal.ptp.PointToPointUnicastTransportSession.call(PointToPointUnicastTransportSession.java:XXX</t>
  </si>
  <si>
    <t>EMSG:-STRACE:-STRACERAW:com.guidewire.pl.system.integration.messaging.dispatch.MessagingHelperProxy$Operation.getDestinationNotOwnedResult(MessagingHelperProxy.java:XXX</t>
  </si>
  <si>
    <t>EMSG:-STRACE:-STRACERAW:gw.lang.parser.EvaluationException.wrap(EvaluationException.java:XXX</t>
  </si>
  <si>
    <t>EMSG:-STRACE:-STRACERAW:gw.policy.PolicyPeriodBaseEnhancement.getSubmissionProcess(PolicyPeriodBaseEnhancement.gsx:XXX</t>
  </si>
  <si>
    <t>EMSG:-STRACE:-STRACERAW:java.lang.String.contains(String.java:XXX</t>
  </si>
  <si>
    <t>EMSG:-STRACE:com.farmers.integ.security.community.ace.agent.profile.processor.updator.StaffUserSecondaryProducerCodeUpdateProcessor.update(StaffUserSecondaryProducerCodeUpdateProcessor.gs:XXXSTRACERAW:-</t>
  </si>
  <si>
    <t>EMSG:-STRACE:java.base/java.math.BigDecimal.add(BigDecimal.java:XXXSTRACERAW:-</t>
  </si>
  <si>
    <t>EMSG:Couldn't kickstart handshakingSTRACE:java.base/sun.security.ssl.Alert.createSSLException(Alert.java:XXXSTRACERAW:-</t>
  </si>
  <si>
    <t>EMSG:Database bean version conflict : XXXSTRACE:deployment.pc.war//com.guidewire.pl.system.database.DatabaseChangedBeanWriter.createConcurrentDataChangeException(DatabaseChangedBeanWriter.java:XXXSTRACERAW:-</t>
  </si>
  <si>
    <t>EMSG:Exception while performing the search operation with search criteria Street Number:XXX.XXXSTRACE:com.farmers.integ.erti.iso.location.impl.AbstractISOLocationFinder.search(AbstractISOLocationFinder.gs:XXXSTRACERAW:-</t>
  </si>
  <si>
    <t>EMSG:LUW Policy Change Job XXX: nullSTRACE:gw.acc.luw.LUWExceptionHelper.processException(LUWExceptionHelper.gs:XXXSTRACERAW:-</t>
  </si>
  <si>
    <t>EMSG:Multiple agent prior insurance reports foundSTRACE:com.farmers.tier.pa.pitier.impl.PITierInputMapperImpl.selectReport(PITierInputMapperImpl.gs:XXXSTRACERAW:-</t>
  </si>
  <si>
    <t>EMSG:New Agent Not FoundSTRACE:com.farmers.integ.distribution.opra.batch.helper.OpraRecordHandler.validateRecords(OpraRecordHandler.gs:XXXSTRACERAW:-</t>
  </si>
  <si>
    <t>EMSG:No driver points found for incident nullSTRACE:com.farmers.chargeability.pup.driverpoints.PUPDriverPointsCalculatorVXXX$block_XXX_$block_XXX_.invoke(PUPDriverPointsCalculatorVXXX.gs:XXXSTRACERAW:-</t>
  </si>
  <si>
    <t>EMSG:One or more null constraint violations detected for DiagnosticRatingWorksheetSTRACE:com.farmers.integ.framework.job.automatejob.AutomatedJob.executeJob(AutomatedJob.gs:XXXSTRACERAW:-</t>
  </si>
  <si>
    <t>EMSG:Quote not found!STRACE:com.farmers.edge.capabilities.foremost.ForemostResponseHandler.processForemostResponse(ForemostResponseHandler.gs:XXXSTRACERAW:-</t>
  </si>
  <si>
    <t>EMSG:Reduce Personal Liability coverage limits. Personal Liability coverage limit of $XXX million or higher is not allowed on the policy when Additional Insured or Additional Interest has contact type as company.;STRACE:edge.capabilities.quote.submission.quoting.util.SubmissionUnderwritingIssuesUtil.checkVerifyRateExceptions(SubmissionUnderwritingIssuesUtil.gs:XXXSTRACERAW:-</t>
  </si>
  <si>
    <t>EMSG:Remove current vehicle and use either 'Create Vehicle' or 'Replace Vehicle' to change the VIN.STRACE:com.farmers.config.pa.validator.PAVehiclesValidator_Ext.vinValidationOnTabout(PAVehiclesValidator_Ext.gs:XXXSTRACERAW:-</t>
  </si>
  <si>
    <t>EMSG:Try again later. Equifax credit reporting is unavailable.STRACE:com.farmers.config.common.credit.pa.PACreditScoreProcess.invokeService(PACreditScoreProcess.gs:XXXSTRACERAW:-</t>
  </si>
  <si>
    <t>EMSG:UWIssue: UW.XXXa null: Ineligible Condition - Loss Threshold Exceeded UW.XXXaSTRACE:com.farmers.integ.framework.job.automatejob.AutomatedJob.executeJob(AutomatedJob.gs:XXXSTRACERAW:-</t>
  </si>
  <si>
    <t>EMSG:error:entity.xxxUI-ValidationERRORMessagexxxSTRACE:-STRACERAW:you provided the credit disclosure (where applicable</t>
  </si>
  <si>
    <t>EMSG:warning:entity.xxxUI-ValidationWARNMessagexxxSTRACE:-STRACERAW:documentation will be required to bind. Vendor Name: XXX</t>
  </si>
  <si>
    <t>EMSG:, AOR=XXXSTRACE:com.farmers.config.pup.policyrefresh.pc.PUPPopulatePADTO.setLiabCoverage(PUPPopulatePADTO.gs:XXXSTRACERAW:-</t>
  </si>
  <si>
    <t>EMSG:-STRACE:-STRACERAW:com.farmers.utilities.datachange.DataChangeRequestProcessor.populateTemplateScript(DataChangeRequestProcessor.gs:XXX</t>
  </si>
  <si>
    <t>EMSG:-STRACE:-STRACERAW:deployment.pc.war//com.guidewire.pl.system.entity.proxy.EffDatedBranchProxy.handleBranchChange(EffDatedBranchProxy.java:XXX</t>
  </si>
  <si>
    <t>EMSG:-STRACE:-STRACERAW:deployment.pc.war//gw.pl.persistence.core.effdate.EffDatedKey.&lt;init&gt;(EffDatedKey.java:XXX</t>
  </si>
  <si>
    <t>EMSG:-STRACE:-STRACERAW:gw.pcf.job.QuoteUIHelper.informationMessagePNISNIChange(QuoteUIHelper.gs:XXX</t>
  </si>
  <si>
    <t>EMSG:-STRACE:-STRACERAW:pcfc.expressions.PersonalAuto_AllVehicleCoveragesDVExpressions$PersonalAuto_AllVehicleCoveragesDVExpressionsImpl.initialValue_XXX(PersonalAuto_AllVehicleCoveragesDVExpressions.gs:XXX</t>
  </si>
  <si>
    <t>EMSG:-STRACE:com.farmers.integ.security.community.ace.agent.profile.processor.creator.ProducerCodeProfileDataCreateProcessor.create(ProducerCodeProfileDataCreateProcessor.gs:XXXSTRACERAW:-</t>
  </si>
  <si>
    <t>EMSG:Attempt to access bean of type "HomeownersLine_HOE" id=XXX with a null bundleSTRACE:deployment.pc.war//com.guidewire.pl.system.entity.proxy.BeanProxy.checkIsInBundle(BeanProxy.java:XXXSTRACERAW:-</t>
  </si>
  <si>
    <t>EMSG:Cannot promote preempted branchSTRACE:deployment.pc.war//com.guidewire.pl.system.entity.proxy.EffDatedBranchProxy.checkIfPreempted(EffDatedBranchProxy.java:XXXSTRACERAW:-</t>
  </si>
  <si>
    <t>EMSG:Database bean version conflict : XXXSTRACE:com.farmers.integ.framework.job.automatejob.AutomatedJob.handleSpillOverExceptions(AutomatedJob.gs:XXXSTRACERAW:-</t>
  </si>
  <si>
    <t>EMSG:Exception during Rating ExecuteIterationsMultiThreaded : java.util.concurrent.ExecutionException: java.lang.IllegalStateException: Attempt to access bean of type "Dwelling_HOE" id=XXX with a null bundleSTRACE:com.farmers.rating.common.flow.iteration.impl.IterationsExecutorImpl$block_XXX_.invoke(IterationsExecutorImpl.gs:XXXSTRACERAW:-</t>
  </si>
  <si>
    <t>EMSG:Group Affiliated policies cannot be assigned to Exclusive AgentsSTRACE:com.farmers.integ.distribution.opra.batch.helper.OpraRecordHandler.validateRecords(OpraRecordHandler.gs:XXXSTRACERAW:-</t>
  </si>
  <si>
    <t>EMSG:Invalid Policy Number: XXXXXXSTRACE:com.farmers.edge.capabilities.policycommon.util.PolicyCommonUtil.getPeriod(PolicyCommonUtil.gs:XXXSTRACERAW:-</t>
  </si>
  <si>
    <t>EMSG:Mention period is cancelledSTRACE:com.farmers.integ.framework.job.automatejob.AutomatedJob.handleSpillOverExceptions(AutomatedJob.gs:XXXSTRACERAW:-</t>
  </si>
  <si>
    <t>EMSG:No Vehicle found with the given SubjectOfInsuranceId XXXSTRACE:edge.capabilities.policychange.lob.personalauto.coverables.DefaultPaCoverablePlugin$block_XXX_.invoke(DefaultPaCoverablePlugin.gs:XXXSTRACERAW:-</t>
  </si>
  <si>
    <t>EMSG:Restart the Create Account process. The random generation of an account number timed out.STRACE:com.farmers.integ.householding.plugins.AccountPluginImpl.generateAccountNumber(AccountPluginImpl.gs:XXXSTRACERAW:-</t>
  </si>
  <si>
    <t>EMSG:The selected version for job "XXX" must be a member of its Periods array.STRACE:deployment.pc.war//com.guidewire.pc.domain.job.impl.JobImpl.setSelectedVersion(JobImpl.java:XXXSTRACERAW:-</t>
  </si>
  <si>
    <t>EMSG:Try again later. Equifax credit reporting is unavailable.STRACE:com.farmers.config.common.credit.ho.HOCreditScoreProcess.invokeService(HOCreditScoreProcess.gs:XXXSTRACERAW:-</t>
  </si>
  <si>
    <t>EMSG:Unacceptable Risk. Unable to complete the quote. Properties with OTHER BUSINESS OPERATIONS are not eligible for coverage.;STRACE:edge.capabilities.quote.submission.quoting.util.SubmissionUnderwritingIssuesUtil.checkVerifyRateExceptions(SubmissionUnderwritingIssuesUtil.gs:XXXSTRACERAW:-</t>
  </si>
  <si>
    <t>EMSG:You do not have the permission required to perform this action: User doesn't have permission to edit this activitySTRACE:deployment.pc.war//com.guidewire.pl.domain.community.impl.UserImpl.assertPermission(UserImpl.java:XXXSTRACERAW:-</t>
  </si>
  <si>
    <t>EMSG:class java.util.concurrent.ExecutionException cannot be cast to class edge.validation.EdgeValidationException (java.util.concurrent.ExecutionException is in module java.base of loader 'bootstrap'; edge.validation.EdgeValidationException is in unnamed module of loader com.guidewire.pl.system.gosu.GosuPluginContainer @XXXSTRACE:edge.capabilities.policychange.GatewayPolicyChangeHandler$block_XXX_.invoke(GatewayPolicyChangeHandler.gs:XXXSTRACERAW:-</t>
  </si>
  <si>
    <t>EMSG:, AOR=XXXSTRACE:java.base/java.util.AbstractCollection.addAll(AbstractCollection.java:XXXSTRACERAW:-</t>
  </si>
  <si>
    <t>EMSG:-STRACE:-STRACERAW:com.guidewire.pc.domain.job.impl.CancellationImpl.getPolicyPeriod(CancellationImpl.java:XXX</t>
  </si>
  <si>
    <t>EMSG:-STRACE:-STRACERAW:com.guidewire.pl.web.navigation.Location.reValidateModel(Location.java:XXX</t>
  </si>
  <si>
    <t>EMSG:-STRACE:-STRACERAW:gw.lob.common.PolicyInfoValidation$block_XXX_.invoke(PolicyInfoValidation.gs:XXX</t>
  </si>
  <si>
    <t>EMSG:-STRACE:-STRACERAW:gw.lob.common.SideBySideUtil.getSideBySidePeriods(SideBySideUtil.gs:XXX</t>
  </si>
  <si>
    <t>EMSG:-STRACE:-STRACERAW:gw.pl.currency.MonetaryAmount.add(MonetaryAmount.java:XXX</t>
  </si>
  <si>
    <t>EMSG:-STRACE:-STRACERAW:java.math.BigDecimal.&lt;init&gt;(BigDecimal.java:XXX</t>
  </si>
  <si>
    <t>EMSG:-STRACE:-STRACERAW:this time.  If this persists; contact Agent Support Center at (XXX</t>
  </si>
  <si>
    <t>EMSG:-STRACE:com.farmers.integ.erti.iso.location.ISOLocationUnusualAddressHelper.checkForDecimalInput(ISOLocationUnusualAddressHelper.gs:XXXSTRACERAW:-</t>
  </si>
  <si>
    <t>EMSG:-STRACE:com.farmers.integ.security.community.ace.agent.profile.processor.creator.UserProfileDataCreateProcessor.create(UserProfileDataCreateProcessor.gs:XXXSTRACERAW:-</t>
  </si>
  <si>
    <t>EMSG:-STRACE:com.farmers.integ.security.community.ace.agent.profile.processor.updator.SecondaryProducerCodeUpdateProcessor.update(SecondaryProducerCodeUpdateProcessor.gs:XXXSTRACERAW:-</t>
  </si>
  <si>
    <t>EMSG:Attempt to access bean of type "PUPLine_PUE" id=XXX with a null bundleSTRACE:deployment.pc.war//com.guidewire.pl.system.entity.proxy.BeanProxy.checkIsInBundle(BeanProxy.java:XXXSTRACERAW:-</t>
  </si>
  <si>
    <t>EMSG:BatchProcessFramework#executeAsBatch - BatchProcess FailedSTRACE:gw.acc.batch.common.BatchProcessFramework.executeAsBatch(BatchProcessFramework.gs:XXXSTRACERAW:-</t>
  </si>
  <si>
    <t>EMSG:Connect to api-int.farmersinsurance.com:XXX [api-int.farmersinsurance.com/XXX.XXX.XXX.XXXSTRACE:deployment.pc.war//org.apache.http.impl.conn.DefaultHttpClientConnectionOperator.connect(DefaultHttpClientConnectionOperator.java:XXXSTRACERAW:-</t>
  </si>
  <si>
    <t>EMSG:Create a new submission. Policy is not eligible for Rewrite Full Term as  one or more policy(s) of PNI/Spouse have been cancelled due to non pay.STRACE:gw.job.QuoteProcess.requestQuote(QuoteProcess.gs:XXXSTRACERAW:-</t>
  </si>
  <si>
    <t>EMSG:LHPI Ordering Failed! - [Runtime Error  HTTP POST on resource 'https://decisioning.lexisnexisrisk.com:XXX/farmers/fmk' failed: Remotely closed. ESBXXX]STRACE:java.base/jdk.internal.reflect.NativeConstructorAccessorImpl.newInstanceXXX(Native MethodSTRACERAW:-</t>
  </si>
  <si>
    <t>EMSG:Quote number XXXSTRACE:edge.capabilities.quote.submission.GatewayQuoteHandler.handleCaughtExceptionsIfAny(GatewayQuoteHandler.gs:XXXSTRACERAW:-</t>
  </si>
  <si>
    <t>EMSG:The client is ineligible for an umbrella policy because the number of allowable vehicles has been exceeded and/or the allowable ratio of drivers to vehicles has been exceeded.STRACE:gw.pcf.job.QuoteUIHelper.validateFlexLiabLimits(QuoteUIHelper.gs:XXXSTRACERAW:-</t>
  </si>
  <si>
    <t>EMSG:UWIssue: UW.XXX null: Ineligible Condition - Loss Threshold Exceeded UW.XXXSTRACE:com.farmers.integ.framework.job.automatejob.AutomatedJob.executeJob(AutomatedJob.gs:XXXSTRACERAW:-</t>
  </si>
  <si>
    <t>EMSG:in Michigan: MCCA Assessment Recoupment is required and must be added. XXXSTRACE:gw.api.extension.PCExtensionInterfacesMapper$block_XXX_.invoke(PCExtensionInterfacesMapper.gs:XXXSTRACERAW:-</t>
  </si>
  <si>
    <t>EMSG:java.lang.RuntimeException: javax.net.ssl.SSLException: Connection resetSTRACE:deployment.pc.war//gw.internal.xml.ws.WsdlPortImpl.invoke(WsdlPortImpl.java:XXXSTRACERAW:-</t>
  </si>
  <si>
    <t>EMSG:, AOR=XXXSTRACE:com.farmers.config.common.mvr.MVRProcess$block_XXX_$block_XXX_.invoke(MVRProcess.gs:XXXSTRACERAW:-</t>
  </si>
  <si>
    <t>EMSG:, AOR=XXXSTRACE:gw.acc.luw.LUWUtil$block_XXX_.invoke(LUWUtil.gs:XXXSTRACERAW:-</t>
  </si>
  <si>
    <t>EMSG:-STRACE:-STRACERAW:com.guidewire.pl.system.server.InitTab.increaseRunLevelTo(InitTab.java:XXX</t>
  </si>
  <si>
    <t>EMSG:-STRACE:-STRACERAW:deployment.pc.war//com.guidewire.pl.metadata.datatypeXXX.fieldvalidator.FieldValidatorInfo.validateFormat(FieldValidatorInfo.java:XXX</t>
  </si>
  <si>
    <t>EMSG:-STRACE:-STRACERAW:deployment.pc.war//com.guidewire.pl.system.database.entitywriter.TableWriterImpl.throwDBDuplicateKeyException(TableWriterImpl.java:XXX</t>
  </si>
  <si>
    <t>EMSG:-STRACE:-STRACERAW:gw.job.JobEnhancement.getTransactionDoneByForDisplay(JobEnhancement.gsx:XXX</t>
  </si>
  <si>
    <t>EMSG:-STRACE:-STRACERAW:gw.lang.enhancements.OrderedList$XXX.compare(OrderedList.java:XXX</t>
  </si>
  <si>
    <t>EMSG:-STRACE:-STRACERAW:gw.web.productmodel.ProductModelSyncIssuesHandler$block_XXX_.invoke(ProductModelSyncIssuesHandler.gs:XXX</t>
  </si>
  <si>
    <t>EMSG:-STRACE:-STRACERAW:java.util.AbstractCollection.addAll(AbstractCollection.java:XXX</t>
  </si>
  <si>
    <t>EMSG:-STRACE:-STRACERAW:pcfc.expressions.HOMainCoveragesHOEPanelSetExpressions$DetailViewPanelExpressionsImpl.initialValue_XXX(HOMainCoveragesHOEPanelSetExpressions.gs:XXX</t>
  </si>
  <si>
    <t>EMSG:-STRACE:com.farmers.integ.security.community.ace.agent.profile.builder.AbstractStaffUserProfileBuilderStrategy.buildCreateFunction(AbstractStaffUserProfileBuilderStrategy.gs:XXXSTRACERAW:-</t>
  </si>
  <si>
    <t>EMSG:-STRACE:com.farmers.integ.security.community.ace.agent.profile.processor.updator.UserDataUpdateProcessor.update(UserDataUpdateProcessor.gs:XXXSTRACERAW:-</t>
  </si>
  <si>
    <t>EMSG:-STRACE:deployment.pc.war//com.guidewire.pl.system.database.entitywriter.TableWriterImpl.throwDBDuplicateKeyException(TableWriterImpl.java:XXXSTRACERAW:-</t>
  </si>
  <si>
    <t>EMSG:-STRACE:java.base/java.io.File.&lt;init&gt;(File.java:XXXSTRACERAW:-</t>
  </si>
  <si>
    <t>EMSG:Attempt to access bean of type "ReportOrderedPerson_Ext" id=XXX with a null bundleSTRACE:deployment.pc.war//com.guidewire.pl.system.entity.proxy.BeanProxy.checkIsInBundle(BeanProxy.java:XXXSTRACERAW:-</t>
  </si>
  <si>
    <t>EMSG:Failed to execute a batch updateSTRACE:deployment.pc.war//com.guidewire.pl.system.transaction.ConnectionHandler.newDbException(ConnectionHandler.java:XXXSTRACERAW:-</t>
  </si>
  <si>
    <t>EMSG:Improperly started job cannot be committed to the database because it has XXX periods.STRACE:deployment.pc.war//com.guidewire.pc.domain.job.impl.JobImpl.beforeInsert(JobImpl.java:XXXSTRACERAW:-</t>
  </si>
  <si>
    <t>EMSG:One or more null constraint violations detected for PersonalVehicleSTRACE:deployment.pc.war//com.guidewire.pl.system.database.entitywriter.DatabaseEntityWriterImpl.checkForNullConstraintViolation(DatabaseEntityWriterImpl.java:XXXSTRACERAW:-</t>
  </si>
  <si>
    <t>EMSG:Personal Auto Line: Personal Injury Protection is required and must be added. XXXSTRACE:-STRACERAW:</t>
  </si>
  <si>
    <t>EMSG:Policy data prefill is not completed successfully. Please restart the Product rewrite again.STRACE:com.farmers.integ.productrewrite.prefill.HHInquiryHelper.prefillPolicyFromHHInquiry(HHInquiryHelper.gs:XXXSTRACERAW:-</t>
  </si>
  <si>
    <t>EMSG:Submission already boundSTRACE:edge.capabilities.policychange.GatewayPolicyChangeHandler.policyBind(GatewayPolicyChangeHandler.gs:XXXSTRACERAW:-</t>
  </si>
  <si>
    <t>EMSG:Submission not foundSTRACE:edge.capabilities.quote.submission.QuoteHandler.retrieve(QuoteHandler.gs:XXXSTRACERAW:-</t>
  </si>
  <si>
    <t>EMSG:The risk is not eligible for a Farmers policy due to a driver with a financial responsibility filing. Select the Bridge to Bristol West button to create a quote in the Bristol West system.STRACE:gw.job.QuoteProcess.requestQuote(QuoteProcess.gs:XXXSTRACERAW:-</t>
  </si>
  <si>
    <t>EMSG:Unacceptable Risk. Unable to complete the quote. The property is isolated (not visible from the main road or neighbors).;STRACE:edge.capabilities.quote.submission.quoting.util.SubmissionUnderwritingIssuesUtil.checkVerifyRateExceptions(SubmissionUnderwritingIssuesUtil.gs:XXXSTRACERAW:-</t>
  </si>
  <si>
    <t>EMSG:com.guidewire.pl.system.exception.TransactionException: commitBundle must not be called in a transaction.STRACE:deployment.pc.war//com.guidewire.pl.system.bundle.EntityBundleImpl.commitAndGetBeans(EntityBundleImpl.java:XXXSTRACERAW:-</t>
  </si>
  <si>
    <t>EMSG:User does not exist for UserId: XXXSTRACE:com.farmers.integ.security.community.ace.agent.license.AgentLicenseHelper.validate(AgentLicenseHelper.gs:XXXSTRACERAW:-</t>
  </si>
  <si>
    <t>EMSG:-STRACE:-STRACERAW:com.farmers.integ.batch.recon.helper.DownstreamReconciliationProcessor.processPolicyPeriod(DownstreamReconciliationProcessor.gs:XXX</t>
  </si>
  <si>
    <t>EMSG:java.lang.IllegalStateException: Attempt to access bean of type "PolicyDriver" id=XXX with a null bundleSTRACE:deployment.pc.war//com.guidewire.pl.web.widget.Widget.getVisibleValue(Widget.java:XXXSTRACERAW:-</t>
  </si>
  <si>
    <t>EMSG:-STRACE:com.farmers.integ.security.community.ace.agent.profile.processor.updator.BristolWestCodeUpdateProcessor.update(BristolWestCodeUpdateProcessor.gs:XXXSTRACERAW:-</t>
  </si>
  <si>
    <t>EMSG:String index out of range: XXXSTRACE:java.base/java.lang.String.substring(String.java:XXXSTRACERAW:-</t>
  </si>
  <si>
    <t>EMSG:The value XXX is not formatted correctly for the field "LastNameSC": Exceeds the maximum length of XXX characters (XXX)STRACE:deployment.pc.war//gw.datatype.impl.StringConstraintsHandlerBase.validateStringLength(StringConstraintsHandlerBase.java:XXXSTRACERAW:-</t>
  </si>
  <si>
    <t>EMSG:, AOR=XXXSTRACE:deployment.pc.war//com.guidewire.pl.system.bundle.BundleWriter.filterRuleVisibleBeans(BundleWriter.java:XXXSTRACERAW:-</t>
  </si>
  <si>
    <t>EMSG:IID call returned with Transaction Status Failed.STRACE:com.farmers.edge.capabilities.quote.adpf.ADPFPlugin.callIID(ADPFPlugin.gs:XXXSTRACERAW:-</t>
  </si>
  <si>
    <t>EMSG:The value XXX is not formatted correctly for the field "AddressLineXXX": Exceeds the maximum length of XXX characters (XXX)STRACE:deployment.pc.war//gw.datatype.impl.StringConstraintsHandlerBase.validateStringLength(StringConstraintsHandlerBase.java:XXXSTRACERAW:-</t>
  </si>
  <si>
    <t>EMSG:-STRACE:-STRACERAW:com.farmers.config.decliningdeductible.PAFlexDecliningDeductibleHelper.validatePriorPolicyNumber(PAFlexDecliningDeductibleHelper.gs:XXX</t>
  </si>
  <si>
    <t>EMSG:Correct or Remove Prior Auto Flex Policy # for prior policy benefit transfer.STRACE:com.farmers.config.decliningdeductible.PAFlexDecliningDeductibleHelper.validatePriorPolicyNumber(PAFlexDecliningDeductibleHelper.gs:XXXSTRACERAW:-</t>
  </si>
  <si>
    <t>EMSG:-STRACE:-STRACERAW:com.farmers.rating.pa.prerating.signalcode.impl.PASignalCodeCalculatorImplVXXX.calculateSignalFactors(PASignalCodeCalculatorImplVXXX.gs:XXX</t>
  </si>
  <si>
    <t>EMSG:-STRACE:-STRACERAW:deployment.pc.war//com.guidewire.pl.system.database.entitywriter.DatabaseEntityWriterImpl.checkForNullConstraintViolation(DatabaseEntityWriterImpl.java:XXX</t>
  </si>
  <si>
    <t>EMSG:-STRACE:com.farmers.edge.capabilities.communitymodel.checkgrantaccess.processor.RevokeAccessProcessor.removeGroupUser(RevokeAccessProcessor.gs:XXXSTRACERAW:-</t>
  </si>
  <si>
    <t>EMSG:-STRACE:com.farmers.integ.security.community.ace.agent.profile.utils.AgentProfileBatchHelper.getUserByUPN(AgentProfileBatchHelper.gs:XXXSTRACERAW:-</t>
  </si>
  <si>
    <t>EMSG:Connect to apis-pceisg.farmersinsurance.com:XXX [apis-pceisg.farmersinsurance.com/XXX.XXX.XXX.XXX] failed: Read timed outSTRACE:deployment.pc.war//org.apache.http.impl.conn.DefaultHttpClientConnectionOperator.connect(DefaultHttpClientConnectionOperator.java:XXXSTRACERAW:-</t>
  </si>
  <si>
    <t>EMSG:Could not map property CustomerRawData_ExtSTRACE:deployment.pc.war//gw.internal.xml.gx.GxRuntime.createElement(GxRuntime.java:XXXSTRACERAW:-</t>
  </si>
  <si>
    <t>EMSG:Could not map property TransactionAmount_ExtSTRACE:deployment.pc.war//gw.internal.xml.gx.GxRuntime.createElement(GxRuntime.java:XXXSTRACERAW:-</t>
  </si>
  <si>
    <t>EMSG:-STRACE:-STRACERAW:com.farmers.utilities.datachange.DataChangeHandler$block_XXX_.invoke(DataChangeHandler.gs:XXX</t>
  </si>
  <si>
    <t>EMSG:-STRACE:-STRACERAW:com.guidewire.pl.system.bundle.BundleWriter.filterRuleVisibleBeans(BundleWriter.java:XXX</t>
  </si>
  <si>
    <t>EMSG:-STRACE:com.farmers.integ.security.community.context.AbstractBatchProcessContext.put(AbstractBatchProcessContext.gs:XXXSTRACERAW:-</t>
  </si>
  <si>
    <t>EMSG:Correct VIN on XXX.  VIN failed verification.;Correct VIN on XXX.  VIN failed verification.;STRACE:edge.capabilities.quote.submission.quoting.util.SubmissionUnderwritingIssuesUtil.checkVerifyRateExceptions(SubmissionUnderwritingIssuesUtil.gs:XXXSTRACERAW:-</t>
  </si>
  <si>
    <t>EMSG:-STRACE:-STRACERAW:com.guidewire.pl.system.cluster.ClusterCallForwarderImpl.forwardCallToServer(ClusterCallForwarderImpl.java:XXX</t>
  </si>
  <si>
    <t>EMSG:Exception during Rating ExecuteIterationsMultiThreaded : gw.api.rating.RatingException: Unable to compute PI Tier; there are no prior insurance reportsSTRACE:com.farmers.rating.common.flow.iteration.impl.IterationsExecutorImpl$block_XXX_.invoke(IterationsExecutorImpl.gs:XXXSTRACERAW:-</t>
  </si>
  <si>
    <t>EMSG:Remove Vehicle Replacement Plus coverage from vehicle XXXSTRACE:edge.capabilities.quote.submission.quoting.util.SubmissionUnderwritingIssuesUtil.checkSideBySideProcessExceptions(SubmissionUnderwritingIssuesUtil.gs:XXXSTRACERAW:-</t>
  </si>
  <si>
    <t>EMSG:Could not map property OnOffAmount_ExtSTRACE:deployment.pc.war//gw.internal.xml.gx.GxRuntime.createElement(GxRuntime.java:XXXSTRACERAW:-</t>
  </si>
  <si>
    <t>EMSG:-STRACE:-STRACERAW:java.lang.String.compareTo(String.java:XXX</t>
  </si>
  <si>
    <t>EMSG:For input string: "XXX.XXX"STRACE:java.base/java.lang.NumberFormatException.forInputString(NumberFormatException.java:XXXSTRACERAW:-</t>
  </si>
  <si>
    <t>EMSG:Database bean version conflict : XXXSTRACE:XXX/XXX/XXX XXX:XXX PM. Please cancel and retry your change.
	at deployment.pc.war//com.guidewire.pl.system.database.DatabaseChangedBeanWriter.createConcurrentDataChangeException(DatabaseChangedBeanWriter.java:XXXSTRACERAW:-</t>
  </si>
  <si>
    <t>EMSG:Database bean version conflict : XXXSTRACE:XXX/XXX/XXX XXX:XXX AM. Please cancel and retry your change.
	at deployment.pc.war//com.guidewire.pl.system.database.DatabaseChangedBeanWriter.createConcurrentDataChangeException(DatabaseChangedBeanWriter.java:XXXSTRACERAW:-</t>
  </si>
  <si>
    <t>EMSG:gw.xml.XmlException: 'Unable to parse XML from xml string using schemas [com.farmers.integ.iwa.customerinformationmanagement.wsc.customerinfomtwsc.customerinformationmanagement_vXXXSTRACE:line XXX column XXX'
	at deployment.pc.war//gw.internal.xml.ws.WsdlPortImpl.invoke(WsdlPortImpl.java:XXXSTRACERAW:-</t>
  </si>
  <si>
    <t>EMSG:Could not find a policy with number: XXX that is effective on the given date: XXXXXXXXXSTRACE:is effective on the given date: XXXXXXXXX
	at com.farmers.integ.framework.job.automatejob.AutomatedJob.initialize(AutomatedJob.gs:XXXSTRACERAW:-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</si>
  <si>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at com.farmers.lob.pa.driverassignment.DriverAssignment.validateData(DriverAssignment.gs:XXXSTRACERAW:-</t>
  </si>
  <si>
    <t>EMSG:Previous Quote generation request is currently in process in PolicyCenterSTRACE:com.farmers.config.commonutil.QuoteUtil.handlePolicyPeriodStatus(QuoteUtil.gs:XXXSTRACERAW:-</t>
  </si>
  <si>
    <t>EMSG:gw.xml.XmlException: 'Unable to parse XML from xml string using schemas [com.farmers.integ.marketing.agent.wsc.prospectquotewsc.prospectquote_vXXXSTRACE:line XXX column XXX'
	at deployment.pc.war//gw.internal.xml.ws.WsdlPortImpl.invoke(WsdlPortImpl.java:XXXSTRACERAW:-</t>
  </si>
  <si>
    <t>EMSG:Try again later. Installment amounts unavailable at this time due to billing service failure.STRACE:this time due to billing service failure.
	at com.farmers.billing.dao.InstallmentProcessor.retrieveInstallments(InstallmentProcessor.gs:XXXSTRACERAW:-</t>
  </si>
  <si>
    <t>EMSG:PolicyCenter Quote is in withdrawn statusSTRACE:com.farmers.config.commonutil.QuoteUtil.handlePolicyPeriodStatus(QuoteUtil.gs:XXXSTRACERAW:-</t>
  </si>
  <si>
    <t>EMSG:Correct the License # for XXXSTRACE:error
	at com.farmers.config.common.mvr.MVRProcess.orderMVR(MVRProcess.gs:XXXSTRACERAW:-</t>
  </si>
  <si>
    <t>EMSG:The PolicyPeriod you are trying to change is currently being quoted by another userSTRACE:this time
	at deployment.pc.war//com.guidewire.pc.domain.policy.period.impl.PolicyPeriodImpl.checkForCommitRestraints(PolicyPeriodImpl.java:XXXSTRACERAW:-</t>
  </si>
  <si>
    <t>EMSG:Cannot modify a bean of type Contingency that is in a readonly bundleSTRACE:is in a readonly bundle
	at deployment.pc.war//com.guidewire.pl.system.entity.proxy.BeanProxy.checkIsInWriteableBundle(BeanProxy.java:XXXSTRACERAW:-</t>
  </si>
  <si>
    <t>EMSG:gw.xml.XmlException: 'Unable to parse XML from xml string using schemas [com.farmers.integ.erti.address.wsc.postaladdressmanagerwsc.vXXXSTRACE:line XXX column XXX'
	at deployment.pc.war//gw.internal.xml.ws.WsdlPortImpl.invoke(WsdlPortImpl.java:XXXSTRACERAW:-</t>
  </si>
  <si>
    <t>EMSG:gw.xml.XmlException: 'Unable to parse XML from xml string using schemas [com.farmers.integ.householding.mdm.wsc.mdmsearchcustomerwsc.mdmcustomerinformationmanagement_vXXXSTRACE:line XXX column XXX'
	at deployment.pc.war//gw.internal.xml.ws.WsdlPortImpl.invoke(WsdlPortImpl.java:XXXSTRACERAW:-</t>
  </si>
  <si>
    <t>EMSG:Stored bean is not the bean that was changed.STRACE:was changed.
	at deployment.pc.war//com.guidewire.pl.system.bundle.EntityBundleImpl.handleBeanChange(EntityBundleImpl.java:XXXSTRACERAW:-</t>
  </si>
  <si>
    <t>EMSG:The object you are trying to update was XXXSTRACE:XXX/XXX/XXX XXX:XXX AM. Please cancel and retry your change.
	at edge.capabilities.quote.submission.GatewayQuoteHandler.handleOrThrowException(GatewayQuoteHandler.gs:XXXSTRACERAW:-</t>
  </si>
  <si>
    <t>EMSG:The object you are trying to update was XXXSTRACE:XXX/XXX/XXX XXX:XXX PM. Please cancel and retry your change.
	at edge.capabilities.quote.submission.GatewayQuoteHandler.handleOrThrowException(GatewayQuoteHandler.gs:XXXSTRACERAW:-</t>
  </si>
  <si>
    <t>EMSG:-STRACE:least one vehicle. Since the number of vehicles is greater than the number of drivers, each driver must be a Primary Driver on at least one vehicle.
	at com.farmers.lob.pa.driverassignment.DriverAssignment.validateData(DriverAssignment.gs:XXXSTRACERAW:-</t>
  </si>
  <si>
    <t>EMSG:Contact Service Operations at XXXXXXXXX. The transmission of data from APEX failed.STRACE:XXXXXXXXX. The transmission of data from APEX failed.
	at com.farmers.integ.distribution.ecms.deeplaunch.servlets.QuoteNavigationServlet.doGet(QuoteNavigationServlet.gs:XXXSTRACERAW:-</t>
  </si>
  <si>
    <t>EMSG:-STRACE:XXX/XXX/XXX XXX:XXX AM. See error log for full details.
	at deployment.pc.war//com.guidewire.pc.domain.policy.period.impl.PolicyPeriodImpl.createBranchCreationFailedUserDisplayableException(PolicyPeriodImpl.java:XXXSTRACERAW:-</t>
  </si>
  <si>
    <t>EMSG:java.lang.IllegalStateException: Cannot modify a bean of type PUPVehicleOper_PUE that is in a readonly bundleSTRACE:is in a readonly bundle
	at com.farmers.integ.documentmgmt.vipdocument.multilobformgen.transformer.VIPFormGenRequestTransformer.transform(VIPFormGenRequestTransformer.gs:XXXSTRACERAW:-</t>
  </si>
  <si>
    <t>EMSG:PolicyCenter Quote is already in bound statusSTRACE:com.farmers.config.commonutil.QuoteUtil.handlePolicyPeriodStatus(QuoteUtil.gs:XXXSTRACERAW:-</t>
  </si>
  <si>
    <t>EMSG:-STRACE:XXX/XXX/XXX XXX:XXX PM. See error log for full details.
	at deployment.pc.war//com.guidewire.pc.domain.policy.period.impl.PolicyPeriodImpl.createBranchCreationFailedUserDisplayableException(PolicyPeriodImpl.java:XXXSTRACERAW:-</t>
  </si>
  <si>
    <t>EMSG:, AOR=XXXSTRACE:com.farmers.config.ho.productmodel.CoveragesValidation_Ext.validateFortifiedRoofUpgradeCovALExt(CoveragesValidation_Ext.gs:XXXSTRACERAW:-</t>
  </si>
  <si>
    <t>EMSG:gw.xml.XmlException: 'Unable to parse XML from xml string using schemas [com.farmers.integ.distribution.lms.wsc.uploadcustomerwsc.icustomerinformationmanagementSTRACE:line XXX column XXX'
	at deployment.pc.war//gw.internal.xml.ws.WsdlPortImpl.invoke(WsdlPortImpl.java:XXXSTRACERAW:-</t>
  </si>
  <si>
    <t>EMSG:The value XXX is not formatted correctly for the field "EmailAddressXXX": Enter a valid Email address. The address that was entered is not valid.STRACE:was entered is not valid.
	at deployment.pc.war//com.guidewire.pl.metadata.datatypeXXX.fieldvalidator.FieldValidatorInfo.validateFormat(FieldValidatorInfo.java:XXXSTRACERAW:-</t>
  </si>
  <si>
    <t>EMSG:error:entity.xxxUI-ValidationERRORMessagexxxSTRACE:least one the following XXX Value Exterior Wall Finishes:  'Siding - Alum. or Metal' OR 'Siding - Steel' OR 'Siding - Vinyl.' or atleast one of the following Roof Types:  'Composition - XXX Tab Shingle' or 'Composition - Architectural Shingle' or 'Composition - Impact Resist. Shingle'.
	at com.farmers.integ.framework.job.automatejob.AutomatedJob.executeJob(AutomatedJob.gs:XXXSTRACERAW:-</t>
  </si>
  <si>
    <t>EMSG:'Unable to parse XML from xml string using schemas [com.farmers.integ.batch.mvrreport.inbound.xsd.mvrlnbatch] and schema root com.farmers.integ.batch.mvrreport.inbound.xsd.mvrlnbatch.Result at line XXX column XXX'STRACE:line XXX column XXX'
	at deployment.pc.war//gw.xml.XmlElementInternalsImpl.parse(XmlElementInternalsImpl.java:XXXSTRACERAW:-</t>
  </si>
  <si>
    <t>EMSG:-STRACE:XXX/XXX/XXX XXX:XXX AM. See error log for full details.
	at com.farmers.integ.framework.job.automatejob.AutomatedJob.executeJob(AutomatedJob.gs:XXXSTRACERAW:-</t>
  </si>
  <si>
    <t>EMSG:Database bean version conflict : XXXSTRACE:at XXX/XXX/XXX XXX:XXX PM. Please cancel and retry your change.
	at deployment.pc.war//com.guidewire.pl.system.database.DatabaseChangedBeanWriter.createConcurrentDataChangeException(DatabaseChangedBeanWriter.java:XXXSTRACERAW:-</t>
  </si>
  <si>
    <t>EMSG:Database bean version conflict : XXXSTRACE:at XXX/XXX/XXX XXX:XXX AM. Please cancel and retry your change.
	at deployment.pc.war//com.guidewire.pl.system.database.DatabaseChangedBeanWriter.createConcurrentDataChangeException(DatabaseChangedBeanWriter.java:XXXSTRACERAW:-</t>
  </si>
  <si>
    <t>EMSG:error:entity.xxxUI-ValidationERRORMessagexxxSTRACE:this time. Billing updates in process.              
	at com.farmers.integ.framework.job.automatejob.AutomatedJob.executeJob(AutomatedJob.gs:XXXSTRACERAW:-</t>
  </si>
  <si>
    <t>EMSG:Cannot add worksheets to a locked branchSTRACE:deployment.pc.war//com.guidewire.pc.domain.rating.impl.WorksheetContainerImpl.addWorksheetFor(WorksheetContainerImpl.java:XXXSTRACERAW:-</t>
  </si>
  <si>
    <t>EMSG:Cannot calculate an age for a date of birth XXXXXXXXX that is after policy effective date XXXXXXXXXSTRACE:is after policy effective date XXXXXXXXX
	at gw.contact.PolicyContactRoleEnhancement.AgeAtTermStartDate(PolicyContactRoleEnhancement.gsx:XXXSTRACERAW:-</t>
  </si>
  <si>
    <t>EMSG:error:entity.xxxUI-ValidationERRORMessagexxxSTRACE:of XXX-XXX-XXXX
	at deployment.pc.war//gw.api.validation.ValidationExceptionUtil.throwDisplayableValidationExceptionIfNecessary(ValidationExceptionUtil.java:XXXSTRACERAW:-</t>
  </si>
  <si>
    <t>EMSG:gw.xml.XmlException: 'Unable to parse XML from xml string using schemas [com.farmers.integ.billing.billpresentment.wsc.billpresentmentwsc.billpresentment_vXXXSTRACE:line XXX column XXX'
	at deployment.pc.war//gw.internal.xml.ws.WsdlPortImpl.invoke(WsdlPortImpl.java:XXXSTRACERAW:-</t>
  </si>
  <si>
    <t>EMSG:Correct the License # for XXXSTRACE:error
	at gw.job.QuoteProcess.requestQuote(QuoteProcess.gs:XXXSTRACERAW:-</t>
  </si>
  <si>
    <t>EMSG:gw.xml.XmlException: 'Unable to parse XML from xml string using schemas [com.farmers.integ.documentmgmt.vipdocument.wsc.vipdocgeneration.ondemandmultilobformgenerationserviceSTRACE:line XXX column XXX'
	at deployment.pc.war//gw.internal.xml.ws.WsdlPortImpl.invoke(WsdlPortImpl.java:XXXSTRACERAW:-</t>
  </si>
  <si>
    <t>EMSG:java.lang.IllegalStateException: Cannot modify a bean of type PUPHouseholdMember_PUE that is in a readonly bundleSTRACE:is in a readonly bundle
	at com.farmers.integ.documentmgmt.vipdocument.multilobformgen.transformer.VIPFormGenRequestTransformer.transform(VIPFormGenRequestTransformer.gs:XXXSTRACERAW:-</t>
  </si>
  <si>
    <t>EMSG:There are out-of-sequence conflicts that must be resolved prior to quoting. Please visit the Change Summary step to resolve the conflicts.STRACE:must be resolved prior to quoting. Please visit the Change Summary step to resolve the conflicts.
	at gw.job.QuoteProcess$block_XXX_.invoke(QuoteProcess.gs:XXXSTRACERAW:-</t>
  </si>
  <si>
    <t>EMSG:XXX has exceeded the accident and/or violation threshold for eligibility in this program.STRACE:has exceeded the accident and/or violation threshold for eligibility in this program.
	at com.farmers.config.pa.validator.BrightlineValidator.validateQuoteBrightlineRules(BrightlineValidator.gs:XXXSTRACERAW:-</t>
  </si>
  <si>
    <t>EMSG:java.lang.IllegalStateException: Cannot modify a bean of type PolicySecNamedInsured that is in a readonly bundleSTRACE:is in a readonly bundle
	at com.farmers.integ.documentmgmt.vipdocument.multilobformgen.transformer.VIPFormGenRequestTransformer.transform(VIPFormGenRequestTransformer.gs:XXXSTRACERAW:-</t>
  </si>
  <si>
    <t>EMSG:'Unable to parse XML from xml string using schemas [com.farmers.integ.distribution.ecms.deeplaunch.xsd.fullquotetoexpress_vXXX_XXX] and schema root com.farmers.integ.distribution.ecms.deeplaunch.xsd.fullquotetoexpress_vXXX_XXX.FullQuoteToExpress at line XXX column XXX'STRACE:line XXX column XXX'
	at deployment.pc.war//gw.xml.XmlElementInternalsImpl.parse(XmlElementInternalsImpl.java:XXXSTRACERAW:-</t>
  </si>
  <si>
    <t>EMSG:-STRACE:may take XXX days to retrieve.
	at com.farmers.config.pa.mvr.validator.MVRDriverValidator.validateOnlineState(MVRDriverValidator.gs:XXXSTRACERAW:-</t>
  </si>
  <si>
    <t>EMSG:Unacceptable Risk. Unable to complete the quote. The property has a Foundation type that is not eligible for coverage.STRACE:is not eligible for coverage.
	at edge.capabilities.quote.submission.quoting.util.SubmissionUnderwritingIssuesUtil.checkSideBySideProcessExceptions(SubmissionUnderwritingIssuesUtil.gs:XXXSTRACERAW:-</t>
  </si>
  <si>
    <t>EMSG:\ i : entity.windowed.UWIssueVersionList -&gt; i.AllVersions.first().IssueKey does not define a unique value across all elements of this Collection :  Element com.guidewire._generated.entity.UWIssueVersionListImpl XXX have the value HOInvalidOccupancyTypeSTRACE:gw.lang.enhancements.CoreIterableEnhancement.partitionUniquely(CoreIterableEnhancement.gsx:XXXSTRACERAW:-</t>
  </si>
  <si>
    <t>EMSG:-STRACE:-STRACERAW:edge.validation.EdgeValidationContext.raiseExceptionIfErrorsFound(EdgeValidationContext.gs:XXX</t>
  </si>
  <si>
    <t>EMSG:-STRACE:deployment.pc.war//gw.datatype.impl.StringConstraintsHandlerBase.validateStringLength(StringConstraintsHandlerBase.java:XXXSTRACERAW:-</t>
  </si>
  <si>
    <t>EMSG:Database bean version conflict : XXXSTRACE:Wai Tam at XXX/XXX/XXX XXX:XXX PM. Please cancel and retry your change.
	at deployment.pc.war//com.guidewire.pl.system.database.DatabaseChangedBeanWriter.createConcurrentDataChangeException(DatabaseChangedBeanWriter.java:XXXSTRACERAW:-</t>
  </si>
  <si>
    <t>EMSG:LHPI Ordering Failed! - [Runtime Error  HTTP POST on resource 'https://decisioning.lexisnexisrisk.com:XXX/farmers/fmk' failed: bad gateway (XXX). ESBXXX]STRACE:java.base/jdk.internal.reflect.NativeConstructorAccessorImpl.newInstanceXXX(Native MethodSTRACERAW:-</t>
  </si>
  <si>
    <t>EMSG:LUW Policy Change Job XXX: The object you are trying to update was XXXSTRACE:XXX/XXX/XXX XXX:XXX AM. Please cancel and retry your change.
The object you are trying to update was 'Policy:pc:XXX - pc:XXX', and it was changed by System at XXX/XXX/XXX XXX:XXX AM.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</si>
  <si>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'Policy:pc:XXX - pc:XXX', and it was changed by System at XXX/XXX/XXX XXX:XXX PM. Please cancel and retry your change.
	at gw.acc.luw.LUWExceptionHelper.processUserDisplayableException(LUWExceptionHelper.gs:XXXSTRACERAW:-</t>
  </si>
  <si>
    <t>EMSG:XXX has exceeded the accident and/or violation threshold for eligibility in this program.STRACE:has exceeded the accident and/or violation threshold for eligibility in this program.
	at gw.job.QuoteProcess.requestQuote(QuoteProcess.gs:XXXSTRACERAW:-</t>
  </si>
  <si>
    <t>EMSG:-STRACE:XXX/XXX/XXX XXX:XXX PM. See error log for full details.
	at com.farmers.integ.framework.job.automatejob.AutomatedJob.executeJob(AutomatedJob.gs:XXXSTRACERAW:-</t>
  </si>
  <si>
    <t>EMSG:LUW Policy Change Job XXX: The object you are trying to update was XXXSTRACE:XXX/XXX/XXX XXX:XXX AM. Please cancel and retry your change.
The object you are trying to update was 'Policy:pc:XXX - pc:XXX', and it was changed by System at XXX/XXX/XXX XXX:XXX AM. Please cancel and retry your change.
	at com.farmers.integ.framework.job.automatejob.AutomatedJob.executeJob(AutomatedJob.gs:XXXSTRACERAW:-</t>
  </si>
  <si>
    <t>EMSG:LUW Policy Change Job XXX: The object you are trying to update was XXXSTRACE:XXX/XXX/XXX XXX:XXX PM. Please cancel and retry your change.
The object you are trying to update was 'Policy:pc:XXX - pc:XXX', and it was changed by System at XXX/XXX/XXX XXX:XXX PM. Please cancel and retry your change.
	at com.farmers.integ.framework.job.automatejob.AutomatedJob.executeJob(AutomatedJob.gs:XXXSTRACERAW:-</t>
  </si>
  <si>
    <t>EMSG:The PolicyPeriod you are trying to change is currently being quoted by another userSTRACE:this time
	at com.farmers.integ.framework.job.automatejob.AutomatedJob.executeJob(AutomatedJob.gs:XXXSTRACERAW:-</t>
  </si>
  <si>
    <t>EMSG:The value XXX is not formatted correctly for the field "EsmtdCostBDLbrMtrlSup": Exceeds the precision of XXXSTRACE:deployment.pc.war//gw.datatype.impl.DecimalConstraintsHandlerBase.checkPrecision(DecimalConstraintsHandlerBase.java:XXXSTRACERAW:-</t>
  </si>
  <si>
    <t>EMSG:gw.xml.XmlException: 'Unable to parse XML from xml string using schemas [com.farmers.integ.iwa.mdm.wsc.mdmretrievecustomersbycontractwsc.mdmcustomerinformationmanagement_vXXXSTRACE:line XXX column XXX'
	at deployment.pc.war//gw.internal.xml.ws.WsdlPortImpl.invoke(WsdlPortImpl.java:XXXSTRACERAW:-</t>
  </si>
  <si>
    <t>EMSG:, AOR=XXXSTRACE:com.farmers.config.ho.dwelling.propertyvaluation.process.HOPropertyValuationProcess.persistConstructionDetails(HOPropertyValuationProcess.gs:XXXSTRACERAW:-</t>
  </si>
  <si>
    <t>EMSG:, AOR=XXXSTRACE:com.farmers.config.pup.validator.PUPLiabilityValidationHelper$block_XXX_.invoke(PUPLiabilityValidationHelper.gs:XXXSTRACERAW:-</t>
  </si>
  <si>
    <t>EMSG:Cannot create an answer when the owning object is marked as lockedSTRACE:deployment.pc.war//com.guidewire.pc.domain.question.impl.AnswerContainerImpl.createAnswer(AnswerContainerImpl.java:XXXSTRACERAW:-</t>
  </si>
  <si>
    <t>EMSG:LUW Policy Change Job XXX: The object you are trying to update was XXXSTRACE:XXX/XXX/XXX XXX:XXX PM. Please cancel and retry your change.
	at gw.acc.luw.LUWExceptionHelper.processUserDisplayableException(LUWExceptionHelper.gs:XXXSTRACERAW:-</t>
  </si>
  <si>
    <t>EMSG:java.lang.IllegalStateException: Cannot modify a bean of type PolicyPriNamedInsured that is in a readonly bundleSTRACE:is in a readonly bundle
	at com.farmers.integ.documentmgmt.vipdocument.multilobformgen.transformer.VIPFormGenRequestTransformer.transform(VIPFormGenRequestTransformer.gs:XXXSTRACERAW:-</t>
  </si>
  <si>
    <t>EMSG:, AOR=XXXSTRACE:gw.bizrules.provisioning.contexts.PolicyContextDefinitionLibrary$block_XXX_.invoke(PolicyContextDefinitionLibrary.gs:XXXSTRACERAW:-</t>
  </si>
  <si>
    <t>EMSG:Cannot modify a bean of type PolicyPeriod that is in a readonly bundleSTRACE:is in a readonly bundle
	at deployment.pc.war//com.guidewire.pl.system.entity.proxy.BeanProxy.checkIsInWriteableBundle(BeanProxy.java:XXXSTRACERAW:-</t>
  </si>
  <si>
    <t>EMSG:, AOR=XXXSTRACE:edge.validation.EdgeValidationContext.raiseExceptionIfProblemsFound(EdgeValidationContext.gs:XXXSTRACERAW:-</t>
  </si>
  <si>
    <t>EMSG:, AOR=XXXSTRACE:java.base/java.lang.String.contains(String.java:XXXSTRACERAW:-</t>
  </si>
  <si>
    <t>EMSG:ConcurrentDataChangeException XXXSTRACE:edge.capabilities.policychange.GatewayPolicyChangeHandler$block_XXX_.invoke(GatewayPolicyChangeHandler.gs:XXXSTRACERAW:-</t>
  </si>
  <si>
    <t>EMSG:Exception during Rating ExecuteIterationsMultiThreaded : java.util.concurrent.ExecutionException: java.lang.IllegalStateException: Attempt to access bean of type "HomeownersLineCov_HOE" id=XXX with a null bundleSTRACE:com.farmers.rating.common.flow.iteration.impl.IterationsExecutorImpl$block_XXX_.invoke(IterationsExecutorImpl.gs:XXXSTRACERAW:-</t>
  </si>
  <si>
    <t>EMSG:LUW Policy Change Job XXX: The object you are trying to update was XXXSTRACE:XXX/XXX/XXX XXX:XXX AM. Please cancel and retry your change.
LUW Policy Change Job XXX: The object you are trying to update was 'Policy:pc:XXX - pc:XXX', and it was changed by System at XXX/XXX/XXX XXX:XXX AM. Please cancel and retry your change.
The object you are trying to update was 'Policy:pc:XXX - pc:XXX', and it was changed by System at XXX/XXX/XXX XXX:XXX AM. Please cancel and retry your change.
	at gw.acc.luw.LUWExceptionHelper.processUserDisplayableException(LUWExceptionHelper.gs:XXXSTRACERAW:-</t>
  </si>
  <si>
    <t>EMSG:gw.xml.XmlException: 'Unable to parse XML from xml string using schemas [com.farmers.integ.erti.riskanalysis.wsc.autoriskanalysiswsc.autoriskanalysis_vXXXSTRACE:line XXX column XXX'
	at deployment.pc.war//gw.internal.xml.ws.WsdlPortImpl.invoke(WsdlPortImpl.java:XXXSTRACERAW:-</t>
  </si>
  <si>
    <t>EMSG:MVR Ordering Failed! - [gw.xml.XmlException: 'Unable to parse XML from xml string using schemas [com.farmers.integ.erti.riskanalysis.wsc.autoriskanalysiswsc.autoriskanalysis_vXXXSTRACE:line XXX column XXX']
	at com.farmers.config.common.mvr.MVRProcess.orderMVR(MVRProcess.gs:XXXSTRACERAW:-</t>
  </si>
  <si>
    <t>EMSG:-STRACE:-STRACERAW:anonymous::XXXXXX (line: XXX, column: XXX</t>
  </si>
  <si>
    <t>EMSG:-STRACE:[Source: (StringSTRACERAW:-</t>
  </si>
  <si>
    <t>EMSG:Effective ranges overlap for DriverSignal_Ext with BranchID XXX and with FixedID XXXSTRACE:deployment.pc.war//com.guidewire.pl.system.entity.proxy.EffDatedBeanProxy.checkForOverlaps(EffDatedBeanProxy.java:XXXSTRACERAW:-</t>
  </si>
  <si>
    <t>EMSG:java.lang.RuntimeException: java.lang.InterruptedExceptionSTRACE:deployment.pc.war//gw.internal.xml.ws.WsdlPortImpl.invoke(WsdlPortImpl.java:XXXSTRACERAW:-</t>
  </si>
  <si>
    <t>EMSG:-STRACE:-STRACERAW:deployment.pc.war//com.guidewire.pc.domain.product.impl.ProductSelectionImpl.createSubmission(ProductSelectionImpl.java:XXX</t>
  </si>
  <si>
    <t>EMSG:Change the Purchase Date. Year purchased cannot be more than XXX years prior to model year for Vehicle XXXSTRACE:edge.capabilities.quote.submission.quoting.util.SubmissionUnderwritingIssuesUtil.checkVerifyRateExceptions(SubmissionUnderwritingIssuesUtil.gs:XXXSTRACERAW:-</t>
  </si>
  <si>
    <t>EMSG:-STRACE:-STRACERAW:com.guidewire.pl.system.entity.proxy.EffectiveDateFinder.getFromBundle(EffectiveDateFinder.java:XXX</t>
  </si>
  <si>
    <t>EMSG:-STRACE:com.farmers.edge.capabilities.policy.lob.personalauto.eligibility.plugins.PAEligibilityServicePlugin.checkCustomerPolicyChangeEligibility(PAEligibilityServicePlugin.gs:XXXSTRACERAW:-</t>
  </si>
  <si>
    <t>EMSG:Expiration date cannot come before effective dateSTRACE:deployment.pc.war//com.guidewire.pl.system.entity.proxy.EffDatedBeanProxy.setEffectiveWindow(EffDatedBeanProxy.java:XXXSTRACERAW:-</t>
  </si>
  <si>
    <t>EMSG:-STRACE:-STRACERAW:com.guidewire.pl.system.bundle.EffDatedMap.removeElement(EffDatedMap.java:XXX</t>
  </si>
  <si>
    <t>EMSG:-STRACE:-STRACERAW:com.farmers.config.common.mvr.MVRReportParallelHelper.processMVRResponse(MVRReportParallelHelper.gs:XXX</t>
  </si>
  <si>
    <t>EMSG:-STRACE:com.farmers.integ.documentmgmt.ondemand.autoformgeneration.transformer.AutoOnDemandFormGenRequestTransformer.transform(AutoOnDemandFormGenRequestTransformer.gs:XXXSTRACERAW:-</t>
  </si>
  <si>
    <t>EMSG:-STRACE:deployment.pc.war//gw.api.util.LocationUtil.addRequestScopedMessage(LocationUtil.java:XXXSTRACERAW:-</t>
  </si>
  <si>
    <t>EMSG:Failed to execute a querySTRACE:com.farmers.integ.framework.job.automatejob.AutomatedJob.executeJob(AutomatedJob.gs:XXXSTRACERAW:-</t>
  </si>
  <si>
    <t>EMSG:, AOR=XXXSTRACE:deployment.pc.war//com.guidewire.pl.system.database.DatabaseChangedBeanWriter.getExpectedBeanVersions(DatabaseChangedBeanWriter.java:XXXSTRACERAW:-</t>
  </si>
  <si>
    <t>EMSG:, AOR=XXXSTRACE:deployment.pc.war//com.guidewire.pl.system.entity.proxy.EffectiveDateFinder.getFromBundle(EffectiveDateFinder.java:XXXSTRACERAW:-</t>
  </si>
  <si>
    <t>EMSG:-STRACE:-STRACERAW:gw.contact.PolicyContactRoleEnhancement.AgeAtEffDate(PolicyContactRoleEnhancement.gsx:XXX</t>
  </si>
  <si>
    <t>EMSG:-STRACE:com.farmers.integ.security.community.ace.agent.profile.processor.updator.BristolWestCodeUpdateProcessor.setBWCodesToUser(BristolWestCodeUpdateProcessor.gs:XXXSTRACERAW:-</t>
  </si>
  <si>
    <t>EMSG:Personal Auto Line: UM/UIM - Property Damage is required and must be added.STRACE:gw.api.extension.PCExtensionInterfacesMapper$block_XXX_.invoke(PCExtensionInterfacesMapper.gs:XXXSTRACERAW:-</t>
  </si>
  <si>
    <t>EMSG:Personal Auto Line: Uninsured Motorist - Bodily Injury is required and must be added. XXXSTRACE:gw.api.extension.PCExtensionInterfacesMapper$block_XXX_.invoke(PCExtensionInterfacesMapper.gs:XXXSTRACERAW:-</t>
  </si>
  <si>
    <t>EMSG:'Unable to parse XML from xml string using schemas [com.farmers.integ.documentmgmt.ondemand.wsc.homeondemand.homeondemandformgenerationschema] and schema root com.farmers.integ.documentmgmt.ondemand.wsc.homeondemand.homeondemandformgenerationschema.GetHomeDocumentResponse at line XXX column XXX'STRACE:line XXX column XXX'
	at com.farmers.integ.framework.service.rest.RestServiceAdapter.invokeService(RestServiceAdapter.gs:XXXSTRACERAW:-</t>
  </si>
  <si>
    <t>EMSG:'Unable to parse XML from xml string using schemas [com.farmers.integ.documentmgmt.ondemand.wsc.homeondemand.homeondemandformgenerationschema] and schema root com.farmers.integ.documentmgmt.ondemand.wsc.homeondemand.homeondemandformgenerationschema.GetHomeDocumentResponse at line XXX column XXX'STRACE:line XXX column XXX'
	at deployment.pc.war//gw.xml.XmlElementInternalsImpl.parse(XmlElementInternalsImpl.java:XXXSTRACERAW:-</t>
  </si>
  <si>
    <t>EMSG:Enroll the Primary Named Insured in the Signal program. Primary Named Insured enrollment is required to enroll other drivers.;STRACE:edge.capabilities.quote.submission.quoting.util.SubmissionUnderwritingIssuesUtil.checkVerifyRateExceptions(SubmissionUnderwritingIssuesUtil.gs:XXXSTRACERAW:-</t>
  </si>
  <si>
    <t>EMSG:Unexpected character ('ï¿½' (code XXX / XXXxfffd)): expected a valid value (JSON StringSTRACE:[Source: (StringSTRACERAW:-</t>
  </si>
  <si>
    <t>EMSG:, AOR=XXXSTRACE:com.farmers.contingencies.batch.api.ContingencyPositiveActionUpdateJob.updateDriverDistantStudentValidationCode(ContingencyPositiveActionUpdateJob.gs:XXXSTRACERAW:-</t>
  </si>
  <si>
    <t>EMSG:The value XXX is not formatted correctly for the field "FFQQuoteNumber_Ext": Exceeds the maximum length of XXX characters (XXX)STRACE:deployment.pc.war//gw.datatype.impl.StringConstraintsHandlerBase.validateStringLength(StringConstraintsHandlerBase.java:XXXSTRACERAW:-</t>
  </si>
  <si>
    <t>EMSG:apis-bheisg.farmersinsurance.com:XXX failed to respondSTRACE:deployment.pc.war//org.apache.http.impl.conn.DefaultHttpResponseParser.parseHead(DefaultHttpResponseParser.java:XXXSTRACERAW:-</t>
  </si>
  <si>
    <t>EMSG:, AOR=XXXSTRACE:com.farmers.config.ho.enhancement.PolicyPeriodEnhancement.getCoverageSeparateStructureFPHOAmount(PolicyPeriodEnhancement.gsx:XXXSTRACERAW:-</t>
  </si>
  <si>
    <t>EMSG:, AOR=XXXSTRACE:deployment.pc.war//gw.internal.xml.gx.GxRuntime.createElement(GxRuntime.java:XXXSTRACERAW:-</t>
  </si>
  <si>
    <t>EMSG:-STRACE:-STRACERAW:com.guidewire.pl.system.integration.messaging.dispatch.MessageWriter.checkLease(MessageWriter.java:XXX</t>
  </si>
  <si>
    <t>EMSG:Cannot traverse in window modeSTRACE:deployment.pc.war//com.guidewire.pl.system.entity.proxy.EffDatedBranchProxy.getTraversalDate(EffDatedBranchProxy.java:XXXSTRACERAW:-</t>
  </si>
  <si>
    <t>EMSG:java.lang.RuntimeException: java.util.concurrent.TimeoutExceptionSTRACE:com.farmers.config.pup.prefill.PUPPrefillPreProcesser.getPolicySummaryFromMDM(PUPPrefillPreProcesser.gs:XXXSTRACERAW:-</t>
  </si>
  <si>
    <t>EMSG:Agent number does not match policy state. Please choose the appropriate agent number matching the state.STRACE:edge.capabilities.quote.submission.GatewayQuoteHandler.createOrUpdateQuoteData(GatewayQuoteHandler.gs:XXXSTRACERAW:-</t>
  </si>
  <si>
    <t>EMSG:One or more null constraint violations detected for HOIncidentRecord_ExtSTRACE:deployment.pc.war//com.guidewire.pl.system.database.entitywriter.DatabaseEntityWriterImpl.checkForNullConstraintViolation(DatabaseEntityWriterImpl.java:XXXSTRACERAW:-</t>
  </si>
  <si>
    <t>EMSG:-STRACE:-STRACERAW:the end of this message with the applicant and, if it is the accurate address, please select the Click to Update Address/Click to Update Risk Address link below to continue (If no address is found, or the vendor-provided address is out of state, a Post Office box, or includes an invalid ZIP Code, a link will not be available</t>
  </si>
  <si>
    <t>EMSG:Exception occurs while transforming response for SearchCustomerInfo STRACE:com.farmers.integ.householding.mdm.searchcustomer.transformer.SearchCustomerResponseTransformer.transform(SearchCustomerResponseTransformer.gs:XXXSTRACERAW:-</t>
  </si>
  <si>
    <t>EMSG:-STRACE:-STRACERAW:com.farmers.utilities.datachange.DataChangeHandler.invokeDataChange(DataChangeHandler.gs:XXX</t>
  </si>
  <si>
    <t>EMSG:Exception during Rating ExecuteIterationsMultiThreaded : gw.api.rating.RatingException: There are multiple prior insurance reports on the policy period cannot resolve which one to useSTRACE:com.farmers.rating.common.flow.iteration.impl.IterationsExecutorImpl$block_XXX_.invoke(IterationsExecutorImpl.gs:XXXSTRACERAW:-</t>
  </si>
  <si>
    <t>EMSG:, AOR=XXXSTRACE:deployment.pc.war//com.guidewire.pl.system.bundle.BundleChanges.isElementOf(BundleChanges.java:XXXSTRACERAW:-</t>
  </si>
  <si>
    <t>EMSG:-STRACE:-STRACERAW:com.guidewire.pc.domain.job.impl.JobImpl.beforeInsert(JobImpl.java:XXX</t>
  </si>
  <si>
    <t>EMSG:-STRACE:-STRACERAW:com.guidewire.pl.system.transaction.SessionImpl.commit(SessionImpl.java:XXX</t>
  </si>
  <si>
    <t>EMSG:-STRACE:-STRACERAW:com.guidewire.pl.web.navigation.autosave.AutoSaveCacheImpl.prepareToRestore(AutoSaveCacheImpl.java:XXX</t>
  </si>
  <si>
    <t>EMSG:-STRACE:-STRACERAW:main (line: XXX, column: XXX</t>
  </si>
  <si>
    <t>EMSG:-STRACE:-STRACERAW:pcfc.expressions.DatabasePolicySearchPanelSetExpressions$PolicySearchDVExpressionsImpl.valueRange_XXX(DatabasePolicySearchPanelSetExpressions.gs:XXX</t>
  </si>
  <si>
    <t>EMSG:-STRACE:com.farmers.integ.downstream.policytransaction.PolicyTransaction.updateTransactionOOS(PolicyTransaction.gs:XXXSTRACERAW:-</t>
  </si>
  <si>
    <t>EMSG:-STRACE:com.farmers.integ.downstream.util.DownstreamHelper.handleLuwStatusIssue(DownstreamHelper.gs:XXXSTRACERAW:-</t>
  </si>
  <si>
    <t>EMSG:No Policy found for XXXSTRACE:edge.capabilities.helpers.PolicyUtil.retrieveLatestBoundPeriodByEffectiveDateAndPolicyNumber(PolicyUtil.gs:XXXSTRACERAW:-</t>
  </si>
  <si>
    <t>EMSG:, AOR=XXXSTRACE:[Source: (StringSTRACERAW:-</t>
  </si>
  <si>
    <t>EMSG:-STRACE:-STRACERAW:gw.rating.flow.domain.CalcRoutine.addErrorToContextOrThrow(CalcRoutine.gs:XXX</t>
  </si>
  <si>
    <t>EMSG:, AOR=XXXSTRACE:com.farmers.config.pa.adpf.PIADPFReportHelper.orderReportAndFlood(PIADPFReportHelper.gs:XXXSTRACERAW:-</t>
  </si>
  <si>
    <t>EMSG:-STRACE:edge.capabilities.quote.submission.quoting.util.SubmissionUnderwritingIssuesUtil.checkSideBySideProcessExceptions(SubmissionUnderwritingIssuesUtil.gs:XXXSTRACERAW:-</t>
  </si>
  <si>
    <t>EMSG:, AOR=XXXSTRACE:com.farmers.config.ceaforemost.HOCEAForemostServiceHelper.syncSNI(HOCEAForemostServiceHelper.gs:XXXSTRACERAW:-</t>
  </si>
  <si>
    <t>EMSG:-STRACE:-STRACERAW:deployment.pc.war//com.guidewire.pc.domain.account.impl.AccountContactImpl.getContactType(AccountContactImpl.java:XXX</t>
  </si>
  <si>
    <t>EMSG:-STRACE:-STRACERAW:deployment.pc.war//com.guidewire.pl.system.entity.proxy.EntityRow.&lt;init&gt;(EntityRow.java:XXX</t>
  </si>
  <si>
    <t>EMSG:The primary Roof Type is ineligible for coverage.STRACE:edge.capabilities.quote.submission.quoting.util.SubmissionUnderwritingIssuesUtil.checkSideBySideProcessExceptions(SubmissionUnderwritingIssuesUtil.gs:XXXSTRACERAW:-</t>
  </si>
  <si>
    <t>EMSG:Policy is ineligible for Farmers Auto.STRACE:edge.capabilities.quote.submission.quoting.util.SubmissionUnderwritingIssuesUtil.checkSideBySideProcessExceptions(SubmissionUnderwritingIssuesUtil.gs:XXXSTRACERAW:-</t>
  </si>
  <si>
    <t>EMSG:Expiration date cannot be before effective dateSTRACE:deployment.pc.war//com.guidewire.pl.system.entity.proxy.EffDatedBranchProxy.setPeriodWindow(EffDatedBranchProxy.java:XXXSTRACERAW:-</t>
  </si>
  <si>
    <t>EMSG:The umbrella policy is ineligible for coverage because the number of permissive losses on the underlying auto policy has been exceeded.STRACE:gw.pcf.job.QuoteUIHelper.validateFlexLiabLimits(QuoteUIHelper.gs:XXXSTRACERAW:-</t>
  </si>
  <si>
    <t>EMSG:Try again later. Equifax credit reporting is unavailable.STRACE:com.farmers.config.common.credit.pa.PACreditScoreProcess.createEnterpriseCreditReportData(PACreditScoreProcess.gs:XXXSTRACERAW:-</t>
  </si>
  <si>
    <t>EMSG:, AOR=XXXSTRACE:gw.lob.pa.PALineDriversValidator.validateDriverDPSScore(PALineDriversValidator.gs:XXXSTRACERAW:-</t>
  </si>
  <si>
    <t>EMSG:-STRACE:gw.lob.pa.PALineDriversValidator.validateDriverDPSScore(PALineDriversValidator.gs:XXXSTRACERAW:-</t>
  </si>
  <si>
    <t>EMSG:Policy details are not found for policyNumber : XXX with the effective date : XXXXXXXXXSTRACE:com.farmers.edge.capabilities.conversion.ProductRewriteHandler.checkProductRewriteEligibility(ProductRewriteHandler.gs:XXXSTRACERAW:-</t>
  </si>
  <si>
    <t>EMSG:, AOR=XXXSTRACE:com.farmers.rating.ho.info.impl.HOLineInfoDto.mapFromEntity(HOLineInfoDto.gs:XXXSTRACERAW:-</t>
  </si>
  <si>
    <t>EMSG:-STRACE:-STRACERAW:com.farmers.rating.ho.info.impl.HOLineInfoDto.mapFromEntity(HOLineInfoDto.gs:XXX</t>
  </si>
  <si>
    <t>EMSG:, AOR=XXXSTRACE:gw.lob.pa.PAPolicyLineMethods.postRateProcessing_Ext(PAPolicyLineMethods.gs:XXXSTRACERAW:-</t>
  </si>
  <si>
    <t>EMSG:-STRACE:gw.lob.pa.PAPolicyLineMethods.postRateProcessing_Ext(PAPolicyLineMethods.gs:XXXSTRACERAW:-</t>
  </si>
  <si>
    <t>EMSG:Try again later. Credit ordering is unavailable at this time.STRACE:this time.
	at com.farmers.config.common.credit.pa.PACreditScoreProcess.createEnterpriseCreditReportData(PACreditScoreProcess.gs:XXXSTRACERAW:-</t>
  </si>
  <si>
    <t>EMSG:Drivers who do not qualify for the Good Driver Discount must have a clean driving record and be accompanied on the policy by a Good Driver to be eligible for a policy with Farmers.STRACE:edge.capabilities.quote.submission.quoting.util.SubmissionUnderwritingIssuesUtil.checkSideBySideProcessExceptions(SubmissionUnderwritingIssuesUtil.gs:XXXSTRACERAW:-</t>
  </si>
  <si>
    <t>EMSG:Cannot create Mine Subsidence because it already exists.STRACE:deployment.pc.war//com.guidewire.pc.domain.coverage.impl.CoverableImpl.createCoverage(CoverableImpl.java:XXXSTRACERAW:-</t>
  </si>
  <si>
    <t>EMSG:Change Replacement Year. Replacement Year cannot be prior to year built or more than one year from now.STRACE:edge.capabilities.quote.submission.quoting.util.SubmissionUnderwritingIssuesUtil.checkSideBySideProcessExceptions(SubmissionUnderwritingIssuesUtil.gs:XXXSTRACERAW:-</t>
  </si>
  <si>
    <t>EMSG:The umbrella policy is ineligible for coverage because the number of permissive losses on the underlying auto policy has been exceeded.STRACE:gw.job.QuoteProcess.requestQuote(QuoteProcess.gs:XXXSTRACERAW:-</t>
  </si>
  <si>
    <t>EMSG:Exclude the Driver XXXSTRACE:edge.capabilities.quote.submission.quoting.util.SubmissionUnderwritingIssuesUtil.checkSideBySideProcessExceptions(SubmissionUnderwritingIssuesUtil.gs:XXXSTRACERAW:-</t>
  </si>
  <si>
    <t>EMSG:Attempt to remove required coverage for pattern Permissive User Limit of Liability  Pattern nullSTRACE:edge.capabilities.policycommon.coverage.util.CoverageUtil.updateFrom XXXSTRACERAW:-</t>
  </si>
  <si>
    <t>EMSG:Verify the customer's information. A customer cannot be listed more than once on the same policy.STRACE:edge.capabilities.quote.submission.lob.personalauto.coverables.DefaultPaCoverablePlugin.validateDrivers(DefaultPaCoverablePlugin.gs:XXXSTRACERAW:-</t>
  </si>
  <si>
    <t>EMSG:[XXX] Cannot load a temporary id from the backing entity source: Submission:XXXSTRACE:deployment.pc.war//com.guidewire.pl.system.bundle.EntityBundleImpl.loadBean(EntityBundleImpl.java:XXXSTRACERAW:-</t>
  </si>
  <si>
    <t>EMSG:-STRACE:-STRACERAW:gwservices.pc.dm.api.DMAccountAPI$block_XXX_.invoke(DMAccountAPI.gs:XXX</t>
  </si>
  <si>
    <t>EMSG:Try again later. Equifax credit reporting is unavailable.STRACE:com.farmers.config.common.credit.ho.HOCreditScoreProcess.createEnterpriseCreditReportData(HOCreditScoreProcess.gs:XXXSTRACERAW:-</t>
  </si>
  <si>
    <t>EMSG:Policy cannot be bound due to pending pre-bind contingencies.STRACE:edge.capabilities.policychange.GatewayPolicyChangeHandler.policyBind(GatewayPolicyChangeHandler.gs:XXXSTRACERAW:-</t>
  </si>
  <si>
    <t>EMSG:-STRACE:-STRACERAW:com.guidewire.pl.system.entity.proxy.EffDatedBranchProxy.setPeriodWindow(EffDatedBranchProxy.java:XXX</t>
  </si>
  <si>
    <t>EMSG:-STRACE:-STRACERAW:gwservices.pc.dm.gxmig.base.policy.PolicyPeriodPopulator.finish(PolicyPeriodPopulator.gs:XXX</t>
  </si>
  <si>
    <t>EMSG:Unacceptable Risk. Unable to complete the quote. The property is isolated (not visible from the main road or neighbors).STRACE:edge.capabilities.quote.submission.quoting.util.SubmissionUnderwritingIssuesUtil.checkSideBySideProcessExceptions(SubmissionUnderwritingIssuesUtil.gs:XXXSTRACERAW:-</t>
  </si>
  <si>
    <t>EMSG:, AOR=XXXSTRACE:deployment.pc.war//com.guidewire.pl.system.cacheXXX.CacheChange.&lt;init&gt;(CacheChange.java:XXXSTRACERAW:-</t>
  </si>
  <si>
    <t>EMSG:, AOR=XXXSTRACE:gw.job.QuoteProcess.requestQuote(QuoteProcess.gs:XXXSTRACERAW:-</t>
  </si>
  <si>
    <t>EMSG:-STRACE:gw.bizrules.provisioning.contexts.PolicyContextDefinitionLibrary$block_XXX_.invoke(PolicyContextDefinitionLibrary.gs:XXXSTRACERAW:-</t>
  </si>
  <si>
    <t>EMSG:Can't remove a bean while generating messagesSTRACE:deployment.pc.war//com.guidewire.pl.system.bundle.EntityBundleImpl.delete(EntityBundleImpl.java:XXXSTRACERAW:-</t>
  </si>
  <si>
    <t>EMSG:No driver points found for incident MINSTRACE:com.farmers.chargeability.pa.driverpoints.PADriverPointsCalculatorVXXX$block_XXX_$block_XXX_.invoke(PADriverPointsCalculatorVXXX.gs:XXXSTRACERAW:-</t>
  </si>
  <si>
    <t>EMSG:, AOR=XXXSTRACE:gw.bizrules.provisioning.contexts.PolicyContextDefinitionLibrary.activePolicyExists(PolicyContextDefinitionLibrary.gs:XXXSTRACERAW:-</t>
  </si>
  <si>
    <t>EMSG:-STRACE:gw.bizrules.provisioning.contexts.PolicyContextDefinitionLibrary.activePolicyExists(PolicyContextDefinitionLibrary.gs:XXXSTRACERAW:-</t>
  </si>
  <si>
    <t>EMSG:Can't replace a row with changesSTRACE:deployment.pc.war//com.guidewire.pl.system.entity.proxy.BeanProxy.refreshDataObject(BeanProxy.java:XXXSTRACERAW:-</t>
  </si>
  <si>
    <t>EMSG:ERC endorsement ineligible on dwellings with PPC XXX.STRACE:edge.capabilities.quote.submission.quoting.util.SubmissionUnderwritingIssuesUtil.checkSideBySideProcessExceptions(SubmissionUnderwritingIssuesUtil.gs:XXXSTRACERAW:-</t>
  </si>
  <si>
    <t>EMSG:LHPI Ordering Failed due to TimeOut! - [java.lang.RuntimeException: javax.net.ssl.SSLException: Connection reset]STRACE:com.farmers.config.ho.lhpi.AutoReportOrderProcess.invokeService(AutoReportOrderProcess.gs:XXXSTRACERAW:-</t>
  </si>
  <si>
    <t>EMSG:[XXX] Cannot load a temporary id from the backing entity source: PolicyPeriod:XXXSTRACE:deployment.pc.war//com.guidewire.pl.system.bundle.EntityBundleImpl.loadBean(EntityBundleImpl.java:XXXSTRACERAW:-</t>
  </si>
  <si>
    <t>EMSG:[XXX] Cannot load a temporary id from the backing entity source: AccountLocation:XXXSTRACE:deployment.pc.war//com.guidewire.pl.system.bundle.EntityBundleImpl.loadBean(EntityBundleImpl.java:XXXSTRACERAW:-</t>
  </si>
  <si>
    <t>EMSG:-STRACE:-STRACERAW:gw.lob.pa.PAPolicyLineMethods.handleGoodDriverExceptionForCompRater(PAPolicyLineMethods.gs:XXX</t>
  </si>
  <si>
    <t>EMSG:A preferred email address is already associated with this contact. To ensure continuity across integrated systemsSTRACE:com.farmers.config.common.processor.possiblenowrequest.PossibleNowUIHelper$block_XXX_.invoke(PossibleNowUIHelper.gs:XXXSTRACERAW:-</t>
  </si>
  <si>
    <t>EMSG:The value XXX is not formatted correctly for the field "VisaNumber_Ext": Correct "Visa #". An invalid format has been entered.  Visa # must be XXX characters where first character is a letter followed by numbers.  Ex. AXXXSTRACE:has been entered.  Visa # must be XXX characters where first character is a letter followed by numbers.  Ex. AXXX
	at deployment.pc.war//com.guidewire.pl.metadata.datatypeXXX.fieldvalidator.FieldValidatorInfo.validateFormat(FieldValidatorInfo.java:XXXSTRACERAW:-</t>
  </si>
  <si>
    <t>EMSG:This risk is not eligible for the new auto product due to excessive accidents and/or violations.STRACE:gw.job.QuoteProcess.requestQuote(QuoteProcess.gs:XXXSTRACERAW:-</t>
  </si>
  <si>
    <t>EMSG:-STRACE:com.farmers.edge.capabilities.policyjob.lob.personalumbrella.coverables.DefaultPuCoverablePlugin.updateHHMemberDetails(DefaultPuCoverablePlugin.gs:XXXSTRACERAW:-</t>
  </si>
  <si>
    <t>EMSG:Provide date of current residence on the Risk Analysis - Insurance Score tab. This is required to proceed.STRACE:edge.capabilities.quote.submission.quoting.util.SubmissionUnderwritingIssuesUtil.checkSideBySideProcessExceptions(SubmissionUnderwritingIssuesUtil.gs:XXXSTRACERAW:-</t>
  </si>
  <si>
    <t>EMSG:-STRACE:-STRACERAW:java.lang.NumberFormatException.forInputString(NumberFormatException.java:XXX</t>
  </si>
  <si>
    <t>EMSG:For input string: "XXX_XXX_XXX"STRACE:java.base/java.lang.NumberFormatException.forInputString(NumberFormatException.java:XXXSTRACERAW:-</t>
  </si>
  <si>
    <t>EMSG:You do not have the permission required to perform this action: User doesn't have permission: Permission to edit an existing user-group mappingSTRACE:deployment.pc.war//com.guidewire.pl.domain.community.impl.UserImpl.assertPermission(UserImpl.java:XXXSTRACERAW:-</t>
  </si>
  <si>
    <t>EMSG:, AOR=XXXSTRACE:deployment.pc.war//com.guidewire.pl.system.bundle.BundleChanges$ArrayChanges.&lt;init&gt;(BundleChanges.java:XXXSTRACERAW:-</t>
  </si>
  <si>
    <t>EMSG:-STRACE:java.base/java.util.Date.getMillisOf(Date.java:XXXSTRACERAW:-</t>
  </si>
  <si>
    <t>EMSG:One or more null constraint violations detected for SubmissionSTRACE:deployment.pc.war//com.guidewire.pl.system.database.entitywriter.DatabaseEntityWriterImpl.checkForNullConstraintViolation(DatabaseEntityWriterImpl.java:XXXSTRACERAW:-</t>
  </si>
  <si>
    <t>EMSG:Remove FORTIFIED Roof Upgrade Coverage. FORTIFIED Roof Upgrade coverage is not allowed in Mobile and Baldwin counties.STRACE:edge.capabilities.quote.submission.quoting.util.SubmissionUnderwritingIssuesUtil.checkSideBySideProcessExceptions(SubmissionUnderwritingIssuesUtil.gs:XXXSTRACERAW:-</t>
  </si>
  <si>
    <t>EMSG:Verify the customer's information. A customer cannot be listed more than once on the same policy.STRACE:edge.capabilities.policycommon.accountcontact.AccountContactUtil.allUniquePersonsFromAccount(AccountContactUtil.gs:XXXSTRACERAW:-</t>
  </si>
  <si>
    <t>EMSG:, AOR=XXXSTRACE:com.farmers.lob.pa.driverassignment.DriverAssignmentPolicyDriverCopier.copy(DriverAssignmentPolicyDriverCopier.gs:XXXSTRACERAW:-</t>
  </si>
  <si>
    <t>EMSG:-STRACE:-STRACERAW:com.farmers.integ.erti.roofdetailsupdate.AbstractRoofDetailsFinder.retrieveRoofData(AbstractRoofDetailsFinder.gs:XXX</t>
  </si>
  <si>
    <t>EMSG:-STRACE:-STRACERAW:com.farmers.integ.inspectionmodel.helper.InspectionModelHelper.isDesirabilityAndSegmentationEnabled(InspectionModelHelper.gs:XXX</t>
  </si>
  <si>
    <t>EMSG:-STRACE:-STRACERAW:org.jboss.as.naming@XXX.XXX.XXX.GA-redhatXXX//org.jboss.as.naming.ServiceBasedNamingStore.lookup(ServiceBasedNamingStore.java:XXX</t>
  </si>
  <si>
    <t>EMSG:-STRACE:com.farmers.lob.pa.driverassignment.DriverAssignmentPolicyDriverCopier.copy(DriverAssignmentPolicyDriverCopier.gs:XXXSTRACERAW:-</t>
  </si>
  <si>
    <t>EMSG:Attempt to access bean of type "HOLocation_HOE" id=XXX with a null bundleSTRACE:deployment.pc.war//com.guidewire.pl.system.entity.proxy.BeanProxy.checkIsInBundle(BeanProxy.java:XXXSTRACERAW:-</t>
  </si>
  <si>
    <t>EMSG:Attempt to access bean of type "PolicyAddlInterest" id=XXX with a null bundleSTRACE:deployment.pc.war//com.guidewire.pl.system.entity.proxy.BeanProxy.checkIsInBundle(BeanProxy.java:XXXSTRACERAW:-</t>
  </si>
  <si>
    <t>EMSG:LHPI Ordering Failed due to TimeOut! - [java.lang.RuntimeException: javax.net.ssl.SSLException: Connection reset]STRACE:java.base/jdk.internal.reflect.NativeConstructorAccessorImpl.newInstanceXXX(Native MethodSTRACERAW:-</t>
  </si>
  <si>
    <t>EMSG:Verify Umbrella Policies for Named Insured. Named Insured or spouse already has an active Personal Lines Umbrella policy XXX with Farmers Insurance Exchange or one of its affiliates.STRACE:com.farmers.config.pup.prefill.PUPPrefillPreProcesser.getPolicySummaryFromMDM(PUPPrefillPreProcesser.gs:XXXSTRACERAW:-</t>
  </si>
  <si>
    <t>EMSG:, AOR=XXXSTRACE:gw.acc.luw.rules.LUWCEADetailsSyncProcessor.getTerritoryValue(LUWCEADetailsSyncProcessor.gs:XXXSTRACERAW:-</t>
  </si>
  <si>
    <t>EMSG:, AOR=XXXSTRACE:gw.acc.luw.rules.LUWCEADetailsSyncProcessor.populateRiskAddress(LUWCEADetailsSyncProcessor.gs:XXXSTRACERAW:-</t>
  </si>
  <si>
    <t>EMSG:, AOR=XXXSTRACE:gw.lob.pa.PAPolicyLineMethods.handleGoodDriverExceptionForCompRater(PAPolicyLineMethods.gs:XXXSTRACERAW:-</t>
  </si>
  <si>
    <t>EMSG:-STRACE:-STRACERAW:gwservices.pc.dm.gxmig.base.policy.PolicyPeriodPopulator.findEntity(PolicyPeriodPopulator.gs:XXX</t>
  </si>
  <si>
    <t>EMSG:-STRACE:or over $XXX,XXX MSRP. Please remove the vehicle to continue.
	at edge.capabilities.quote.submission.quoting.util.SubmissionUnderwritingIssuesUtil.checkSideBySideProcessExceptions(SubmissionUnderwritingIssuesUtil.gs:XXXSTRACERAW:-</t>
  </si>
  <si>
    <t>EMSG:Driver(s)STRACE:com.farmers.config.quoteandbind.validatequote.AbstractValidateQuoteHandler.validate(AbstractValidateQuoteHandler.gs:XXXSTRACERAW:-</t>
  </si>
  <si>
    <t>EMSG:Duplicate key HODW_EarthquakeDeductible_Ext foundSTRACE:edge.util.MapUtil.groupUnique(MapUtil.gs:XXXSTRACERAW:-</t>
  </si>
  <si>
    <t>EMSG:User does not have permission to view the requested policy.STRACE:edge.capabilities.helpers.PolicyUtil.getPolicyByPolicyNumber(PolicyUtil.gs:XXXSTRACERAW:-</t>
  </si>
  <si>
    <t>EMSG:, AOR=XXXSTRACE:com.farmers.rating.ho.info.impl.DwellingInfoDto.mapFromEntity(DwellingInfoDto.gs:XXXSTRACERAW:-</t>
  </si>
  <si>
    <t>EMSG:, AOR=XXXSTRACE:deployment.pc.war//com.guidewire.pl.system.entity.proxy.EffDatedBeanProxy.getBranchUnslicedUntyped(EffDatedBeanProxy.java:XXXSTRACERAW:-</t>
  </si>
  <si>
    <t>EMSG:-STRACE:-STRACERAW:com.farmers.rating.ho.info.impl.DwellingInfoDto.mapFromEntity(DwellingInfoDto.gs:XXX</t>
  </si>
  <si>
    <t>EMSG:-STRACE:-STRACERAW:com.guidewire.pc.domain.policy.period.impl.PolicyPeriodImpl.getProducerOfRecord(PolicyPeriodImpl.java:XXX</t>
  </si>
  <si>
    <t>EMSG:-STRACE:edge.capabilities.quote.submission.base.DefaultBaseSubmissionPlugin.addOrUpdateSpouse(DefaultBaseSubmissionPlugin.gs:XXXSTRACERAW:-</t>
  </si>
  <si>
    <t>EMSG:One or more null constraint violations detected for EmbeddedQuoteDetail_ExtSTRACE:deployment.pc.war//com.guidewire.pl.system.database.entitywriter.DatabaseEntityWriterImpl.checkForNullConstraintViolation(DatabaseEntityWriterImpl.java:XXXSTRACERAW:-</t>
  </si>
  <si>
    <t>EMSG:-STRACE:-STRACERAW:com.guidewire.pl.system.entity.proxy.EffDatedBeanProxy.getBranchUnslicedUntyped(EffDatedBeanProxy.java:XXX</t>
  </si>
  <si>
    <t>EMSG:-STRACE:-STRACERAW:pcfc.expressions.JobWizardToolbarButtonSet_SubmissionExpressions$JobWizardToolbarButtonSetExpressionsImpl.associatedSubmissionJob(JobWizardToolbarButtonSet_SubmissionExpressions.gs:XXX</t>
  </si>
  <si>
    <t>EMSG:Attempt to access bean of type "PolicyAddlNamedInsured" id=XXX with a null bundleSTRACE:deployment.pc.war//com.guidewire.pl.system.entity.proxy.BeanProxy.checkIsInBundle(BeanProxy.java:XXXSTRACERAW:-</t>
  </si>
  <si>
    <t>EMSG:Duplicated instance found in array of edge.capabilities.policyjob.lob.homeowners.coverables.dto.AdditionalInterestDTO. DtoKey = XXXSTRACE:edge.util.mapping.ArrayUpdater.checkDuplicatedDto(ArrayUpdater.gs:XXXSTRACERAW:-</t>
  </si>
  <si>
    <t>EMSG:Increase Split Water deductible. Split Water deductible must be greater than the All Perils deductible.STRACE:edge.capabilities.quote.submission.quoting.util.SubmissionUnderwritingIssuesUtil.checkSideBySideProcessExceptions(SubmissionUnderwritingIssuesUtil.gs:XXXSTRACERAW:-</t>
  </si>
  <si>
    <t>EMSG:Internal error: bean entity.HOLocation_HOE:XXX was not staged for edit.STRACE:deployment.pc.war//com.guidewire.pl.system.bundle.EntityBundleImpl.handleBeanChange(EntityBundleImpl.java:XXXSTRACERAW:-</t>
  </si>
  <si>
    <t>EMSG:Policy is ineligible for Farmers Auto due to driver(s) with unacceptable license status.STRACE:gw.job.QuoteProcess.requestQuote(QuoteProcess.gs:XXXSTRACERAW:-</t>
  </si>
  <si>
    <t>EMSG:Try again later. Unable to retrieve Auto Data Prefill (ADPF) report.STRACE:com.farmers.config.pa.adpf.ADPFReportHelper.startProcessing(ADPFReportHelper.gs:XXXSTRACERAW:-</t>
  </si>
  <si>
    <t>EMSG:, AOR=XXXSTRACE:gw.policylocation.PolicyLocationAccountSyncableImpl.refreshAccountInformation(PolicyLocationAccountSyncableImpl.gs:XXXSTRACERAW:-</t>
  </si>
  <si>
    <t>EMSG:-STRACE:-STRACERAW:com.guidewire.pl.web.controller.WidgetFinder.getWidgetsByRenderIds(WidgetFinder.java:XXX</t>
  </si>
  <si>
    <t>EMSG:-STRACE:-STRACERAW:deployment.pc.war//com.guidewire.pc.domain.account.impl.AccountContactImpl.markContactForAutoSync(AccountContactImpl.java:XXX</t>
  </si>
  <si>
    <t>EMSG:-STRACE:-STRACERAW:edge.jackson.jsonrpc.support.JsonRpcDeserializer.validateRequest(JsonRpcDeserializer.java:XXX</t>
  </si>
  <si>
    <t>EMSG:-STRACE:-STRACERAW:gw.plugin.preupdate.impl.DemoPreUpdateImpl.handleAccountContactPreUpdate(DemoPreUpdateImpl.gs:XXX</t>
  </si>
  <si>
    <t>EMSG:-STRACE:com.farmers.contingencies.contingencyinference.DLUDriverLicenseUpdate.action(DLUDriverLicenseUpdate.gs:XXXSTRACERAW:-</t>
  </si>
  <si>
    <t>EMSG:Expiration date cannot equal the effective dateSTRACE:deployment.pc.war//com.guidewire.pl.system.entity.proxy.EffDatedBranchProxy.setPeriodWindow(EffDatedBranchProxy.java:XXXSTRACERAW:-</t>
  </si>
  <si>
    <t>EMSG:HO Desirability Logger| Step XXX.XXX : RiskSegment is either nullSTRACE:-STRACERAW:</t>
  </si>
  <si>
    <t>EMSG:Internal error: bean entity.PolicyPeriod:XXX was not staged for edit.STRACE:deployment.pc.war//com.guidewire.pl.system.bundle.EntityBundleImpl.handleBeanChange(EntityBundleImpl.java:XXXSTRACERAW:-</t>
  </si>
  <si>
    <t>EMSG:Policy is not eligible for new Auto Product due to driver(s) with unacceptable license status.STRACE:gw.job.QuoteProcess.requestQuote(QuoteProcess.gs:XXXSTRACERAW:-</t>
  </si>
  <si>
    <t>EMSG:error trying to execute query of type entity.HomeownersLine_HOESTRACE:deployment.pc.war//com.guidewire.pl.system.database.entitysource.DatabaseEntitySource.executeQueryAndPopulateBeans(DatabaseEntitySource.java:XXXSTRACERAW:-</t>
  </si>
  <si>
    <t>EMSG:jms/GWPC_QCF_SMALL -- service jboss.naming.context.java.jboss.jms.GWPC_QCF_SMALLSTRACE:org.jboss.as.naming@XXX.XXX.XXX.GA-redhatXXX//org.jboss.as.naming.ServiceBasedNamingStore.lookup(ServiceBasedNamingStore.java:XXXSTRACERAW:-</t>
  </si>
  <si>
    <t>EMSG:-STRACE:-STRACERAW:com.farmers.integ.common.utils.jms.JMSConnectionFactory.getConnection(JMSConnectionFactory.gs:XXX</t>
  </si>
  <si>
    <t>EMSG:-STRACE:-STRACERAW:pcfc.expressions.SubmissionWizard_PolicyInfoScreenExpressions$SubmissionWizard_PolicyInfoScreenExpressionsImpl.visible_XXX(SubmissionWizard_PolicyInfoScreenExpressions.gs:XXX</t>
  </si>
  <si>
    <t>EMSG:-STRACE:deployment.pc.war//com.guidewire.pl.system.bundle.BundleWriter.filterRuleVisibleBeans(BundleWriter.java:XXXSTRACERAW:-</t>
  </si>
  <si>
    <t>EMSG:-STRACE:or over XXX HP. Please remove the vehicle to continue.
	at edge.capabilities.quote.submission.quoting.util.SubmissionUnderwritingIssuesUtil.checkSideBySideProcessExceptions(SubmissionUnderwritingIssuesUtil.gs:XXXSTRACERAW:-</t>
  </si>
  <si>
    <t>EMSG:Attempt to remove required coverage for pattern Deductibles  Pattern nullSTRACE:edge.capabilities.policycommon.coverage.util.CoverageUtil.updateFrom XXXSTRACERAW:-</t>
  </si>
  <si>
    <t>EMSG:Cannot commit a bundle that has a non-zero commits disallowed counterSTRACE:has a non-zero commits disallowed counter
	at deployment.pc.war//com.guidewire.pl.system.bundle.EntityBundleImpl.commitAndGetBeans(EntityBundleImpl.java:XXXSTRACERAW:-</t>
  </si>
  <si>
    <t>EMSG:Change the All Perils deductible. The deductible cannot exceed XXX% of Personal Property (Coverage C) limit.STRACE:edge.capabilities.quote.submission.quoting.util.SubmissionUnderwritingIssuesUtil.checkSideBySideProcessExceptions(SubmissionUnderwritingIssuesUtil.gs:XXXSTRACERAW:-</t>
  </si>
  <si>
    <t>EMSG:ERC endorsement ineligible on dwellings with PPC XXXA.STRACE:edge.capabilities.quote.submission.quoting.util.SubmissionUnderwritingIssuesUtil.checkSideBySideProcessExceptions(SubmissionUnderwritingIssuesUtil.gs:XXXSTRACERAW:-</t>
  </si>
  <si>
    <t>EMSG:Job "XXX" cannot be committed without a SelectedVersionSTRACE:deployment.pc.war//com.guidewire.pc.domain.job.impl.JobImpl.checkSelectedVersionIsSet(JobImpl.java:XXXSTRACERAW:-</t>
  </si>
  <si>
    <t>EMSG:One or more null constraint violations detected for HOLocation_HOESTRACE:deployment.pc.war//com.guidewire.pl.system.database.entitywriter.DatabaseEntityWriterImpl.checkForNullConstraintViolation(DatabaseEntityWriterImpl.java:XXXSTRACERAW:-</t>
  </si>
  <si>
    <t>EMSG:The PolicyPeriod you are trying to change is currently being quoted by another userSTRACE:this time
	at gw.job.QuoteProcess.requestQuote(QuoteProcess.gs:XXXSTRACERAW:-</t>
  </si>
  <si>
    <t>EMSG:Unable to withdraw. The policy period linked to the job number is either withdrawn or complete.STRACE:edge.capabilities.policychange.PolicyChangeHandler.withdraw(PolicyChangeHandler.gs:XXXSTRACERAW:-</t>
  </si>
  <si>
    <t>EMSG:Update License Country or remove the value for Age Lic in US/CAN. Age licensed in US/CAN is invalid when the License Country is 'Other'.STRACE:edge.capabilities.quote.submission.quoting.util.SubmissionUnderwritingIssuesUtil.checkSideBySideProcessExceptions(SubmissionUnderwritingIssuesUtil.gs:XXXSTRACERAW:-</t>
  </si>
  <si>
    <t>EMSG:[XXX] Cannot load a temporary id from the backing entity source: Policy:XXXSTRACE:deployment.pc.war//com.guidewire.pl.system.bundle.EntityBundleImpl.loadBean(EntityBundleImpl.java:XXXSTRACERAW:-</t>
  </si>
  <si>
    <t>EMSG:java.lang.RuntimeException: java.util.concurrent.TimeoutExceptionSTRACE:gw.bizrules.provisioning.contexts.PolicyContextDefinitionLibrary.activePolicyExists(PolicyContextDefinitionLibrary.gs:XXXSTRACERAW:-</t>
  </si>
  <si>
    <t>EMSG:, AOR=XXXSTRACE:deployment.pc.war//com.guidewire.pl.system.integration.messaging.events.MessageGenerationContext$XXX.apply(MessageGenerationContext.java:XXXSTRACERAW:-</t>
  </si>
  <si>
    <t>EMSG:, AOR=XXXSTRACE:gw.contact.AbstractPolicyContactRoleAccountSyncableImpl.refreshAccountInformation(AbstractPolicyContactRoleAccountSyncableImpl.gs:XXXSTRACERAW:-</t>
  </si>
  <si>
    <t>EMSG:-STRACE:-STRACERAW:com.guidewire.pc.domain.job.impl.JobProducerCodePermissionHandler.getProducerCodesOfService(JobProducerCodePermissionHandler.java:XXX</t>
  </si>
  <si>
    <t>EMSG:-STRACE:-STRACERAW:gw.acc.luw.LUWExceptionHelper.processJobStateException(LUWExceptionHelper.gs:XXX</t>
  </si>
  <si>
    <t>EMSG:-STRACE:-STRACERAW:gw.contact.AbstractPolicyContactRoleAccountSyncableImpl.refreshAccountInformation(AbstractPolicyContactRoleAccountSyncableImpl.gs:XXX</t>
  </si>
  <si>
    <t>EMSG:-STRACE:-STRACERAW:gw.pl.util.ExceptionUtil.convertToRuntimeException(ExceptionUtil.java:XXX</t>
  </si>
  <si>
    <t>EMSG:-STRACE:-STRACERAW:gwservices.pc.dm.gxmig.shared.location.AddressModelPopulator.findEntity(AddressModelPopulator.gs:XXX</t>
  </si>
  <si>
    <t>EMSG:-STRACE:-STRACERAW:pcfc.expressions.JobRolesLVExpressions$JobRolesLVExpressionsImpl.getGroupBasedonUser(JobRolesLVExpressions.gs:XXX</t>
  </si>
  <si>
    <t>EMSG:-STRACE:-STRACERAW:qRoot WHERE qRoot.BranchID IN (?,?,?</t>
  </si>
  <si>
    <t>EMSG:-STRACE:com.farmers.integ.common.utils.jms.JMSConnectionFactory.getConnection(JMSConnectionFactory.gs:XXXSTRACERAW:-</t>
  </si>
  <si>
    <t>EMSG:-STRACE:edge.capabilities.quote.submission.base.DefaultBaseSubmissionPlugin.updateFromCustomerChannel(DefaultBaseSubmissionPlugin.gs:XXXSTRACERAW:-</t>
  </si>
  <si>
    <t>EMSG:Attempt to access bean of type "Customer_Ext" id=XXX with a null bundleSTRACE:deployment.pc.war//com.guidewire.pl.system.entity.proxy.BeanProxy.checkIsInBundle(BeanProxy.java:XXXSTRACERAW:-</t>
  </si>
  <si>
    <t>EMSG:One or more null constraint violations detected for MDMPolicyDetail_ExtSTRACE:deployment.pc.war//com.guidewire.pl.system.database.entitywriter.DatabaseEntityWriterImpl.checkForNullConstraintViolation(DatabaseEntityWriterImpl.java:XXXSTRACERAW:-</t>
  </si>
  <si>
    <t>EMSG:Policy data prefill is not completed successfully. Please restart the Product rewrite.STRACE:com.farmers.integ.productrewrite.prefill.HHInquiryHelper.prefillPolicyFromHHInquiry(HHInquiryHelper.gs:XXXSTRACERAW:-</t>
  </si>
  <si>
    <t>EMSG:PropertySTRACE:deployment.pc.war//gw.internal.gosu.ir.transform.expression.MemberAccessTransformer.autoCreateEntityInstance(MemberAccessTransformer.java:XXXSTRACERAW:-</t>
  </si>
  <si>
    <t>EMSG:Update the Primary Driver selection for XXXSTRACE:gw.job.QuoteProcess.requestQuote(QuoteProcess.gs:XXXSTRACERAW:-</t>
  </si>
  <si>
    <t>EMSG:XXX has exceeded the accident and/or violation threshold for eligibility in this program. Drivers with excessive accidents and/or convictions may be excluded by request in CO.STRACE:gw.job.QuoteProcess.requestQuote(QuoteProcess.gs:XXXSTRACERAW:-</t>
  </si>
  <si>
    <t>EMSG:jms/GWPC_QCF_LARGE -- service jboss.naming.context.java.jboss.jms.GWPC_QCF_LARGESTRACE:org.jboss.as.naming@XXX.XXX.XXX.GA-redhatXXX//org.jboss.as.naming.ServiceBasedNamingStore.lookup(ServiceBasedNamingStore.java:XXXSTRACERAW:-</t>
  </si>
  <si>
    <t>EMSG:Exception during Rating ExecuteIterationsMultiThreaded : java.lang.IllegalStateException: [] is emptySTRACE:com.farmers.rating.common.flow.iteration.impl.IterationsExecutorImpl$block_XXX_.invoke(IterationsExecutorImpl.gs:XXXSTRACERAW:-</t>
  </si>
  <si>
    <t>EMSG:Ineligible Submission - Based on aerial imagerySTRACE:may pose an unacceptable exposure. This is an ineligible condition. For consideration, please upload documentation showing the dwelling in acceptable condition.
	at edge.capabilities.quote.submission.quoting.util.SubmissionUnderwritingIssuesUtil.checkSideBySideProcessExceptions(SubmissionUnderwritingIssuesUtil.gs:XXXSTRACERAW:-</t>
  </si>
  <si>
    <t>EMSG:The provider service is unavailable.Please try again laterSTRACE:gw.bizrules.provisioning.contexts.PolicyContextDefinitionLibrary.activePolicyExists(PolicyContextDefinitionLibrary.gs:XXXSTRACERAW:-</t>
  </si>
  <si>
    <t>EMSG:, AOR=XXXSTRACE:edge.validation.EdgeValidationContext.raiseExceptionIfErrorsFound(EdgeValidationContext.gs:XXXSTRACERAW:-</t>
  </si>
  <si>
    <t>EMSG:-STRACE:gw.acc.luw.rules.LUWCEADetailsSyncProcessor.removeAddlIns(LUWCEADetailsSyncProcessor.gs:XXXSTRACERAW:-</t>
  </si>
  <si>
    <t>EMSG:-STRACE:-STRACERAW:deployment.pc.war//com.guidewire.pl.system.entity.proxy.EffDatedBranchProxy.setPeriodWindow(EffDatedBranchProxy.java:XXX</t>
  </si>
  <si>
    <t>EMSG:A preferred phone number is already associated with this contact. To ensure continuity across integrated systemsSTRACE:com.farmers.config.common.processor.possiblenowrequest.PossibleNowUIHelper$block_XXX_.invoke(PossibleNowUIHelper.gs:XXXSTRACERAW:-</t>
  </si>
  <si>
    <t>EMSG:TableMetadataFactory cannot be used before it is startedSTRACE:deployment.pc.war//com.guidewire.pl.system.database.metadata.TableMetadataFactoryImpl.getTableMetadata(TableMetadataFactoryImpl.java:XXXSTRACERAW:-</t>
  </si>
  <si>
    <t>EMSG:, AOR=XXXSTRACE:gw.acc.luw.rules.LUWCEADetailsSyncProcessor.removeAddlIns(LUWCEADetailsSyncProcessor.gs:XXXSTRACERAW:-</t>
  </si>
  <si>
    <t>EMSG:Policy Effective Date must be on or after XXX/XXX/XXX. Please change the Policy Effective Date to proceed further.STRACE:edge.capabilities.quote.submission.quoting.util.SubmissionUnderwritingIssuesUtil.checkSideBySideProcessExceptions(SubmissionUnderwritingIssuesUtil.gs:XXXSTRACERAW:-</t>
  </si>
  <si>
    <t>EMSG:Remove either Split Wind/Hail deductible OR Split Hurricane deductible. These coverage terms are mutually exclusive.STRACE:edge.capabilities.quote.submission.quoting.util.SubmissionUnderwritingIssuesUtil.checkSideBySideProcessExceptions(SubmissionUnderwritingIssuesUtil.gs:XXXSTRACERAW:-</t>
  </si>
  <si>
    <t>EMSG:Try again later. Credit ordering is unavailable at this time.STRACE:this time.
	at com.farmers.config.common.credit.pa.PACreditScoreProcess.invokeService(PACreditScoreProcess.gs:XXXSTRACERAW:-</t>
  </si>
  <si>
    <t>EMSG:Unable to set property '_BirthDt' of 'com.farmers.integ.distribution.lms.wsc.uploadcustomerwsc.ecms_quote_xsd.types.complex.PersonInfo_Type instance'STRACE:deployment.pc.war//gw.internal.xml.XmlSchemaProperty.setValue(XmlSchemaProperty.java:XXXSTRACERAW:-</t>
  </si>
  <si>
    <t>EMSG:-STRACE:-STRACERAW:edge.capabilities.gateway.job.cancellation.CancellationHandler.createCancellation(CancellationHandler.gs:XXX</t>
  </si>
  <si>
    <t>EMSG:Account Creation failed due to [Contact First Name] fields missingSTRACE:com.farmers.integ.distribution.ecms.deeplaunch.validation.QuoteNavigationValidator.validateApexQuotePrefillInfo(QuoteNavigationValidator.gs:XXXSTRACERAW:-</t>
  </si>
  <si>
    <t>EMSG:One or more null constraint violations detected for PolicyLocationSTRACE:deployment.pc.war//com.guidewire.pl.system.database.entitywriter.DatabaseEntityWriterImpl.checkForNullConstraintViolation(DatabaseEntityWriterImpl.java:XXXSTRACERAW:-</t>
  </si>
  <si>
    <t>EMSG:, AOR=XXXSTRACE:com.farmers.config.common.mdm.MDMProcess.hasMatchingAddress(MDMProcess.gs:XXXSTRACERAW:-</t>
  </si>
  <si>
    <t>EMSG:The policy is already canceled as of this dateSTRACE:edge.capabilities.gateway.job.cancellation.CancellationHandler.createCancellation(CancellationHandler.gs:XXXSTRACERAW:-</t>
  </si>
  <si>
    <t>EMSG:There is no bi code in the table 'pa_pi_no_prior_codes' for carrier group INNOCENTNOPRIORSTRACE:com.farmers.tier.pa.pitier.impl.PITierCodesCalculatorImpl.calculateBILimitCode(PITierCodesCalculatorImpl.gs:XXXSTRACERAW:-</t>
  </si>
  <si>
    <t>EMSG:Verify the Garaging Address Zip code. The zip code entered does not match an eligible zip code for rating.STRACE:edge.capabilities.quote.submission.quoting.util.SubmissionUnderwritingIssuesUtil.checkSideBySideProcessExceptions(SubmissionUnderwritingIssuesUtil.gs:XXXSTRACERAW:-</t>
  </si>
  <si>
    <t>EMSG:-STRACE:deployment.pc.war//com.guidewire.pl.system.database.DatabaseBundleWriter.executeBeanCallbacksAfterMessageGen(DatabaseBundleWriter.java:XXXSTRACERAW:-</t>
  </si>
  <si>
    <t>EMSG:No period for this effective dateSTRACE:edge.capabilities.gateway.job.cancellation.CancellationHandler.createCancellation(CancellationHandler.gs:XXXSTRACERAW:-</t>
  </si>
  <si>
    <t>EMSG:One or more null constraint violations detected for DiscountDetail_ExtSTRACE:deployment.pc.war//com.guidewire.pl.system.database.entitywriter.DatabaseEntityWriterImpl.checkForNullConstraintViolation(DatabaseEntityWriterImpl.java:XXXSTRACERAW:-</t>
  </si>
  <si>
    <t>EMSG:jms/GWPC_QCF_SMALL -- service jboss.naming.context.java.jboss.jms.GWPC_QCF_SMALLSTRACE:-STRACERAW:org.jboss.as.naming@XXX.XXX.XXX.GA-redhatXXX//org.jboss.as.naming.ServiceBasedNamingStore.lookup(ServiceBasedNamingStore.java:XXX</t>
  </si>
  <si>
    <t>EMSG:TieringResult_Ext:XXX deleted from databaseSTRACE:deployment.pc.war//com.guidewire.pl.system.database.entitywriter.DatabaseEntityWriterImpl.writeSingleBeanUpdate(DatabaseEntityWriterImpl.java:XXXSTRACERAW:-</t>
  </si>
  <si>
    <t>EMSG:Personal Auto:XXX deleted from databaseSTRACE:deployment.pc.war//com.guidewire.pl.system.database.entitywriter.DatabaseEntityWriterImpl.writeSingleBeanUpdate(DatabaseEntityWriterImpl.java:XXXSTRACERAW:-</t>
  </si>
  <si>
    <t>EMSG:-STRACE:-STRACERAW:com.farmers.billing.dao.BillingInformationProcessor.isMinimumDownPaymentPaidOff(BillingInformationProcessor.gs:XXX</t>
  </si>
  <si>
    <t>EMSG:, AOR=XXXSTRACE:com.farmers.billing.dao.BillingInformationProcessor.isMinimumDownPaymentPaidOff(BillingInformationProcessor.gs:XXXSTRACERAW:-</t>
  </si>
  <si>
    <t>EMSG:-STRACE:-STRACERAW:[Source: UNKNOWN; byte offset: #UNKNOWN] (through reference chain: edge.capabilities.quote.submission.dto.QuoteDataDTO["lobData"]-&gt;edge.capabilities.policyjob.lob.homeowners.dto.HoLobDataDTO["coverables"]-&gt;edge.capabilities.policyjob.lob.homeowners.coverables.dto.HoCoverablesDTO["construction"]-&gt;edge.capabilities.policyjob.lob.homeowners.coverables.dto.ConstructionDTO["roofUpgradeYear"]</t>
  </si>
  <si>
    <t>EMSG:Ineligible Submission - Based on aerial imagerySTRACE:edge.capabilities.quote.submission.quoting.util.SubmissionUnderwritingIssuesUtil.checkSideBySideProcessExceptions(SubmissionUnderwritingIssuesUtil.gs:XXXSTRACERAW:-</t>
  </si>
  <si>
    <t>EMSG:No driver points found for incident nullSTRACE:com.farmers.chargeability.pa.driverpoints.PADriverPointsCalculatorVXXX$block_XXX_$block_XXX_.invoke(PADriverPointsCalculatorVXXX.gs:XXXSTRACERAW:-</t>
  </si>
  <si>
    <t>EMSG:-STRACE:-STRACERAW:gwservices.pc.dm.api.DMMigPolicyPeriodModelEnhancement.validate(DMMigPolicyPeriodModelEnhancement.gsx:XXX</t>
  </si>
  <si>
    <t>EMSG:Cannot modify a bean of type HOConstructionDetails_Ext that is in a readonly bundleSTRACE:is in a readonly bundle
	at deployment.pc.war//com.guidewire.pl.system.entity.proxy.BeanProxy.checkIsInWriteableBundle(BeanProxy.java:XXXSTRACERAW:-</t>
  </si>
  <si>
    <t>EMSG:Change the Primary Use for Vehicle XXXSTRACE:edge.capabilities.quote.submission.quoting.util.SubmissionUnderwritingIssuesUtil.checkSideBySideProcessExceptions(SubmissionUnderwritingIssuesUtil.gs:XXXSTRACERAW:-</t>
  </si>
  <si>
    <t>EMSG:Remove Extended Replacement Cost coverage. Extended Replacement Cost cannot be selected when Dwelling Coverage is less than Reconstruction Cost Estimate.;STRACE:edge.capabilities.quote.submission.quoting.util.SubmissionUnderwritingIssuesUtil.checkVerifyRateExceptions(SubmissionUnderwritingIssuesUtil.gs:XXXSTRACERAW:-</t>
  </si>
  <si>
    <t>EMSG:Attempt to access bean of type "Submission" id=XXX with a null bundleSTRACE:deployment.pc.war//com.guidewire.pl.system.entity.proxy.BeanProxy.checkIsInBundle(BeanProxy.java:XXXSTRACERAW:-</t>
  </si>
  <si>
    <t>EMSG:Can't use null slice dateSTRACE:deployment.pc.war//com.guidewire.pl.system.entity.proxy.EffDatedBaseProxy.getSliceUntyped(EffDatedBaseProxy.java:XXXSTRACERAW:-</t>
  </si>
  <si>
    <t>EMSG:-STRACE:-STRACERAW:com.farmers.config.common.mli.MLIHelper.transferToCalFocus(MLIHelper.gs:XXX</t>
  </si>
  <si>
    <t>EMSG:Click OK to refresh.  Address Standardization did not return a response.STRACE:com.farmers.config.ho.dwelling.location.process.HOLocationProcess.standardizeAddress(HOLocationProcess.gs:XXXSTRACERAW:-</t>
  </si>
  <si>
    <t>EMSG:LHPI Ordering Failed due to TimeOut! - [gw.xml.XmlException: Please use XmlElement.parse( java.io.File ) to parse a file]STRACE:com.farmers.config.ho.lhpi.AutoReportOrderProcess.invokeService(AutoReportOrderProcess.gs:XXXSTRACERAW:-</t>
  </si>
  <si>
    <t>EMSG:-STRACE:com.farmers.integ.documentmgmt.ondemand.homeformgeneration.transformer.HomeOnDemandFormGenRequestTransformer.transform(HomeOnDemandFormGenRequestTransformer.gs:XXXSTRACERAW:-</t>
  </si>
  <si>
    <t>EMSG:A balance of $null must be paid prior to rewriting or reinstating this policy. The Account is on a Notice of Cancellation.STRACE:com.farmers.billing.dao.BillingInformationProcessor.validateNOCorServiceFailure(BillingInformationProcessor.gs:XXXSTRACERAW:-</t>
  </si>
  <si>
    <t>EMSG:LHPI Ordering Failed due to TimeOut! - [gw.xml.XmlException: Please use XmlElement.parse( java.io.File ) to parse a file]STRACE:java.base/jdk.internal.reflect.NativeConstructorAccessorImpl.newInstanceXXX(Native MethodSTRACERAW:-</t>
  </si>
  <si>
    <t>EMSG:A report shows that the XXXSTRACE:the  XXX FORD TRUCK FXXX CREW C PU XXXXXXX SUPER CREW has been flagged as having Vehicle History activity.
	at edge.capabilities.quote.submission.quoting.util.SubmissionUnderwritingIssuesUtil.checkSideBySideProcessExceptions(SubmissionUnderwritingIssuesUtil.gs:XXXSTRACERAW:-</t>
  </si>
  <si>
    <t>EMSG:Update the "Marital Status" for the drivers as each driver listed as married needs to have a corresponding spouse.STRACE:edge.capabilities.quote.submission.quoting.util.SubmissionUnderwritingIssuesUtil.checkSideBySideProcessExceptions(SubmissionUnderwritingIssuesUtil.gs:XXXSTRACERAW:-</t>
  </si>
  <si>
    <t>EMSG:, AOR=XXXSTRACE:deployment.pc.war//com.guidewire.pc.domain.policy.period.impl.PolicyPeriodImpl.getPrimaryLocation(PolicyPeriodImpl.java:XXXSTRACERAW:-</t>
  </si>
  <si>
    <t>EMSG:Attempt to access bean of type "Message" id=XXX with a null bundleSTRACE:deployment.pc.war//com.guidewire.pl.system.entity.proxy.BeanProxy.checkIsInBundle(BeanProxy.java:XXXSTRACERAW:-</t>
  </si>
  <si>
    <t>EMSG:Could not map property (entity-HomeownersLine_HOE).HighCovLvlIndSTRACE:deployment.pc.war//gw.internal.xml.gx.GxRuntime.createElement(GxRuntime.java:XXXSTRACERAW:-</t>
  </si>
  <si>
    <t>EMSG:Submit proof of eligibility for Innocent No Prior. If noneSTRACE:gw.job.QuoteProcess.requestQuote(QuoteProcess.gs:XXXSTRACERAW:-</t>
  </si>
  <si>
    <t>EMSG:[BUSINESS_ERROR::Agent not available adraXXX]STRACE:com.farmers.edge.capabilities.communitymodel.checkgrantaccess.processor.CheckGrantAccessProcessor.processGrantAccess(CheckGrantAccessProcessor.gs:XXXSTRACERAW:-</t>
  </si>
  <si>
    <t>EMSG:, AOR=XXXSTRACE:com.farmers.config.kraftlake.KraftLakeProcess.validateDiscountFromKraftlake(KraftLakeProcess.gs:XXXSTRACERAW:-</t>
  </si>
  <si>
    <t>EMSG:RateBookBeanFactory Unable to find class: nullSTRACE:com.farmers.rating.common.injection.RateBookBeanFactory.createBean(RateBookBeanFactory.gs:XXXSTRACERAW:-</t>
  </si>
  <si>
    <t>EMSG:Failed to execute a querySTRACE:deployment.pc.war//com.guidewire.pc.system.lookuptables.LookupTableManagerImpl$LRUCache.get(LookupTableManagerImpl.java:XXXSTRACERAW:-</t>
  </si>
  <si>
    <t>EMSG:Policy is not eligible for new Auto Product as  driver(s) did not receive a valid Motor Vehicle Record.STRACE:gw.job.QuoteProcess.requestQuote(QuoteProcess.gs:XXXSTRACERAW:-</t>
  </si>
  <si>
    <t>EMSG:javax.resource.ResourceException: IJXXX: No managed connections available within configured blocking timeout (XXX [ms])STRACE:deployment.pc.war//gw.pl.util.ExceptionUtil.convertToRuntimeException(ExceptionUtil.java:XXXSTRACERAW:-</t>
  </si>
  <si>
    <t>EMSG:Internal error: bean entity.Dwelling_HOE:XXX was not staged for edit.STRACE:deployment.pc.war//com.guidewire.pl.system.bundle.EntityBundleImpl.handleBeanChange(EntityBundleImpl.java:XXXSTRACERAW:-</t>
  </si>
  <si>
    <t>EMSG:-STRACE:com.farmers.integ.downstream.policytransaction.PolicyTransactionBuilder.buildMessage(PolicyTransactionBuilder.gs:XXXSTRACERAW:-</t>
  </si>
  <si>
    <t>EMSG:, AOR=XXXSTRACE:com.farmers.config.ceaforemost.HOCEAForemostServiceHelper$block_XXX_.invoke(HOCEAForemostServiceHelper.gs:XXXSTRACERAW:-</t>
  </si>
  <si>
    <t>EMSG:The value XXX is not formatted correctly for the field "Name": Exceeds the maximum length of XXX characters (XXX)STRACE:deployment.pc.war//gw.datatype.impl.StringConstraintsHandlerBase.validateStringLength(StringConstraintsHandlerBase.java:XXXSTRACERAW:-</t>
  </si>
  <si>
    <t>EMSG:Unable to process HouseHold Inquiry Service ResponseSTRACE:com.farmers.integ.productrewrite.prefill.HHInquiryHelper.prefillPolicyFromHHInquiry(HHInquiryHelper.gs:XXXSTRACERAW:-</t>
  </si>
  <si>
    <t>EMSG:-STRACE:-STRACERAW:java.util.concurrent.ThreadPoolExecutor$AbortPolicy.rejectedExecution(ThreadPoolExecutor.java:XXX</t>
  </si>
  <si>
    <t>EMSG:One or more null constraint violations detected for HOPolicyClaim_ExtSTRACE:deployment.pc.war//com.guidewire.pl.system.database.entitywriter.DatabaseEntityWriterImpl.checkForNullConstraintViolation(DatabaseEntityWriterImpl.java:XXXSTRACERAW:-</t>
  </si>
  <si>
    <t>EMSG:-STRACE:com.farmers.config.renewal.pa.PAFarmersRenewalProcess.validateDDRDriver(PAFarmersRenewalProcess.gs:XXXSTRACERAW:-</t>
  </si>
  <si>
    <t>EMSG:-STRACE:gw.web.line.pa.policy.PADriversPanelSetUIHelper.getDriverAge_Ext(PADriversPanelSetUIHelper.gs:XXXSTRACERAW:-</t>
  </si>
  <si>
    <t>EMSG:-STRACE:gw.lang.enhancements.CoreArrayOfIntegersEnhancement.sum(CoreArrayOfIntegersEnhancement.gsx:XXXSTRACERAW:-</t>
  </si>
  <si>
    <t>EMSG:The value XXX is not formatted correctly for the field "FirstName": Exceeds the maximum length of XXX characters (XXX)STRACE:deployment.pc.war//gw.datatype.impl.StringConstraintsHandlerBase.validateStringLength(StringConstraintsHandlerBase.java:XXXSTRACERAW:-</t>
  </si>
  <si>
    <t>EMSG:-STRACE:-STRACERAW:[Source: UNKNOWN; byte offset: #UNKNOWN] (through reference chain: edge.capabilities.quote.submission.dto.QuoteDataDTO["lobData"]-&gt;edge.capabilities.policyjob.lob.personalauto.dto.PaLobDataDTO["coverables"]-&gt;edge.capabilities.policyjob.lob.personalauto.coverables.dto.PaCoverablesDTO["vehicles"]-&gt;java.lang.Object[][XXX]-&gt;edge.capabilities.policyjob.lob.personalauto.coverables.dto.VehicleDTO["makeNumber"]</t>
  </si>
  <si>
    <t>EMSG:LUW Policy Change Job XXX: The object you are trying to update was XXXSTRACE:XXX/XXX/XXX XXX:XXX AM. Please cancel and retry your change.
The object you are trying to update was 'Policy:pc:XXX - pc:XXX', and it was changed by LUW u at XXX/XXX/XXX XXX:XXX AM. Please cancel and retry your change.
	at gw.acc.luw.LUWExceptionHelper.processUserDisplayableException(LUWExceptionHelper.gs:XXXSTRACERAW:-</t>
  </si>
  <si>
    <t>EMSG:LHPI Ordering Failed due to TimeOut! - [java.lang.RuntimeException: java.util.concurrent.TimeoutException]STRACE:com.farmers.config.ho.lhpi.AutoReportOrderProcess.invokeService(AutoReportOrderProcess.gs:XXXSTRACERAW:-</t>
  </si>
  <si>
    <t>EMSG:LUW Policy Change Job XXX: The object you are trying to update was XXXSTRACE:XXX/XXX/XXX XXX:XXX AM. Please cancel and retry your change.
The object you are trying to update was 'Policy:pc:XXX - pc:XXX', and it was changed by LUW u at XXX/XXX/XXX XXX:XXX AM. Please cancel and retry your change.
	at com.farmers.integ.framework.job.automatejob.AutomatedJob.executeJob(AutomatedJob.gs:XXXSTRACERAW:-</t>
  </si>
  <si>
    <t>EMSG:Database bean version conflict : XXXSTRACE:Kumar at XXX/XXX/XXX XXX:XXX PM. Please cancel and retry your change.
	at deployment.pc.war//com.guidewire.pl.system.database.DatabaseChangedBeanWriter.createConcurrentDataChangeException(DatabaseChangedBeanWriter.java:XXXSTRACERAW:-</t>
  </si>
  <si>
    <t>EMSG:-STRACE:-STRACERAW:deployment.wmq.jmsra.rar//com.ibm.mq.connector.services.JCAExceptionBuilder.buildException(JCAExceptionBuilder.java:XXX</t>
  </si>
  <si>
    <t>EMSG:-STRACE:-STRACERAW:gw.api.web.job.JobWizardHelper.isInPicker(JobWizardHelper.java:XXX</t>
  </si>
  <si>
    <t>EMSG:-STRACE:-STRACERAW:java.lang.String.repeat(String.java:XXX</t>
  </si>
  <si>
    <t>EMSG:-STRACE:-STRACERAW:pcfc.expressions.AccountFile_Summary_PolicyTerms_ExtCVExpressions$IteratorEntryXXXExpressionsImpl.initializeVariables_XXX(AccountFile_Summary_PolicyTerms_ExtCVExpressions.gs:XXX</t>
  </si>
  <si>
    <t>EMSG:-STRACE:-STRACERAW:sun.nio.ch.FileDispatcherImpl.readXXX(Native Method</t>
  </si>
  <si>
    <t>EMSG:-STRACE:com.farmers.edge.capabilities.policyjob.lob.personalumbrella.coverables.DefaultPuCoverablePlugin.fillULPolicy(DefaultPuCoverablePlugin.gs:XXXSTRACERAW:-</t>
  </si>
  <si>
    <t>EMSG:Character n is neither a decimal digit numberSTRACE:java.base/java.math.BigDecimal.&lt;init&gt;(BigDecimal.java:XXXSTRACERAW:-</t>
  </si>
  <si>
    <t>EMSG:Deadlock detected while loading classesSTRACE:deployment.pc.war//gw.lang.reflect.module.TypeSystemLockHelper.dumpAllStackTraces(TypeSystemLockHelper.java:XXXSTRACERAW:-</t>
  </si>
  <si>
    <t>EMSG:Duplicated instance found in array of com.farmers.edge.capabilities.policyjob.lob.personalumbrella.coverables.dto.PUHouseHoldMemberDTO. DtoKey = XXXSTRACE:edge.util.mapping.ArrayUpdater.checkDuplicatedDto(ArrayUpdater.gs:XXXSTRACERAW:-</t>
  </si>
  <si>
    <t>EMSG:MQJCAXXX: An exception occurred in the IBM MQ layer. See the linked exception for details.STRACE:deployment.wmq.jmsra.rar//com.ibm.mq.connector.services.JCAExceptionBuilder.buildException(JCAExceptionBuilder.java:XXXSTRACERAW:-</t>
  </si>
  <si>
    <t>EMSG:The quote cannot proceed before prior policy data is prefilled.  Please click Next to complete the prefill process.STRACE:com.farmers.config.pa.validator.PALineQuoteValidator_Ext.validateprefillCompletedForProdRewrite(PALineQuoteValidator_Ext.gs:XXXSTRACERAW:-</t>
  </si>
  <si>
    <t>EMSG:Try again later. Installment amounts unavailable at this time due to billing service failure.STRACE:this time due to billing service failure.
	at gw.job.QuoteProcess.requestQuote(QuoteProcess.gs:XXXSTRACERAW:-</t>
  </si>
  <si>
    <t>EMSG:, AOR=XXXSTRACE:deployment.pc.war//gw.pl.util.ExceptionUtil.convertToRuntimeException(ExceptionUtil.java:XXXSTRACERAW:-</t>
  </si>
  <si>
    <t>EMSG:-STRACE:deployment.pc.war//gw.pl.util.ExceptionUtil.convertToRuntimeException(ExceptionUtil.java:XXXSTRACERAW:-</t>
  </si>
  <si>
    <t>EMSG:-STRACE:-STRACERAW:com.farmers.config.pa.mvr.dao.MotorVehicleRecordDAO.getCorrespondingMVRRecordWithStale(MotorVehicleRecordDAO.gs:XXX</t>
  </si>
  <si>
    <t>EMSG:Stale Days is not defined in the system tables for state - OtherSTRACE:com.farmers.config.pa.mvr.dao.MotorVehicleRecordDAO.getCorrespondingMVRRecordWithStale(MotorVehicleRecordDAO.gs:XXXSTRACERAW:-</t>
  </si>
  <si>
    <t>EMSG:-STRACE:-STRACERAW:com.farmers.config.common.mli.MLIHelper.transferToCalFocusForLife(MLIHelper.gs:XXX</t>
  </si>
  <si>
    <t>EMSG:com.guidewire.pl.system.exception.DBException: Failed to execute a querySTRACE:com.farmers.integ.documentmgmt.ondemand.autoformgeneration.transformer.AutoOnDemandFormGenRequestTransformer.transform(AutoOnDemandFormGenRequestTransformer.gs:XXXSTRACERAW:-</t>
  </si>
  <si>
    <t>EMSG:-STRACE:-STRACERAW:gw.job.ReinstatementEnhancement.checkNOCAndMisMatch(ReinstatementEnhancement.gsx:XXX</t>
  </si>
  <si>
    <t>EMSG:-STRACE:-STRACERAW:gw.lob.ho.HODwellingValidation_HOE.validateWaterSublimitRemovedForOptionalStates(HODwellingValidation_HOE.gs:XXX</t>
  </si>
  <si>
    <t>EMSG:In order to continueSTRACE:gw.job.ReinstatementEnhancement.checkNOCAndMisMatch(ReinstatementEnhancement.gsx:XXXSTRACERAW:-</t>
  </si>
  <si>
    <t>EMSG:-STRACE:edge.capabilities.quote.submission.lob.personalauto.coverables.DefaultPaCoverablePlugin$block_XXX_.invoke(DefaultPaCoverablePlugin.gs:XXXSTRACERAW:-</t>
  </si>
  <si>
    <t>EMSG:Verify Risk Address city. The city is either invalid or ineligible for coverage.STRACE:com.farmers.config.ho.dwelling.location.process.HOLocationProcess.getLocationReportsCW(HOLocationProcess.gs:XXXSTRACERAW:-</t>
  </si>
  <si>
    <t>EMSG:-STRACE:-STRACERAW:deployment.pc.war//com.guidewire.pl.system.entity.proxy.EffDatedBaseProxy.getSliceDate(EffDatedBaseProxy.java:XXX</t>
  </si>
  <si>
    <t>EMSG:-STRACE:com.farmers.integ.security.community.ace.agent.profile.resolver.ApcDistrictGroupResolver.resolve(ApcDistrictGroupResolver.gs:XXXSTRACERAW:-</t>
  </si>
  <si>
    <t>EMSG:Primary driver must be enrolled before enrolling other drivers.STRACE:edge.capabilities.policychange.lob.personalauto.coverables.util.DriverUtil.fill(DriverUtil.gs:XXXSTRACERAW:-</t>
  </si>
  <si>
    <t>EMSG:| RiskSegment is either nullSTRACE:-STRACERAW:</t>
  </si>
  <si>
    <t>EMSG:-STRACE:-STRACERAW:com.guidewire.pl.system.entity.proxy.EffDatedVersionListImpl.getVersionAsOf(EffDatedVersionListImpl.java:XXX</t>
  </si>
  <si>
    <t>EMSG:-STRACE:com.farmers.integ.claims.cltf.transformer.ClaimTransformer.populateHOFarmersCalims(ClaimTransformer.gs:XXXSTRACERAW:-</t>
  </si>
  <si>
    <t>EMSG:Exception during Rating ExecuteIterationsMultiThreaded : java.util.concurrent.ExecutionException: com.guidewire.pl.system.exception.DBException: Failed to execute a querySTRACE:com.farmers.rating.common.flow.iteration.impl.IterationsExecutorImpl$block_XXX_.invoke(IterationsExecutorImpl.gs:XXXSTRACERAW:-</t>
  </si>
  <si>
    <t>EMSG:One or more null constraint violations detected for PAVehicleModifierSTRACE:deployment.pc.war//com.guidewire.pl.system.database.entitywriter.DatabaseEntityWriterImpl.checkForNullConstraintViolation(DatabaseEntityWriterImpl.java:XXXSTRACERAW:-</t>
  </si>
  <si>
    <t>EMSG:Personal Auto Line: UM/UIM - Property Damage is required and must be added. XXXSTRACE:-STRACERAW:</t>
  </si>
  <si>
    <t>EMSG:PolicyNumber XXX doesn't exist in SpillOver entity of PCSTRACE:com.farmers.integ.coexistence.coexistenceinbound.plugin.CoexistenceInboundStartablePlugin$block_XXX_.invoke(CoexistenceInboundStartablePlugin.gs:XXXSTRACERAW:-</t>
  </si>
  <si>
    <t>EMSG:-STRACE:-STRACERAW:gw.internal.gosu.parser.FileSystemGosuClassRepository$ClassFileInfo.getContent(FileSystemGosuClassRepository.java:XXX</t>
  </si>
  <si>
    <t>EMSG:-STRACE:-STRACERAW:com.farmers.integ.authentication.FarmersAuthenticationSourceCreator.getFarmersEDGEAuthenticationSource(FarmersAuthenticationSourceCreator.gs:XXX</t>
  </si>
  <si>
    <t>EMSG:Legacy BI Limit is not valid or unavailableSTRACE:com.farmers.rating.pa.scenario.transitionpremium.PATransitionDTOMapper.modifyVehicleLevelVariables(PATransitionDTOMapper.gs:XXXSTRACERAW:-</t>
  </si>
  <si>
    <t>EMSG:No policy was found for policy number XXX. Please verify the policy number and try againSTRACE:edge.capabilities.helpers.PolicyUtil.retrievePolicyPeriodByPolicyNumberAndDate(PolicyUtil.gs:XXXSTRACERAW:-</t>
  </si>
  <si>
    <t>EMSG:-STRACE:-STRACERAW:gw.job.ReinstatementEnhancement.startReinstatePolicy(ReinstatementEnhancement.gsx:XXX</t>
  </si>
  <si>
    <t>EMSG:-STRACE:-STRACERAW:java.lang.String.substring(String.java:XXX</t>
  </si>
  <si>
    <t>EMSG:Attempt to access bean of type "PolicyAddlInsured" id=XXX with a null bundleSTRACE:deployment.pc.war//com.guidewire.pl.system.entity.proxy.BeanProxy.checkIsInBundle(BeanProxy.java:XXXSTRACERAW:-</t>
  </si>
  <si>
    <t>EMSG:Database bean version conflict : XXXSTRACE:S at XXX/XXX/XXX XXX:XXX PM. Please cancel and retry your change.
	at deployment.pc.war//com.guidewire.pl.system.database.DatabaseChangedBeanWriter.createConcurrentDataChangeException(DatabaseChangedBeanWriter.java:XXXSTRACERAW:-</t>
  </si>
  <si>
    <t>EMSG:-STRACE:-STRACERAW:java.base/jdk.internal.reflect.NativeMethodAccessorImpl.invokeXXX(Native Method</t>
  </si>
  <si>
    <t>EMSG:-STRACE:-STRACERAW:jdk.internal.reflect.NativeMethodAccessorImpl.invokeXXX(Native Method</t>
  </si>
  <si>
    <t>EMSG:-STRACE:-STRACERAW:sun.nio.fs.UnixException.translateToIOException(UnixException.java:XXX</t>
  </si>
  <si>
    <t>EMSG:-STRACE:edge.capabilities.quote.submission.GatewayQuoteHandler$block_XXX_.invoke(GatewayQuoteHandler.gs:XXXSTRACERAW:-</t>
  </si>
  <si>
    <t>EMSG:Period dates overlap an existing bound periodSTRACE:deployment.pc.war//com.guidewire.pl.system.entity.proxy.EffDatedBranchProxy.checkForOverlapsAndGaps(EffDatedBranchProxy.java:XXXSTRACERAW:-</t>
  </si>
  <si>
    <t>EMSG:Decision Tree Popup to DisplaySTRACE:gw.job.QuoteProcess.requestQuote(QuoteProcess.gs:XXXSTRACERAW:-</t>
  </si>
  <si>
    <t>EMSG:-STRACE:-STRACERAW:org.joda.time.DateTimeUtils.getChronology(DateTimeUtils.java:XXX</t>
  </si>
  <si>
    <t>EMSG:Correct the VIN XXXSTRACE:com.farmers.config.pa.VIN.VINProcess.invokeVINService(VINProcess.gs:XXXSTRACERAW:-</t>
  </si>
  <si>
    <t>EMSG:PolicyCenter Quote is in expired statusSTRACE:com.farmers.config.commonutil.QuoteUtil.handlePolicyPeriodStatus(QuoteUtil.gs:XXXSTRACERAW:-</t>
  </si>
  <si>
    <t>EMSG:Accident Forgiveness coverage cannot be added to this quote. Please remove it and re-rateSTRACE:edge.capabilities.policycommon.coverage.util.CoverageUtil.updateFrom XXXSTRACERAW:-</t>
  </si>
  <si>
    <t>EMSG:Exception while performing the search operation with search criteria Street Number:XXXSTRACE:com.farmers.integ.erti.iso.location.impl.AbstractISOLocationFinder.search(AbstractISOLocationFinder.gs:XXXSTRACERAW:-</t>
  </si>
  <si>
    <t>EMSG:Could not map property VehicleDriver_Ext[]STRACE:deployment.pc.war//gw.internal.xml.gx.GxRuntime.createElement(GxRuntime.java:XXXSTRACERAW:-</t>
  </si>
  <si>
    <t>EMSG:-STRACE:-STRACERAW:java.math.BigDecimal.multiply(BigDecimal.java:XXX</t>
  </si>
  <si>
    <t>EMSG:-STRACE:com.farmers.edge.capabilities.quote.hvq.HighVolumeGatewayQuoteHandler$block_XXX_.invoke(HighVolumeGatewayQuoteHandler.gs:XXXSTRACERAW:-</t>
  </si>
  <si>
    <t>EMSG:-STRACE:-STRACERAW:gw.acc.luw.perf.JobQuoter.processQuoteIssues(JobQuoter.gs:XXX</t>
  </si>
  <si>
    <t>EMSG:-STRACE:com.farmers.integ.erti.iso.location.ISOLocationHelper.getAddressFileData(ISOLocationHelper.gs:XXXSTRACERAW:-</t>
  </si>
  <si>
    <t>EMSG:error:entity.xxxUI-ValidationERRORMessagexxxSTRACE:gw.acc.luw.perf.JobQuoter.processQuoteIssues(JobQuoter.gs:XXXSTRACERAW:-</t>
  </si>
  <si>
    <t>EMSG:-STRACE:-STRACERAW:com.farmers.rating.pa.FarmersPARatingEngine.runStepsByVehInParallel(FarmersPARatingEngine.gs:XXX</t>
  </si>
  <si>
    <t>EMSG:, AOR=XXXSTRACE:java.base/java.math.BigDecimal.multiply(BigDecimal.java:XXXSTRACERAW:-</t>
  </si>
  <si>
    <t>EMSG:-STRACE:-STRACERAW:com.guidewire.commons.metadata.beanpath.BeanPath$Link.&lt;init&gt;(BeanPath.java:XXX</t>
  </si>
  <si>
    <t>EMSG:Slice date XXX outside of range XXX for XXX XXX bean of type PolicyPeriodSTRACE:deployment.pc.war//com.guidewire.pl.system.entity.proxy.EffDatedBaseProxy.getSliceUntyped(EffDatedBaseProxy.java:XXXSTRACERAW:-</t>
  </si>
  <si>
    <t>EMSG:, AOR=XXXSTRACE:com.farmers.chargeability.common.expperiod.impl.AbstractExperiencePeriodsCalculator$block_XXX_.invoke(AbstractExperiencePeriodsCalculator.gs:XXXSTRACERAW:-</t>
  </si>
  <si>
    <t>EMSG:-STRACE:-STRACERAW:com.farmers.chargeability.common.expperiod.impl.AbstractExperiencePeriodsCalculator$block_XXX_.invoke(AbstractExperiencePeriodsCalculator.gs:XXX</t>
  </si>
  <si>
    <t>EMSG:, AOR=XXXSTRACE:com.farmers.config.commonutil.CommonUtil$block_XXX_.invoke(CommonUtil.gs:XXXSTRACERAW:-</t>
  </si>
  <si>
    <t>EMSG:-STRACE:-STRACERAW:com.farmers.config.commonutil.CommonUtil$block_XXX_.invoke(CommonUtil.gs:XXX</t>
  </si>
  <si>
    <t>EMSG:Amount cannot be null.STRACE:deployment.pc.war//com.google.common.base.Preconditions.checkArgument(Preconditions.java:XXXSTRACERAW:-</t>
  </si>
  <si>
    <t>EMSG:, AOR=XXXSTRACE:gw.acc.luw.perf.JobCreationHelper.useParentEffectiveDateOrNot(JobCreationHelper.gs:XXXSTRACERAW:-</t>
  </si>
  <si>
    <t>EMSG:-STRACE:gw.acc.luw.perf.JobCreationHelper.useParentEffectiveDateOrNot(JobCreationHelper.gs:XXXSTRACERAW:-</t>
  </si>
  <si>
    <t>EMSG:LUW Policy Change Job XXX: Invalid QuoteSTRACE:gw.acc.luw.perf.JobQuoter.processQuoteIssues(JobQuoter.gs:XXXSTRACERAW:-</t>
  </si>
  <si>
    <t>EMSG:The value XXX is not formatted correctly for the field "ValuationIDVersion": Exceeds the maximum length of XXX characters (XXX)STRACE:deployment.pc.war//gw.datatype.impl.StringConstraintsHandlerBase.validateStringLength(StringConstraintsHandlerBase.java:XXXSTRACERAW:-</t>
  </si>
  <si>
    <t>EMSG:-STRACE:com.farmers.edge.capabilities.quote.hvq.HighVolumeGatewayQuoteHandler$block_XXX_$block_XXX_.invoke(HighVolumeGatewayQuoteHandler.gs:XXXSTRACERAW:-</t>
  </si>
  <si>
    <t>EMSG:ODSReconciliationProcessor#processPolicyPeriod : Exception Occurred com.guidewire.pl.system.entity.proxy.OneToOneException: Found more than one target of the property XXXSTRACE:com.farmers.integ.batch.odsreconciliation.util.ODSReconciliationProcessor.processPolicyPeriod(ODSReconciliationProcessor.gs:XXXSTRACERAW:-</t>
  </si>
  <si>
    <t>EMSG:java.lang.RuntimeException: java.net.SocketException: Connection resetSTRACE:deployment.pc.war//gw.internal.xml.ws.WsdlPortImpl.invoke(WsdlPortImpl.java:XXXSTRACERAW:-</t>
  </si>
  <si>
    <t>EMSG:, AOR=XXXSTRACE:com.farmers.config.contact.Customer_ExtEnhancement.getSecondaryEnterPriseCacheKey(Customer_ExtEnhancement.gsx:XXXSTRACERAW:-</t>
  </si>
  <si>
    <t>EMSG:Could not deserialize typecode  for typelist typekey.HORoofULRating_ExtSTRACE:edge.servlet.jsonrpc.marshalling.TypeKeyInstantiator.createFromString(TypeKeyInstantiator.gs:XXXSTRACERAW:-</t>
  </si>
  <si>
    <t>EMSG:Rate book code: fsph_co_ratebookSTRACE:deployment.pc.war//com.guidewire.pc.domain.rating.impl.RateBookImpl.getTable(RateBookImpl.java:XXXSTRACERAW:-</t>
  </si>
  <si>
    <t>EMSG:-STRACE:-STRACERAW:gw.web.job.common.PCFHelper_Ext$block_XXX_.invoke(PCFHelper_Ext.gs:XXX</t>
  </si>
  <si>
    <t>EMSG:-STRACE:-STRACERAW:com.farmers.config.common.enhancements.PolicyPeriodEnhancement.policyLineMappingDPJ(PolicyPeriodEnhancement.gsx:XXX</t>
  </si>
  <si>
    <t>EMSG:-STRACE:-STRACERAW:com.guidewire.pl.system.database.entitywriter.TableWriterImpl.throwDBDuplicateKeyException(TableWriterImpl.java:XXX</t>
  </si>
  <si>
    <t>EMSG:-STRACE:-STRACERAW:most one result.  Select statement causing error: Values=[Michigan (typekey</t>
  </si>
  <si>
    <t>EMSG:-STRACE:gw.acc.luw.perf.JobQuoter.processQuoteIssues(JobQuoter.gs:XXXSTRACERAW:-</t>
  </si>
  <si>
    <t>EMSG:Missing required field "Agent Name";STRACE:edge.capabilities.quote.submission.quoting.util.SubmissionUnderwritingIssuesUtil.checkVerifyRateExceptions(SubmissionUnderwritingIssuesUtil.gs:XXXSTRACERAW:-</t>
  </si>
  <si>
    <t>EMSG:Unable to process Policy Detail Inquiry Service ResponseSTRACE:com.farmers.integ.fwsConversion.prefill.FWSConversionHelper.prefillPolicyFromFWS(FWSConversionHelper.gs:XXXSTRACERAW:-</t>
  </si>
  <si>
    <t>EMSG:Unacceptable Risk. Unable to complete the quote. The  property is located in a county that is not eligible for coverage.STRACE:is not eligible for coverage.
	at gw.lob.ho.HODwellingValidation_HOE.validateIneligibleCounty(HODwellingValidation_HOE.gs:XXXSTRACERAW:-</t>
  </si>
  <si>
    <t>EMSG:XXX has exceeded the accident and/or violation threshold for eligibility in this program.STRACE:Ledezma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</si>
  <si>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program.STRACE:Ledezma has exceeded the accident and/or violation threshold for eligibility in this program.
	at gw.job.QuoteProcess.requestQuote(QuoteProcess.gs:XXXSTRACERAW:-</t>
  </si>
  <si>
    <t>EMSG:error trying to execute query of type entity.HOLocation_HOESTRACE:deployment.pc.war//com.guidewire.pl.system.database.entitysource.DatabaseEntitySource.executeQueryAndPopulateBeans(DatabaseEntitySource.java:XXXSTRACERAW:-</t>
  </si>
  <si>
    <t>EMSG:-STRACE:gw.lob.pa.PersonalAutoLineEnhancement.runDiscountforPolicy_Ext(PersonalAutoLineEnhancement.gsx:XXXSTRACERAW:-</t>
  </si>
  <si>
    <t>EMSG:A report shows that the XXXSTRACE:the  XXX FORD FOCUS XXXD SE has been flagged as having Vehicle History activity.
	at edge.capabilities.quote.submission.quoting.util.SubmissionUnderwritingIssuesUtil.checkSideBySideProcessExceptions(SubmissionUnderwritingIssuesUtil.gs:XXXSTRACERAW:-</t>
  </si>
  <si>
    <t>EMSG:A report shows that the XXXSTRACE:the  XXX HYUNDAI ELANTRA XXXD BLUE/GLS/SE has been flagged as having Vehicle History activity.
	at edge.capabilities.quote.submission.quoting.util.SubmissionUnderwritingIssuesUtil.checkSideBySideProcessExceptions(SubmissionUnderwritingIssuesUtil.gs:XXXSTRACERAW:-</t>
  </si>
  <si>
    <t>EMSG:Attempt to access bean of type "HODwellingAddlInt_HOE" id=XXX with a null bundleSTRACE:deployment.pc.war//com.guidewire.pl.system.entity.proxy.BeanProxy.checkIsInBundle(BeanProxy.java:XXXSTRACERAW:-</t>
  </si>
  <si>
    <t>EMSG:Cannot start a Reinstatement with on policy XXX: There is a pending reinstatement transactionSTRACE:deployment.pc.war//com.guidewire.pc.domain.job.impl.JobImpl.checkCanStartJob(JobImpl.java:XXXSTRACERAW:-</t>
  </si>
  <si>
    <t>EMSG:Correct "Business Insurance Policy Number".  An invalid format has been entered.  The Business Insurance policy number must be XXX alphanumeric characters. Ex. GXXX;STRACE:has been entered.  The Business Insurance policy number must be XXX alphanumeric characters. Ex. GXXX;
	at edge.capabilities.quote.submission.quoting.util.SubmissionUnderwritingIssuesUtil.checkVerifyRateExceptions(SubmissionUnderwritingIssuesUtil.gs:XXXSTRACERAW:-</t>
  </si>
  <si>
    <t>EMSG:Duplicate key in XXX has value "XXX".  Column "Retired" has value "XXX".STRACE:deployment.pc.war//com.guidewire.pl.system.database.entitywriter.TableWriterImpl.throwDBDuplicateKeyException(TableWriterImpl.java:XXXSTRACERAW:-</t>
  </si>
  <si>
    <t>EMSG:Internal error: bean entity.AccountLocation:XXX was not staged for edit.STRACE:deployment.pc.war//com.guidewire.pl.system.bundle.EntityBundleImpl.handleBeanChange(EntityBundleImpl.java:XXXSTRACERAW:-</t>
  </si>
  <si>
    <t>EMSG:Invalid Policy Number: XXXSTRACE:com.farmers.edge.capabilities.policycommon.util.PolicyCommonUtil.getPeriod(PolicyCommonUtil.gs:XXXSTRACERAW:-</t>
  </si>
  <si>
    <t>EMSG:Invalid QuoteSTRACE:gw.acc.luw.perf.JobQuoter.processQuoteIssues(JobQuoter.gs:XXXSTRACERAW:-</t>
  </si>
  <si>
    <t>EMSG:One or more null constraint violations detected for HomeownersLine_HOESTRACE:deployment.pc.war//com.guidewire.pl.system.database.entitywriter.DatabaseEntityWriterImpl.checkForNullConstraintViolation(DatabaseEntityWriterImpl.java:XXXSTRACERAW:-</t>
  </si>
  <si>
    <t>EMSG:PAPriorLoss_Ext:XXX deleted from databaseSTRACE:deployment.pc.war//com.guidewire.pl.system.database.entitywriter.DatabaseEntityWriterImpl.writeSingleBeanUpdate(DatabaseEntityWriterImpl.java:XXXSTRACERAW:-</t>
  </si>
  <si>
    <t>EMSG:The value XXX is not formatted correctly for the field "OneWayMiles_Ext": Adjust XXX-Way Miles. Value should be between XXX and XXX.STRACE:deployment.pc.war//com.guidewire.pl.metadata.datatypeXXX.fieldvalidator.FieldValidatorInfo.validateFormat(FieldValidatorInfo.java:XXXSTRACERAW:-</t>
  </si>
  <si>
    <t>EMSG:The value XXX is not formatted correctly for the field "TaxIDInternal": Correct the SSN for TaxIDInternal.  An invalid format has been entered.  The SSN must be XXX numeric digits. Ex. XXXSTRACE:has been entered.  The SSN must be XXX numeric digits. Ex. XXX
	at deployment.pc.war//com.guidewire.pl.metadata.datatypeXXX.fieldvalidator.FieldValidatorInfo.validateFormat(FieldValidatorInfo.java:XXXSTRACERAW:-</t>
  </si>
  <si>
    <t>EMSG:java.lang.IllegalArgumentException: Can't use null slice dateSTRACE:com.farmers.integ.documentmgmt.vipdocument.multilobformgen.transformer.VIPFormGenRequestTransformer.transform(VIPFormGenRequestTransformer.gs:XXXSTRACERAW:-</t>
  </si>
  <si>
    <t>EMSG:-STRACE:-STRACERAW:deployment.ojdbcXXXXXX.XXX.XXX.XXX.XXX.jar//oracle.jdbc.driver.PhysicalConnection.prepareStatementInternal(PhysicalConnection.java:XXX</t>
  </si>
  <si>
    <t>EMSG:-STRACE:-STRACERAW:deployment.pc.war//com.guidewire.pl.system.entity.proxy.EffDatedVersionListImpl.lambda$isNonOverlapping$XXX(EffDatedVersionListImpl.java:XXX</t>
  </si>
  <si>
    <t>EMSG:-STRACE:-STRACERAW:deployment.pc.war//gw.datatype.impl.StringConstraintsHandlerBase.validateStringLength(StringConstraintsHandlerBase.java:XXX</t>
  </si>
  <si>
    <t>EMSG:-STRACE:-STRACERAW:gw.api.web.HtmlUtil.indent(HtmlUtil.java:XXX</t>
  </si>
  <si>
    <t>EMSG:-STRACE:-STRACERAW:gw.internal.xml.gx.GxRuntime.createElement(GxRuntime.java:XXX</t>
  </si>
  <si>
    <t>EMSG:-STRACE:com.farmers.integ.downstream.policytransaction.PolicyTransaction$block_XXX_.invoke(PolicyTransaction.gs:XXXSTRACERAW:-</t>
  </si>
  <si>
    <t>EMSG:Cannot create Windstorm/Hail/Tropical Cyclone Exclusion because it already exists.STRACE:deployment.pc.war//com.guidewire.pc.domain.coverage.impl.CoverableImpl.createExclusion(CoverableImpl.java:XXXSTRACERAW:-</t>
  </si>
  <si>
    <t>EMSG:Correct Loan number. Loan number must be alphanumericSTRACE:edge.capabilities.quote.submission.quoting.util.SubmissionUnderwritingIssuesUtil.checkVerifyRateExceptions(SubmissionUnderwritingIssuesUtil.gs:XXXSTRACERAW:-</t>
  </si>
  <si>
    <t>EMSG:Exception during Rating ExecuteIterationsMultiThreaded : gw.api.rating.RatingException: There is no credit tier for credit peril 'firenonwildfire' and model 'HOF'STRACE:com.farmers.rating.common.flow.iteration.impl.IterationsExecutorImpl$block_XXX_.invoke(IterationsExecutorImpl.gs:XXXSTRACERAW:-</t>
  </si>
  <si>
    <t>EMSG:Policy is not eligible for new Auto Product as driver(s) did not receive a valid Motor Vehicle Record. Drivers without a valid Motor Vehicle Record may be excluded by request in CO.STRACE:gw.job.QuoteProcess.requestQuote(QuoteProcess.gs:XXXSTRACERAW:-</t>
  </si>
  <si>
    <t>EMSG:QuoteId not foundSTRACE:edge.capabilities.quote.submission.GatewayQuoteHandler.verifyRate(GatewayQuoteHandler.gs:XXXSTRACERAW:-</t>
  </si>
  <si>
    <t>EMSG:Richard MartinSTRACE:com.farmers.config.pa.validator.BrightlineValidator.validateQuoteBrightlineRules(BrightlineValidator.gs:XXXSTRACERAW:-</t>
  </si>
  <si>
    <t>EMSG:Richard MartinSTRACE:gw.job.QuoteProcess.requestQuote(QuoteProcess.gs:XXXSTRACERAW:-</t>
  </si>
  <si>
    <t>EMSG:The risk is not eligible for a Farmers policy due to a driver with a financial responsibility filing.STRACE:com.farmers.config.pa.validator.BrightlineValidator.validateQuoteBrightlineRules(BrightlineValidator.gs:XXXSTRACERAW:-</t>
  </si>
  <si>
    <t>EMSG:The value XXX is not formatted correctly for the field "StreetName": Please edit address as only the following special characters are acceptable:   # STRACE:deployment.pc.war//com.guidewire.pl.metadata.datatypeXXX.fieldvalidator.FieldValidatorInfo.validateFormat(FieldValidatorInfo.java:XXXSTRACERAW:-</t>
  </si>
  <si>
    <t>EMSG:Try again later. Locale Score failedSTRACE:com.farmers.integ.tnedicca.vo.TnediccaDataCommitHelper.commitDataAndRaiseExceptionIfAny(TnediccaDataCommitHelper.gs:XXXSTRACERAW:-</t>
  </si>
  <si>
    <t>EMSG:Update Primary Use for vehicles with XXXSTRACE:least one vehicle. Since the number of vehicles is greater than the number of drivers, each driver must be a Primary Driver on at least one vehicle.
	at com.farmers.lob.pa.driverassignment.DriverAssignment.validateData(DriverAssignment.gs:XXXSTRACERAW:-</t>
  </si>
  <si>
    <t>EMSG:java.lang.reflect.UndeclaredThrowableExceptionSTRACE:com.farmers.integ.documentmgmt.ondemand.autoformgeneration.transformer.AutoOnDemandFormGenRequestTransformer.transform(AutoOnDemandFormGenRequestTransformer.gs:XXXSTRACERAW:-</t>
  </si>
  <si>
    <t>EMSG:'Unable to parse XML from xml string using schemas [com.farmers.integ.documentmgmt.ondemand.wsc.autoondemand.autoondemandformgenerationschema] and schema root com.farmers.integ.documentmgmt.ondemand.wsc.autoondemand.autoondemandformgenerationschema.GetAutoDocumentResponse at line XXX column XXX'STRACE:line XXX column XXX'
	at com.farmers.integ.framework.service.rest.RestServiceAdapter.invokeService(RestServiceAdapter.gs:XXXSTRACERAW:-</t>
  </si>
  <si>
    <t>EMSG:, AOR=XXXSTRACE:com.farmers.config.ho.dwelling.propertyvaluation.process.HOPropertyValuationProcess$block_XXX_.invoke(HOPropertyValuationProcess.gs:XXXSTRACERAW:-</t>
  </si>
  <si>
    <t>EMSG:, AOR=XXXSTRACE:com.farmers.rating.pa.prerating.signalcode.impl.PASignalCodeCalculatorImplVXXX.calculateSignalFactors(PASignalCodeCalculatorImplVXXX.gs:XXXSTRACERAW:-</t>
  </si>
  <si>
    <t>EMSG:, AOR=XXXSTRACE:gw.lob.ho.HODwellingValidation_HOE.checkInvalidReasonForCatMit_EXT(HODwellingValidation_HOE.gs:XXXSTRACERAW:-</t>
  </si>
  <si>
    <t>EMSG:-STRACE:-STRACERAW:Dec XXX XXX:XXX:XXX PST XXX (attempted merging values Homeowners Line and Homeowners Line</t>
  </si>
  <si>
    <t>EMSG:-STRACE:-STRACERAW:Feb XXX XXX:XXX:XXX PST XXX (attempted merging values Personal Auto Line and Personal Auto Line</t>
  </si>
  <si>
    <t>EMSG:-STRACE:-STRACERAW:com.farmers.config.common.credit.ho.HOCreditScoreProcess.invokeService(HOCreditScoreProcess.gs:XXX</t>
  </si>
  <si>
    <t>EMSG:-STRACE:-STRACERAW:com.guidewire.pl.system.database.DistributedKeyRangeAllocator.runWithinTransactionInOtherThread(DistributedKeyRangeAllocator.java:XXX</t>
  </si>
  <si>
    <t>EMSG:-STRACE:-STRACERAW:gw.internal.gosu.ir.transform.expression.TypeAsTransformer.coerceValue(TypeAsTransformer.java:XXX</t>
  </si>
  <si>
    <t>EMSG:-STRACE:-STRACERAW:gw.web.line.pa.policy.PADriversPanelSetUIHelper.setSignlaphoneValueOnDriverFirstEnter(PADriversPanelSetUIHelper.gs:XXX</t>
  </si>
  <si>
    <t>EMSG:-STRACE:-STRACERAW:gwservices.pc.dm.api.FarmersPolicyRenewalOverride.startConversionRenewalWithBasedOn(FarmersPolicyRenewalOverride.gs:XXX</t>
  </si>
  <si>
    <t>EMSG:-STRACE:-STRACERAW:pcfc.expressions.HODwellingLocationHOEInputSetExpressions$HODwellingLocationHOEInputSetExpressionsImpl.editable_XXX(HODwellingLocationHOEInputSetExpressions.gs:XXX</t>
  </si>
  <si>
    <t>EMSG:-STRACE:com.farmers.integ.downstream.policytransaction.BranchOrderHelper$block_XXX_$block_XXX_.invoke(BranchOrderHelper.gs:XXXSTRACERAW:-</t>
  </si>
  <si>
    <t>EMSG:-STRACE:com.farmers.integ.downstream.policytransaction.PolicyTransactionReprints.buildSubmissionMessage(PolicyTransactionReprints.gs:XXXSTRACERAW:-</t>
  </si>
  <si>
    <t>EMSG:-STRACE:deployment.pc.war//com.guidewire.pl.system.bundle.BundleChanges.isElementOf(BundleChanges.java:XXXSTRACERAW:-</t>
  </si>
  <si>
    <t>EMSG:A report shows that the XXXSTRACE:the  XXX CHEVROLET TRUCK EQUINOX XXXD XXXWD XXXLT has been flagged as having Vehicle History activity.
	at edge.capabilities.quote.submission.quoting.util.SubmissionUnderwritingIssuesUtil.checkSideBySideProcessExceptions(SubmissionUnderwritingIssuesUtil.gs:XXXSTRACERAW:-</t>
  </si>
  <si>
    <t>EMSG:Age Lic in US/CAN : Missing required field 'Age Lic in US/CAN'STRACE:edge.capabilities.quote.submission.quoting.util.SubmissionUnderwritingIssuesUtil.checkSideBySideProcessExceptions(SubmissionUnderwritingIssuesUtil.gs:XXXSTRACERAW:-</t>
  </si>
  <si>
    <t>EMSG:Attempt to remove required coverage for pattern Uninsured Motorist Election  Pattern nullSTRACE:edge.capabilities.policycommon.coverage.util.CoverageUtil.updateFrom XXXSTRACERAW:-</t>
  </si>
  <si>
    <t>EMSG:Could not deserialize typecode  for typelist typekey.HONumOfUnitsStructure_ExtSTRACE:edge.servlet.jsonrpc.marshalling.TypeKeyInstantiator.createFromString(TypeKeyInstantiator.gs:XXXSTRACERAW:-</t>
  </si>
  <si>
    <t>EMSG:Decrease the Deductible. Deductible must be less than the Personal Property coverage.STRACE:edge.capabilities.quote.submission.quoting.util.SubmissionUnderwritingIssuesUtil.checkSideBySideProcessExceptions(SubmissionUnderwritingIssuesUtil.gs:XXXSTRACERAW:-</t>
  </si>
  <si>
    <t>EMSG:Failed to execute an updateSTRACE:deployment.pc.war//com.guidewire.pl.system.transaction.ConnectionHandler.newDbException(ConnectionHandler.java:XXXSTRACERAW:-</t>
  </si>
  <si>
    <t>EMSG:Index XXX out of bounds for length XXXSTRACE:java.base/java.util.ArrayList.add(ArrayList.java:XXXSTRACERAW:-</t>
  </si>
  <si>
    <t>EMSG:One or more null constraint violations detected for EffectiveDatedFieldsSTRACE:deployment.pc.war//com.guidewire.pl.system.database.entitywriter.DatabaseEntityWriterImpl.checkForNullConstraintViolation(DatabaseEntityWriterImpl.java:XXXSTRACERAW:-</t>
  </si>
  <si>
    <t>EMSG:Slice date XXX outside of range XXX for XXX XXX bean of type Infraction_ExtSTRACE:deployment.pc.war//com.guidewire.pl.system.entity.proxy.EffDatedBaseProxy.getSliceUntyped(EffDatedBaseProxy.java:XXXSTRACERAW:-</t>
  </si>
  <si>
    <t>EMSG:Slice date XXX outside of range XXX for XXX XXX bean of type ULPolicy_PUESTRACE:Aug XXX XXX:XXX:XXX PDT XXX outside of range [Sat Aug XXX XXX:XXX:XXX PDT XXX - Sat Aug XXX XXX:XXX:XXX PDT XXX] for bean of type ULPolicy_PUE
	at deployment.pc.war//com.guidewire.pl.system.entity.proxy.EffDatedBaseProxy.getSliceUntyped(EffDatedBaseProxy.java:XXXSTRACERAW:-</t>
  </si>
  <si>
    <t>EMSG:The number of value names doesn't match the number of values foundSTRACE:gw.acc.batch.inbound.InboundBatchUtils.getPayloadValueMapDelimiter(InboundBatchUtils.gs:XXXSTRACERAW:-</t>
  </si>
  <si>
    <t>EMSG:Try again tomorrow. Cancellation is pendingSTRACE:this time.
	at com.farmers.billing.dao.BillingInformationProcessor.validateNOCorServiceFailure(BillingInformationProcessor.gs:XXXSTRACERAW:-</t>
  </si>
  <si>
    <t>EMSG:Unable to determine chargeability for loss.  Please ensure correctness of chargeability table 'ho_chargeability' EligibleForChargeability: true OriginalLossPeril: WNH ChargeabilityLossPeril: WNH FarmersLossInd: true MatchCode: IL ActuallyChargeable: false IncidentDate: XXXXXXXXXSTRACE:com.farmers.chargeability.ho.periltype.impl.PerilTypeCalculatorImplVXXX.queryChargeability(PerilTypeCalculatorImplVXXX.gs:XXXSTRACERAW:-</t>
  </si>
  <si>
    <t>EMSG:Update XXX for Driver XXXSTRACE:edge.capabilities.quote.submission.quoting.util.SubmissionUnderwritingIssuesUtil.checkSideBySideProcessExceptions(SubmissionUnderwritingIssuesUtil.gs:XXXSTRACERAW:-</t>
  </si>
  <si>
    <t>EMSG:Validate mortgagee information and retry.  Mortgagee code creation was not successful. STRACE:com.farmers.config.ho.thirdparty.process.HOMortgageeProcess.displayServiceException(HOMortgageeProcess.gs:XXXSTRACERAW:-</t>
  </si>
  <si>
    <t>EMSG:Your acknowledgment that you provided the credit disclosure (where applicable) and the applicantâ€™s response to the consent questions are required to proceed with the submission processSTRACE:you provided the credit disclosure (where applicableSTRACERAW:-</t>
  </si>
  <si>
    <t>EMSG:[XXX] Cannot load a temporary id from the backing entity source: ContingencyPatDetails_Ext:XXXSTRACE:deployment.pc.war//com.guidewire.pl.system.bundle.EntityBundleImpl.loadBean(EntityBundleImpl.java:XXXSTRACERAW:-</t>
  </si>
  <si>
    <t>EMSG:'Unable to parse XML from xml string using schemas [com.farmers.integ.documentmgmt.ondemand.wsc.autoondemand.autoondemandformgenerationschema] and schema root com.farmers.integ.documentmgmt.ondemand.wsc.autoondemand.autoondemandformgenerationschema.GetAutoDocumentResponse at line XXX column XXX'STRACE:line XXX column XXX'
	at deployment.pc.war//gw.xml.XmlElementInternalsImpl.parse(XmlElementInternalsImpl.java:XXXSTRACERAW:-</t>
  </si>
  <si>
    <t>EMSG:, AOR=XXXSTRACE:com.farmers.config.account.AccountEnhancement$block_XXX_.invoke(AccountEnhancement.gsx:XXXSTRACERAW:-</t>
  </si>
  <si>
    <t>EMSG:, AOR=XXXSTRACE:deployment.pc.war//com.guidewire.pl.system.entity.proxy.EffDatedVersionListImpl.getBundle(EffDatedVersionListImpl.java:XXXSTRACERAW:-</t>
  </si>
  <si>
    <t>EMSG:, AOR=XXXSTRACE:deployment.pc.war//com.guidewire.pl.system.entity.proxy.FastCompareDate.after(FastCompareDate.java:XXXSTRACERAW:-</t>
  </si>
  <si>
    <t>EMSG:-STRACE:-STRACERAW:com.farmers.config.common.credit.pa.PACreditScoreProcess.invokeService(PACreditScoreProcess.gs:XXX</t>
  </si>
  <si>
    <t>EMSG:-STRACE:-STRACERAW:com.farmers.config.pa.helper.PADriverHelper.defaultDriverSignalEnrollInd(PADriverHelper.gs:XXX</t>
  </si>
  <si>
    <t>EMSG:-STRACE:-STRACERAW:com.farmers.config.pa.helper.PAPriorCarrierHelper.updateMonthsBristolWest(PAPriorCarrierHelper.gs:XXX</t>
  </si>
  <si>
    <t>EMSG:-STRACE:-STRACERAW:com.farmers.config.pup.validator.PUPLiabilityValidationHelper$block_XXX_.invoke(PUPLiabilityValidationHelper.gs:XXX</t>
  </si>
  <si>
    <t>EMSG:-STRACE:-STRACERAW:com.farmers.premiumoptions.impl.HOPremiumOptionsProcess.getHighDeductibleOptions(HOPremiumOptionsProcess.gs:XXX</t>
  </si>
  <si>
    <t>EMSG:-STRACE:-STRACERAW:com.guidewire.pl.persistence.code.TypeKeyInternalAccess.getInternalInterface(TypeKeyInternalAccess.java:XXX</t>
  </si>
  <si>
    <t>EMSG:-STRACE:-STRACERAW:com.guidewire.pl.web.navigation.ExitPoint.getTitle(ExitPoint.java:XXX</t>
  </si>
  <si>
    <t>EMSG:-STRACE:-STRACERAW:com.guidewire.pl.web.navigation.screen.CenterPanelRenderer.&lt;init&gt;(CenterPanelRenderer.java:XXX</t>
  </si>
  <si>
    <t>EMSG:-STRACE:-STRACERAW:com.guidewire.pl.web.value.TextValueWidget.throwUserDisplayableException(TextValueWidget.java:XXX</t>
  </si>
  <si>
    <t>EMSG:-STRACE:-STRACERAW:invoke (line: XXX, column: XXX</t>
  </si>
  <si>
    <t>EMSG:-STRACE:-STRACERAW:java.lang.Integer.compareTo(Integer.java:XXX</t>
  </si>
  <si>
    <t>EMSG:-STRACE:-STRACERAW:pcfc.expressions.PolicyFile_PricingExpressions$PolicyFile_PricingExpressionsImpl.visible_XXX(PolicyFile_PricingExpressions.gs:XXX</t>
  </si>
  <si>
    <t>EMSG:-STRACE:-STRACERAW:pcfc.expressions.RatingCumulDetailsPanelSet_PersonalAutoLineExpressions$RatingCumulDetailsPanelSetExpressionsImpl.value_XXX(RatingCumulDetailsPanelSet_PersonalAutoLineExpressions.gs:XXX</t>
  </si>
  <si>
    <t>EMSG:-STRACE:com.farmers.config.pup.policyrefresh.ruleengine.PUPAutomaticUpdater.createAllActivity(PUPAutomaticUpdater.gs:XXXSTRACERAW:-</t>
  </si>
  <si>
    <t>EMSG:-STRACE:com.farmers.integ.erti.iso.location.ISOLocationHelper.checkDistanceToFireStation(ISOLocationHelper.gs:XXXSTRACERAW:-</t>
  </si>
  <si>
    <t>EMSG:Address Standardization service is down. Please try later.STRACE:com.farmers.config.ho.dwelling.location.process.HOLocationProcess.getLocationDetails(HOLocationProcess.gs:XXXSTRACERAW:-</t>
  </si>
  <si>
    <t>EMSG:Attempt to access bean of type "EligiblePayPlans_Ext" id=XXX with a null bundleSTRACE:deployment.pc.war//com.guidewire.pl.system.entity.proxy.BeanProxy.checkIsInBundle(BeanProxy.java:XXXSTRACERAW:-</t>
  </si>
  <si>
    <t>EMSG:Create a new submission. Policy is not eligible for Reinstatement as  one or more policy(s) of PNI/Spouse have been cancelled due to non pay.STRACE:gw.job.QuoteProcess.requestQuote(QuoteProcess.gs:XXXSTRACERAW:-</t>
  </si>
  <si>
    <t>EMSG:Database bean version conflict : XXXSTRACE:com.farmers.config.common.credit.pa.PACreditScoreProcess.invokeService(PACreditScoreProcess.gs:XXXSTRACERAW:-</t>
  </si>
  <si>
    <t>EMSG:Donald JexSTRACE:com.farmers.config.pa.validator.BrightlineValidator.validateQuoteBrightlineRules(BrightlineValidator.gs:XXXSTRACERAW:-</t>
  </si>
  <si>
    <t>EMSG:Donald JexSTRACE:gw.job.QuoteProcess.requestQuote(QuoteProcess.gs:XXXSTRACERAW:-</t>
  </si>
  <si>
    <t>EMSG:Duplicate key in XXX has value "XXX".  Column "ProducerCodeID" has value "XXX".  Column "RoleID" has value "XXX".STRACE:deployment.pc.war//com.guidewire.pl.system.database.entitywriter.TableWriterImpl.throwDBDuplicateKeyException(TableWriterImpl.java:XXXSTRACERAW:-</t>
  </si>
  <si>
    <t>EMSG:Duplicate key in XXX has value "XXX".  Column "Retired" has value "XXX".  Column "Subtype" has value "NamedInsured".STRACE:deployment.pc.war//com.guidewire.pl.system.database.entitywriter.TableWriterImpl.throwDBDuplicateKeyException(TableWriterImpl.java:XXXSTRACERAW:-</t>
  </si>
  <si>
    <t>EMSG:Effective ranges overlap for ReportOrderedPerson_Ext with BranchID XXX and with FixedID XXXSTRACE:deployment.pc.war//com.guidewire.pl.system.entity.proxy.EffDatedBeanProxy.checkForOverlaps(EffDatedBeanProxy.java:XXXSTRACERAW:-</t>
  </si>
  <si>
    <t>EMSG:Exception during Rating ExecuteIterationsMultiThreaded : gw.api.rating.RatingException: There is no bi code in the table 'pa_pi_bi_codes' for null BI limitsSTRACE:com.farmers.rating.common.flow.iteration.impl.IterationsExecutorImpl$block_XXX_.invoke(IterationsExecutorImpl.gs:XXXSTRACERAW:-</t>
  </si>
  <si>
    <t>EMSG:Exception while retrieving distance to fire station from Address file for zip :XXXXXXSTRACE:com.farmers.integ.erti.iso.location.impl.PPCISOLocationFinder.checkDistanceToFireStation(PPCISOLocationFinder.gs:XXXSTRACERAW:-</t>
  </si>
  <si>
    <t>EMSG:Failed to close the connectionSTRACE:deployment.pc.war//com.guidewire.pc.system.lookuptables.LookupTableManagerImpl$LRUCache.get(LookupTableManagerImpl.java:XXXSTRACERAW:-</t>
  </si>
  <si>
    <t>EMSG:For eligible contact XXX insight score is null. Please make sure insight is orderedSTRACE:com.farmers.config.common.credit.CreditScoreHelper.populateInsightScore(CreditScoreHelper.gs:XXXSTRACERAW:-</t>
  </si>
  <si>
    <t>EMSG:Illegal value for keySTRACE:deployment.pc.war//com.guidewire.pl.system.database.impl.DBRestriction.compare(DBRestriction.java:XXXSTRACERAW:-</t>
  </si>
  <si>
    <t>EMSG:Multiple onsetting costs with same cost key (BillGroup:nullSTRACE:Mar XXX XXX:XXX:XXX PST XXX
  Cost Additional Residence Coverage (cost:XXXSTRACERAW:-</t>
  </si>
  <si>
    <t>EMSG:Multiple onsetting costs with same cost key (BillGroup:nullSTRACE:Oct XXX XXX:XXX:XXX PDT XXX
  Cost Additional Residence Coverage (cost:XXXSTRACERAW:-</t>
  </si>
  <si>
    <t>EMSG:One or more null constraint violations detected for AutoNumberSequenceSTRACE:deployment.pc.war//com.guidewire.pl.system.database.entitywriter.DatabaseEntityWriterImpl.checkForNullConstraintViolation(DatabaseEntityWriterImpl.java:XXXSTRACERAW:-</t>
  </si>
  <si>
    <t>EMSG:One or more null constraint violations detected for Dwelling_HOESTRACE:deployment.pc.war//com.guidewire.pl.system.database.entitywriter.DatabaseEntityWriterImpl.checkForNullConstraintViolation(DatabaseEntityWriterImpl.java:XXXSTRACERAW:-</t>
  </si>
  <si>
    <t>EMSG:One or more null constraint violations detected for PolicySTRACE:deployment.pc.war//com.guidewire.pl.system.database.entitywriter.DatabaseEntityWriterImpl.checkForNullConstraintViolation(DatabaseEntityWriterImpl.java:XXXSTRACERAW:-</t>
  </si>
  <si>
    <t>EMSG:One or more null constraint violations detected for PolicySecNamedInsuredSTRACE:deployment.pc.war//com.guidewire.pl.system.database.entitywriter.DatabaseEntityWriterImpl.checkForNullConstraintViolation(DatabaseEntityWriterImpl.java:XXXSTRACERAW:-</t>
  </si>
  <si>
    <t>EMSG:Policy is not eligible for new Auto Product due to a driver's Suspended license status. Add Financial Responsibility Filing or Exclude Driver to proceed further.STRACE:com.farmers.config.pa.validator.BrightlineValidator.validateQuoteBrightlineRules(BrightlineValidator.gs:XXXSTRACERAW:-</t>
  </si>
  <si>
    <t>EMSG:Policy is not eligible for new Auto Product due to driver(s) with unacceptable license status. Drivers with an unacceptable license status may be excluded by request in CO.STRACE:gw.job.QuoteProcess.requestQuote(QuoteProcess.gs:XXXSTRACERAW:-</t>
  </si>
  <si>
    <t>EMSG:PolicyNumber Mismatch With Existing ClaimSTRACE:com.farmers.integ.claims.cltf.validator.ClaimValidator.checkForPolicyData(ClaimValidator.gs:XXXSTRACERAW:-</t>
  </si>
  <si>
    <t>EMSG:The value "JOHN A. MEYERS AND MARY KLEIN MEYERSSTRACE:deployment.pc.war//gw.datatype.impl.StringConstraintsHandlerBase.validateStringLength(StringConstraintsHandlerBase.java:XXXSTRACERAW:-</t>
  </si>
  <si>
    <t>EMSG:The value "LEO M RONCES AND ALMA A RONCESSTRACE:deployment.pc.war//gw.datatype.impl.StringConstraintsHandlerBase.validateStringLength(StringConstraintsHandlerBase.java:XXXSTRACERAW:-</t>
  </si>
  <si>
    <t>EMSG:The value XXX is not formatted correctly for the field "StName_ExtInternal": Exceeds the maximum length of XXX characters (XXX)STRACE:deployment.pc.war//gw.datatype.impl.StringConstraintsHandlerBase.validateStringLength(StringConstraintsHandlerBase.java:XXXSTRACERAW:-</t>
  </si>
  <si>
    <t>EMSG:The value XXX is not formatted correctly for the field "TaxID": Correct the SSN for TaxID.  An invalid format has been entered.  The SSN must be XXX numeric digits. Ex. XXXSTRACE:has been entered.  The SSN must be XXX numeric digits. Ex. XXX
	at deployment.pc.war//com.guidewire.pl.metadata.datatypeXXX.fieldvalidator.FieldValidatorInfo.validateFormat(FieldValidatorInfo.java:XXXSTRACERAW:-</t>
  </si>
  <si>
    <t>EMSG:TypeCode Not Found in PC for [AccidentShortCodeXXX]STRACE:com.farmers.integ.claims.cltf.validator.ClaimValidator.checkForPolicyData(ClaimValidator.gs:XXXSTRACERAW:-</t>
  </si>
  <si>
    <t>EMSG:Unsupported policy line for ratingSTRACE:com.farmers.rating.common.util.PeriodRatingEnhancement.getCurrentPolicyLineForRating_Ext(PeriodRatingEnhancement.gsx:XXXSTRACERAW:-</t>
  </si>
  <si>
    <t>EMSG:[BUSINESS_ERROR::Agent not available anamXXX]STRACE:com.farmers.edge.capabilities.communitymodel.checkgrantaccess.processor.CheckGrantAccessProcessor.processGrantAccess(CheckGrantAccessProcessor.gs:XXXSTRACERAW:-</t>
  </si>
  <si>
    <t>EMSG:com.guidewire.pl.metadata.datatypeXXX.PLDataTypeException: The value XXX is not formatted correctly for the field "StName_ExtInternal": Exceeds the maximum length of XXX characters (XXX)STRACE:com.farmers.edge.capabilities.quote.submission.lob.homeowners.locationReport.plugin.LocationReportPlugin.addOrUpdatePolicyLocation(LocationReportPlugin.gs:XXXSTRACERAW:-</t>
  </si>
  <si>
    <t>EMSG:java.lang.IllegalStateException: Attempt to access bean of type "Contingency" id=XXX with a null bundleSTRACE:deployment.pc.war//com.guidewire.pl.web.widget.Widget.getVisibleValue(Widget.java:XXXSTRACERAW:-</t>
  </si>
  <si>
    <t>EMSG:The value XXX is not formatted correctly for the field "RoofingUpgradeDate": RoofingUpgradeDate must be a four-digit year between XXX and XXXSTRACE:deployment.pc.war//com.guidewire.pl.metadata.datatypeXXX.fieldvalidator.FieldValidatorInfo.validateFormat(FieldValidatorInfo.java:XXXSTRACERAW:-</t>
  </si>
  <si>
    <t>EMSG:-STRACE:-STRACERAW:com.farmers.integ.batch.mvrreport.inbound.plugin.MVRLNInboundBatchImpl.processRecord(MVRLNInboundBatchImpl.gs:XXX</t>
  </si>
  <si>
    <t>EMSG:No Updates RequiredSTRACE:com.farmers.integ.batch.lienholder.util.AutoLienBatchWrapper.processChngCrctnAcqstnForBlankLSType(AutoLienBatchWrapper.gs:XXXSTRACERAW:-</t>
  </si>
  <si>
    <t>EMSG:, AOR=XXXSTRACE:-STRACERAW:Jan XXX XXX:XXX:XXX PST XXX, MSG=Unable to Add Mortgagee.(EXXX</t>
  </si>
  <si>
    <t>EMSG:Personal Vehicle:XXX deleted from databaseSTRACE:deployment.pc.war//com.guidewire.pl.system.database.entitywriter.DatabaseEntityWriterImpl.writeSingleBeanUpdate(DatabaseEntityWriterImpl.java:XXXSTRACERAW:-</t>
  </si>
  <si>
    <t>EMSG:, AOR=XXXSTRACE:com.farmers.billing.dao.PayPlanAnalyzer$block_XXX_$block_XXX_.invoke(PayPlanAnalyzer.gs:XXXSTRACERAW:-</t>
  </si>
  <si>
    <t>EMSG:, AOR=XXXSTRACE:deployment.pc.war//com.guidewire.pl.system.transaction.ConnectionHandler.newDbException(ConnectionHandler.java:XXXSTRACERAW:-</t>
  </si>
  <si>
    <t>EMSG:-STRACE:-STRACERAW:Jan XXX XXX:XXX:XXX PST XXX, MSG="org.mule.weave.vXXX.core.exception.WriterExecutionException: Trying to write END_DOCUMENT when document has no root (ie. trying to output empty document</t>
  </si>
  <si>
    <t>EMSG:-STRACE:-STRACERAW:com.farmers.billing.dao.PayPlanAnalyzer$block_XXX_$block_XXX_.invoke(PayPlanAnalyzer.gs:XXX</t>
  </si>
  <si>
    <t>EMSG:Could not map property (entity-PolicyDriver).DriverSignal_Ext.SendUpdateToSignalVendorSTRACE:deployment.pc.war//gw.internal.xml.gx.GxRuntime.createElement(GxRuntime.java:XXXSTRACERAW:-</t>
  </si>
  <si>
    <t>EMSG:For eligible contact Gary Withers credit score is null. Please make sure credit is orderedSTRACE:com.farmers.config.common.credit.CreditScoreHelper.populateRatingCreditDTO(CreditScoreHelper.gs:XXXSTRACERAW:-</t>
  </si>
  <si>
    <t>EMSG:-STRACE:-STRACERAW:[Source: UNKNOWN; byte offset: #UNKNOWN] (through reference chain: edge.capabilities.quote.submission.dto.QuoteDataDTO["lobData"]-&gt;edge.capabilities.policyjob.lob.personalauto.dto.PaLobDataDTO["coverables"]-&gt;edge.capabilities.policyjob.lob.personalauto.coverables.dto.PaCoverablesDTO["drivers"]-&gt;java.lang.Object[][XXX]-&gt;edge.capabilities.policyjob.lob.personalauto.coverables.dto.DriverDTO["person"]-&gt;edge.capabilities.policyjob.helper.person.dto.PersonDTO["dateOfBirth"]-&gt;edge.time.LocalDateDTO["year"]</t>
  </si>
  <si>
    <t>EMSG:A report shows that the XXXSTRACE:the  XXX NISSAN ALTIMA XXX DOOR XXX.XXX has been flagged as having Vehicle History activity.
	at edge.capabilities.quote.submission.quoting.util.SubmissionUnderwritingIssuesUtil.checkSideBySideProcessExceptions(SubmissionUnderwritingIssuesUtil.gs:XXXSTRACERAW:-</t>
  </si>
  <si>
    <t>EMSG:Click on Get Location Reports to refresh.  Location data is out of date.;STRACE:edge.capabilities.quote.submission.quoting.util.SubmissionUnderwritingIssuesUtil.checkVerifyRateExceptions(SubmissionUnderwritingIssuesUtil.gs:XXXSTRACERAW:-</t>
  </si>
  <si>
    <t>EMSG:, AOR=XXXSTRACE:-STRACERAW:Jan XXX XXX:XXX:XXX PST XXX, MSG=Contact Service Operations for assistance at (XXX</t>
  </si>
  <si>
    <t>EMSG:, AOR=XXXSTRACE:com.farmers.config.ho.enhancement.PolicyPeriodEnhancement.getCoverageBAmount(PolicyPeriodEnhancement.gsx:XXXSTRACERAW:-</t>
  </si>
  <si>
    <t>EMSG:-STRACE:-STRACERAW:pcfc.expressions.JobWizardToolbarButtonSet_RenewalExpressions$JobWizardToolbarButtonSetExpressionsImpl.initialValue_XXX(JobWizardToolbarButtonSet_RenewalExpressions.gs:XXX</t>
  </si>
  <si>
    <t>EMSG:Add Collision or Comprehensive coverage to Vehicle XXXSTRACE:edge.capabilities.quote.submission.quoting.util.SubmissionUnderwritingIssuesUtil.checkSideBySideProcessExceptions(SubmissionUnderwritingIssuesUtil.gs:XXXSTRACERAW:-</t>
  </si>
  <si>
    <t>EMSG:Exception during Rating ExecuteIterationsMultiThreaded : com.guidewire.pl.system.exception.DBException: Failed to execute a querySTRACE:com.farmers.rating.common.flow.iteration.impl.IterationsExecutorImpl$block_XXX_.invoke(IterationsExecutorImpl.gs:XXXSTRACERAW:-</t>
  </si>
  <si>
    <t>EMSG:Unable to retrieve Mortgagee details for code - XXXNXXXJSTRACE:com.farmers.edge.capabilities.quote.mortgagee.MortgageePlugin$block_XXX_.invoke(MortgageePlugin.gs:XXXSTRACERAW:-</t>
  </si>
  <si>
    <t>EMSG:com.guidewire.pl.system.entity.proxy.EffDatedVersionListOverlapException: HomeownersLine_HOE with FixedID:XXX and window XXXSTRACE:com.farmers.integ.framework.service.rest.RestServiceAdapter.invokeService(RestServiceAdapter.gs:XXXSTRACERAW:-</t>
  </si>
  <si>
    <t>EMSG:com.guidewire.pl.system.exception.DBException: Failed to execute a querySTRACE:gw.rating.flow.domain.CalcRoutine.executeRoutine(CalcRoutine.gs:XXXSTRACERAW:-</t>
  </si>
  <si>
    <t>EMSG:java.lang.RuntimeException: java.net.SocketException: Connection reset by peer (Write failed)STRACE:deployment.pc.war//gw.internal.xml.ws.WsdlPortImpl.invoke(WsdlPortImpl.java:XXXSTRACERAW:-</t>
  </si>
  <si>
    <t>EMSG:, AOR=XXXSTRACE:com.farmers.integ.fwsConversion.prefill.FWSConversionAutoPoliciesProcessor.updateContactData(FWSConversionAutoPoliciesProcessor.gs:XXXSTRACERAW:-</t>
  </si>
  <si>
    <t>EMSG:-STRACE:-STRACERAW:gwservices.pc.dm.gxmig.shared.product.AbstractCovTermPopulator.populateCovTerm(AbstractCovTermPopulator.gs:XXX</t>
  </si>
  <si>
    <t>EMSG:ANTWONE ROMEROSTRACE:com.farmers.config.pa.validator.BrightlineValidator.validateQuoteBrightlineRules(BrightlineValidator.gs:XXXSTRACERAW:-</t>
  </si>
  <si>
    <t>EMSG:ANTWONE ROMEROSTRACE:gw.job.QuoteProcess.requestQuote(QuoteProcess.gs:XXXSTRACERAW:-</t>
  </si>
  <si>
    <t>EMSG:Could not deserialize typecode  for typelist typekey.StateSTRACE:edge.servlet.jsonrpc.marshalling.TypeKeyInstantiator.createFromString(TypeKeyInstantiator.gs:XXXSTRACERAW:-</t>
  </si>
  <si>
    <t>EMSG:Database bean version conflict : XXXSTRACE:Dat Nguyen at XXX/XXX/XXX XXX:XXX PM. Please cancel and retry your change.
	at deployment.pc.war//com.guidewire.pl.system.database.DatabaseChangedBeanWriter.createConcurrentDataChangeException(DatabaseChangedBeanWriter.java:XXXSTRACERAW:-</t>
  </si>
  <si>
    <t>EMSG:Dwelling at XXXSTRACE:XXX N El Adobe Dr, Fresno, CA: XXX% Limit on Loss of Use is no longer available and has been removed. Please enter a new value.
	at gw.api.extension.PCExtensionInterfacesMapper$block_XXX_.invoke(PCExtensionInterfacesMapper.gs:XXXSTRACERAW:-</t>
  </si>
  <si>
    <t>EMSG:One or more null constraint violations detected for HistorySTRACE:deployment.pc.war//com.guidewire.pl.system.database.entitywriter.DatabaseEntityWriterImpl.checkForNullConstraintViolation(DatabaseEntityWriterImpl.java:XXXSTRACERAW:-</t>
  </si>
  <si>
    <t>EMSG:Robert SlaterSTRACE:com.farmers.config.pa.validator.BrightlineValidator.validateQuoteBrightlineRules(BrightlineValidator.gs:XXXSTRACERAW:-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</si>
  <si>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TESLA MODEL XXX EV XXXD XXXWD. Primary Driver should be an Active Driver.
	at com.farmers.lob.pa.driverassignment.DriverAssignment.validateData(DriverAssignment.gs:XXXSTRACERAW:-</t>
  </si>
  <si>
    <t>EMSG:, AOR=XXXSTRACE:gw.assignment.JobAssignmentEnhancement.assignProducer(JobAssignmentEnhancement.gsx:XXXSTRACERAW:-</t>
  </si>
  <si>
    <t>EMSG:-STRACE:-STRACERAW:com.guidewire.pl.system.database.impl.DBRestriction.compare(DBRestriction.java:XXX</t>
  </si>
  <si>
    <t>EMSG:-STRACE:-STRACERAW:gw.lang.enhancements.CoreIterableEnhancement.singleWhere(CoreIterableEnhancement.gsx:XXX</t>
  </si>
  <si>
    <t>EMSG:-STRACE:-STRACERAW:gw.plugin.email.impl.JavaxEmailMessageTransport.addAttachments(JavaxEmailMessageTransport.gs:XXX</t>
  </si>
  <si>
    <t>EMSG:-STRACE:-STRACERAW:java.io.FileInputStream.openXXX(Native Method</t>
  </si>
  <si>
    <t>EMSG:A report shows that the XXXSTRACE:the  XXX FORD MUSTANG XXXD IXXX has been flagged as having Vehicle History activity.
	at edge.capabilities.quote.submission.quoting.util.SubmissionUnderwritingIssuesUtil.checkSideBySideProcessExceptions(SubmissionUnderwritingIssuesUtil.gs:XXXSTRACERAW:-</t>
  </si>
  <si>
    <t>EMSG:A report shows that the XXXSTRACE:the  XXX HONDA CIVIC XXXD COUPE LX has been flagged as having Vehicle History activity.
	at edge.capabilities.quote.submission.quoting.util.SubmissionUnderwritingIssuesUtil.checkSideBySideProcessExceptions(SubmissionUnderwritingIssuesUtil.gs:XXXSTRACERAW:-</t>
  </si>
  <si>
    <t>EMSG:A report shows that the XXXSTRACE:the  XXX HONDA CIVIC XXXD LX has been flagged as having Vehicle History activity.
	at edge.capabilities.quote.submission.quoting.util.SubmissionUnderwritingIssuesUtil.checkSideBySideProcessExceptions(SubmissionUnderwritingIssuesUtil.gs:XXXSTRACERAW:-</t>
  </si>
  <si>
    <t>EMSG:A report shows that the XXXSTRACE:the  XXX JEEP PATRIOT XXXD XXXWD SPORT has been flagged as having Vehicle History activity.
	at edge.capabilities.quote.submission.quoting.util.SubmissionUnderwritingIssuesUtil.checkSideBySideProcessExceptions(SubmissionUnderwritingIssuesUtil.gs:XXXSTRACERAW:-</t>
  </si>
  <si>
    <t>EMSG:Correct the PNI and/or Spouse NameSTRACE:com.farmers.config.common.credit.ho.HOCreditScoreProcess.createEnterpriseISIReportData(HOCreditScoreProcess.gs:XXXSTRACERAW:-</t>
  </si>
  <si>
    <t>EMSG:Correct the PNI and/or Spouse NameSTRACE:com.farmers.config.common.credit.pa.PACreditScoreProcess.persistEnterpriseISIReportData(PACreditScoreProcess.gs:XXXSTRACERAW:-</t>
  </si>
  <si>
    <t>EMSG:Could not map property Costs[]STRACE:deployment.pc.war//gw.internal.xml.gx.GxRuntime.createElement(GxRuntime.java:XXXSTRACERAW:-</t>
  </si>
  <si>
    <t>EMSG:Error occurred while creating reinsurables: Failed to close the connection.STRACE:gw.job.QuoteProcess.handleReinsurance(QuoteProcess.gs:XXXSTRACERAW:-</t>
  </si>
  <si>
    <t>EMSG:Exception during Rating ExecuteIterationsMultiThreaded : java.util.concurrent.ExecutionException: java.lang.IllegalStateException: More than one element matches the given conditionSTRACE:com.farmers.rating.common.flow.iteration.impl.IterationsExecutorImpl$block_XXX_.invoke(IterationsExecutorImpl.gs:XXXSTRACERAW:-</t>
  </si>
  <si>
    <t>EMSG:For eligible contact Savita Reddy credit score is null. Please make sure credit is orderedSTRACE:com.farmers.config.common.credit.CreditScoreHelper.populateRatingCreditDTO(CreditScoreHelper.gs:XXXSTRACERAW:-</t>
  </si>
  <si>
    <t>EMSG:HODwellingAnswer_Ext:XXX deleted from databaseSTRACE:deployment.pc.war//com.guidewire.pl.system.database.entitywriter.DatabaseEntityWriterImpl.writeSingleBeanUpdate(DatabaseEntityWriterImpl.java:XXXSTRACERAW:-</t>
  </si>
  <si>
    <t>EMSG:Janet Mackinnon is already a Driver.STRACE:deployment.pc.war//com.guidewire.pc.domain.policy.period.impl.PolicyPeriodImpl.checkAccountContactIsNotAlreadyAPolicyContactRoleOfType(PolicyPeriodImpl.java:XXXSTRACERAW:-</t>
  </si>
  <si>
    <t>EMSG:Personal Umbrella Line:XXX deleted from databaseSTRACE:deployment.pc.war//com.guidewire.pl.system.database.entitywriter.DatabaseEntityWriterImpl.writeSingleBeanUpdate(DatabaseEntityWriterImpl.java:XXXSTRACERAW:-</t>
  </si>
  <si>
    <t>EMSG:Select Building Ordinance coverage. Building Ordinance coverage is required unless Modified Loss Settlement coverage is selected.;STRACE:edge.capabilities.quote.submission.quoting.util.SubmissionUnderwritingIssuesUtil.checkVerifyRateExceptions(SubmissionUnderwritingIssuesUtil.gs:XXXSTRACERAW:-</t>
  </si>
  <si>
    <t>EMSG:Stale Days is not defined in the system tables for state - OtherSTRACE:gw.job.QuoteProcess.requestQuote(QuoteProcess.gs:XXXSTRACERAW:-</t>
  </si>
  <si>
    <t>EMSG:The value XXX is not formatted correctly for the field "LicenseNumber": Exceeds the maximum length of XXX characters (XXX)STRACE:deployment.pc.war//gw.datatype.impl.StringConstraintsHandlerBase.validateStringLength(StringConstraintsHandlerBase.java:XXXSTRACERAW:-</t>
  </si>
  <si>
    <t>EMSG:com.guidewire.pl.system.entity.proxy.EffDatedVersionListOverlapException: HomeownersLine_HOE with FixedID:XXX and window XXXSTRACE:com.farmers.integ.documentmgmt.ondemand.api.transformer.GetPolicyDetailsRestRequestTransformer.transform(GetPolicyDetailsRestRequestTransformer.gs:XXXSTRACERAW:-</t>
  </si>
  <si>
    <t>EMSG:, AOR=XXXSTRACE:-STRACERAW:Jan XXX XXX:XXX:XXX PST XXX, MSG=Contact Agency Support for assistance at (XXX</t>
  </si>
  <si>
    <t>EMSG:, AOR=XXXSTRACE:deployment.pc.war//com.guidewire.pc.domain.account.impl.AccountContactImpl.markContactForAutoSync(AccountContactImpl.java:XXXSTRACERAW:-</t>
  </si>
  <si>
    <t>EMSG:, AOR=XXXSTRACE:deployment.pc.war//gw.pl.currency.MonetaryAmount.add(MonetaryAmount.java:XXXSTRACERAW:-</t>
  </si>
  <si>
    <t>EMSG:-STRACE:-STRACERAW:Jan XXX XXX:XXX:XXX PST XXX, MSG=Transaction Failed. Failed to parse response : Cannot deserialize value of type `java.lang.String` from Array value (token `JsonToken.START_ARRAY`</t>
  </si>
  <si>
    <t>EMSG:-STRACE:-STRACERAW:com.farmers.config.ho.helper.HomeownersDwellingWizardStepHelper.onEnter(HomeownersDwellingWizardStepHelper.gs:XXX</t>
  </si>
  <si>
    <t>EMSG:-STRACE:-STRACERAW:com.guidewire.pl.web.navigation.wizard.Wizard.getTitle(Wizard.java:XXX</t>
  </si>
  <si>
    <t>EMSG:-STRACE:-STRACERAW:gw.acc.agenttemplate.AgentTemplate_ExtEnhancement.getPolicyType(AgentTemplate_ExtEnhancement.gsx:XXX</t>
  </si>
  <si>
    <t>EMSG:-STRACE:-STRACERAW:gw.pl.persistence.core.effdate.EffDatedKey.&lt;init&gt;(EffDatedKey.java:XXX</t>
  </si>
  <si>
    <t>EMSG:-STRACE:-STRACERAW:io.undertow.servlet.spec.ServletContextImpl.getSession(ServletContextImpl.java:XXX</t>
  </si>
  <si>
    <t>EMSG:-STRACE:-STRACERAW:java.util.stream.ReferencePipeline$XXX$XXX.accept(ReferencePipeline.java:XXX</t>
  </si>
  <si>
    <t>EMSG:-STRACE:-STRACERAW:must be a combined limit (XXX-digit max, i.e XXX</t>
  </si>
  <si>
    <t>EMSG:-STRACE:-STRACERAW:pcfc.expressions.JobWizardToolsMenuWizardStepSetExpressions$JobWizardToolsMenuWizardStepSetExpressionsImpl.visible_XXX(JobWizardToolsMenuWizardStepSetExpressions.gs:XXX</t>
  </si>
  <si>
    <t>EMSG:-STRACE:-STRACERAW:qRoot WHERE qRoot.BranchID IN (?,?,?,?,?</t>
  </si>
  <si>
    <t>EMSG:-STRACE:gw.lob.common.PolicyInfoValidation$block_XXX_.invoke(PolicyInfoValidation.gs:XXXSTRACERAW:-</t>
  </si>
  <si>
    <t>EMSG:Account Creation failed due to [Primary Contact Address AddressLineXXX] fields missingSTRACE:com.farmers.integ.distribution.ecms.deeplaunch.validation.QuoteNavigationValidator.validateApexQuotePrefillInfo(QuoteNavigationValidator.gs:XXXSTRACERAW:-</t>
  </si>
  <si>
    <t>EMSG:Attempt to access bean of type "DiscountDetail_Ext" id=XXX with a null bundleSTRACE:deployment.pc.war//com.guidewire.pl.system.entity.proxy.BeanProxy.checkIsInBundle(BeanProxy.java:XXXSTRACERAW:-</t>
  </si>
  <si>
    <t>EMSG:Cannot quote Renewal as Renewal is already bound with same effective date.STRACE:gw.policy.PolicyPeriodValidation.validateInforcePolicy(PolicyPeriodValidation.gs:XXXSTRACERAW:-</t>
  </si>
  <si>
    <t>EMSG:Could not map property AccmTrnPolicyFee_ExtSTRACE:deployment.pc.war//gw.internal.xml.gx.GxRuntime.createElement(GxRuntime.java:XXXSTRACERAW:-</t>
  </si>
  <si>
    <t>EMSG:Ineligible for PD limits. A risk with excessive accidents and/or violations is not eligible for Property Damage limits greater than XXXSTRACE:gw.job.QuoteProcess.requestQuote(QuoteProcess.gs:XXXSTRACERAW:-</t>
  </si>
  <si>
    <t>EMSG:PAVehicleModifier with FixedID:XXX and window XXXSTRACE:deployment.pc.war//com.guidewire.pl.system.entity.proxy.EffDatedVersionListImpl.lambda$isNonOverlapping$XXX(EffDatedVersionListImpl.java:XXXSTRACERAW:-</t>
  </si>
  <si>
    <t>EMSG:Submission not foundSTRACE:edge.capabilities.policychange.GatewayPolicyChangeHandler.policyBind(GatewayPolicyChangeHandler.gs:XXXSTRACERAW:-</t>
  </si>
  <si>
    <t>EMSG:The value "AVINASH KANT AND SHUBHRA KANTSTRACE:deployment.pc.war//gw.datatype.impl.StringConstraintsHandlerBase.validateStringLength(StringConstraintsHandlerBase.java:XXXSTRACERAW:-</t>
  </si>
  <si>
    <t>EMSG:The value "LUCIO AGUILARSTRACE:deployment.pc.war//gw.datatype.impl.StringConstraintsHandlerBase.validateStringLength(StringConstraintsHandlerBase.java:XXXSTRACERAW:-</t>
  </si>
  <si>
    <t>EMSG:The value "PAULINE COOPERSTRACE:deployment.pc.war//gw.datatype.impl.StringConstraintsHandlerBase.validateStringLength(StringConstraintsHandlerBase.java:XXXSTRACERAW:-</t>
  </si>
  <si>
    <t>EMSG:Unacceptable Risk. Unable to complete the quote. Properties with NON-INCIDENTAL OFFICE (AUTO REPAIRSTRACE:edge.capabilities.quote.submission.quoting.util.SubmissionUnderwritingIssuesUtil.checkVerifyRateExceptions(SubmissionUnderwritingIssuesUtil.gs:XXXSTRACERAW:-</t>
  </si>
  <si>
    <t>EMSG:[BUSINESS_ERROR::Database bean version conflict : XXXSTRACE:com.farmers.edge.capabilities.communitymodel.checkgrantaccess.processor.CheckGrantAccessProcessor.processGrantAccess(CheckGrantAccessProcessor.gs:XXXSTRACERAW:-</t>
  </si>
  <si>
    <t>EMSG:com.guidewire.pl.system.exception.DBException: Failed to execute a querySTRACE:com.farmers.integ.documentmgmt.vipdocument.multilobformgen.transformer.VIPFormGenRequestTransformer.transform(VIPFormGenRequestTransformer.gs:XXXSTRACERAW:-</t>
  </si>
  <si>
    <t>EMSG:-STRACE:-STRACERAW:com.guidewire.pl.web.navigation.wizard.Wizard.hasPrev(Wizard.java:XXX</t>
  </si>
  <si>
    <t>EMSG:com.guidewire.pl.system.exception.TransactionException: Transaction aborted by exception:Failed to execute a querySTRACE:deployment.pc.war//com.guidewire.pl.system.database.sequence.SequenceGenerator.incrementSequence(SequenceGenerator.java:XXXSTRACERAW:-</t>
  </si>
  <si>
    <t>EMSG:error:entity.xxxUI-ValidationERRORMessagexxxSTRACE:must be a combined limit (XXX-digit max, i.e XXXSTRACERAW:-</t>
  </si>
  <si>
    <t>EMSG:-STRACE:is in a readonly bundle
	at deployment.pc.war//com.guidewire.pl.system.entity.proxy.BeanProxy.checkIsInWriteableBundle(BeanProxy.java:XXXSTRACERAW:-</t>
  </si>
  <si>
    <t>EMSG:-STRACE:-STRACERAW:com.farmers.billing.dao.PayPlanAnalyzer.buildRequestToIdentifyEligiblePayPlans(PayPlanAnalyzer.gs:XXX</t>
  </si>
  <si>
    <t>EMSG:-STRACE:-STRACERAW:com.guidewire.pl.system.entity.proxy.BeanProxy.refreshDataObject(BeanProxy.java:XXX</t>
  </si>
  <si>
    <t>EMSG:-STRACE:-STRACERAW:java.base/java.util.HashMap$HashIterator.nextNode(HashMap.java:XXX</t>
  </si>
  <si>
    <t>EMSG:Additional Interests for Personal Auto Vehicles must be of type PAVhcleAddlInterestSTRACE:com.farmers.integ.framework.job.automatejob.AutomatedJob.executeJob(AutomatedJob.gs:XXXSTRACERAW:-</t>
  </si>
  <si>
    <t>EMSG:Additional Interests for Personal Auto Vehicles must be of type PAVhcleAddlInterestSTRACE:gw.lob.pa.contact.PAVehicleAdditionalInterestContainer.removeFromAdditionalInterestDetails(PAVehicleAdditionalInterestContainer.gs:XXXSTRACERAW:-</t>
  </si>
  <si>
    <t>EMSG:Database bean version conflict : XXXSTRACE:Y Ugrasiz at XXX/XXX/XXX XXX:XXX AM. Please cancel and retry your change.
	at deployment.pc.war//com.guidewire.pl.system.database.DatabaseChangedBeanWriter.createConcurrentDataChangeException(DatabaseChangedBeanWriter.java:XXXSTRACERAW:-</t>
  </si>
  <si>
    <t>EMSG:Index XXX out of bounds for length XXXSTRACE:com.farmers.billing.dao.PayPlanAnalyzer.buildRequestToIdentifyEligiblePayPlans(PayPlanAnalyzer.gs:XXXSTRACERAW:-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</si>
  <si>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BMW XXXX XXXD XXXWD XDRIVE XXXI. Primary Driver should be an Active Driver.
	at com.farmers.lob.pa.driverassignment.DriverAssignment.validateData(DriverAssignment.gs:XXXSTRACERAW:-</t>
  </si>
  <si>
    <t>EMSG:Update the garaging address for XXXSTRACE:com.farmers.lob.pa.driverassignment.DriverAssignment.validateData(DriverAssignment.gs:XXXSTRACERAW:-</t>
  </si>
  <si>
    <t>EMSG:, AOR=XXXSTRACE:com.farmers.config.common.helper.PremiumChangeHelper$block_XXX_$block_XXX_.invoke(PremiumChangeHelper.gs:XXXSTRACERAW:-</t>
  </si>
  <si>
    <t>EMSG:, AOR=XXXSTRACE:java.base/java.util.Objects.requireNonNull(Objects.java:XXXSTRACERAW:-</t>
  </si>
  <si>
    <t>EMSG:-STRACE:-STRACERAW:com.farmers.config.common.helper.PremiumChangeHelper$block_XXX_$block_XXX_.invoke(PremiumChangeHelper.gs:XXX</t>
  </si>
  <si>
    <t>EMSG:-STRACE:-STRACERAW:com.guidewire.pc.system.lookuptables.LookupTableManagerImpl$LRUCache.get(LookupTableManagerImpl.java:XXX</t>
  </si>
  <si>
    <t>EMSG:-STRACE:-STRACERAW:java.util.Objects.requireNonNull(Objects.java:XXX</t>
  </si>
  <si>
    <t>EMSG:-STRACE:-STRACERAW:qRoot WHERE qRoot.BranchID IN (?,?,?,?,?,?,?,?,?</t>
  </si>
  <si>
    <t>EMSG:-STRACE:com.farmers.config.pup.policyrefresh.pc.PUPPopulatePADTO.setLiabCoverage(PUPPopulatePADTO.gs:XXXSTRACERAW:-</t>
  </si>
  <si>
    <t>EMSG:-STRACE:com.farmers.integ.billing.policysummary.helper.PolicySummaryHelper.fetchPolicyPeriod(PolicySummaryHelper.gs:XXXSTRACERAW:-</t>
  </si>
  <si>
    <t>EMSG:A report shows that the XXXSTRACE:the  XXX TOYOTA CAMRY XXXD XXXWD STD/LE/XLE/SE has been flagged as having Vehicle History activity.
	at edge.capabilities.quote.submission.quoting.util.SubmissionUnderwritingIssuesUtil.checkSideBySideProcessExceptions(SubmissionUnderwritingIssuesUtil.gs:XXXSTRACERAW:-</t>
  </si>
  <si>
    <t>EMSG:Cannot create Loss of Use because it already exists.STRACE:deployment.pc.war//com.guidewire.pc.domain.coverage.impl.CoverableImpl.createCoverage(CoverableImpl.java:XXXSTRACERAW:-</t>
  </si>
  <si>
    <t>EMSG:Change the Purchase Date. Year purchased cannot be more than XXX years prior to model year for Vehicle XXXSTRACE:edge.capabilities.quote.submission.quoting.util.SubmissionUnderwritingIssuesUtil.checkSideBySideProcessExceptions(SubmissionUnderwritingIssuesUtil.gs:XXXSTRACERAW:-</t>
  </si>
  <si>
    <t>EMSG:Error occurred while attaching RI risks: com.guidewire.pl.system.exception.TransactionException: Transaction aborted by exception:Failed to execute a querySTRACE:gw.job.QuoteProcess.handleReinsurance(QuoteProcess.gs:XXXSTRACERAW:-</t>
  </si>
  <si>
    <t>EMSG:Karen MedranoSTRACE:com.farmers.config.pa.validator.BrightlineValidator.validateQuoteBrightlineRules(BrightlineValidator.gs:XXXSTRACERAW:-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</si>
  <si>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at gw.job.QuoteProcess.requestQuote(QuoteProcess.gs:XXXSTRACERAW:-</t>
  </si>
  <si>
    <t>EMSG:There are no assigned drivers for vehicle(s) # XXXSTRACE:edge.capabilities.quote.submission.quoting.util.SubmissionUnderwritingIssuesUtil.checkSideBySideProcessExceptions(SubmissionUnderwritingIssuesUtil.gs:XXXSTRACERAW:-</t>
  </si>
  <si>
    <t>EMSG:UWIssue: UW.XXXaXXX null: Prior loss threshold exceeded UW.XXXaXXXSTRACE:com.farmers.integ.framework.job.automatejob.AutomatedJob.executeJob(AutomatedJob.gs:XXXSTRACERAW:-</t>
  </si>
  <si>
    <t>EMSG:, AOR=XXXSTRACE:com.farmers.config.common.credit.pa.PACreditScoreProcess.populateAddrfromMailingAddr_Ext(PACreditScoreProcess.gs:XXXSTRACERAW:-</t>
  </si>
  <si>
    <t>EMSG:, AOR=XXXSTRACE:com.farmers.config.pa.embeddedquote.process.EmbeddedQuoteProcess.createSubmission(EmbeddedQuoteProcess.gs:XXXSTRACERAW:-</t>
  </si>
  <si>
    <t>EMSG:-STRACE:-STRACERAW:com.farmers.config.common.credit.pa.PACreditScoreProcess.populateAddrfromMailingAddr_Ext(PACreditScoreProcess.gs:XXX</t>
  </si>
  <si>
    <t>EMSG:-STRACE:-STRACERAW:com.farmers.edge.framework.exception.EdgeFrameworkHandlerExt.handle(EdgeFrameworkHandlerExt.gs:XXX</t>
  </si>
  <si>
    <t>EMSG:-STRACE:-STRACERAW:com.guidewire.pc.domain.policy.period.impl.PolicyPeriodImpl.getPrimaryLocation(PolicyPeriodImpl.java:XXX</t>
  </si>
  <si>
    <t>EMSG:-STRACE:-STRACERAW:com.guidewire.pl.system.entity.displayName.Entity.getDisplayNameFromBean(Entity.java:XXX</t>
  </si>
  <si>
    <t>EMSG:-STRACE:-STRACERAW:deployment.pc.war//com.guidewire.pl.system.database.entitywriter.DatabaseEntityWriterImpl.writeSingleBeanUpdate(DatabaseEntityWriterImpl.java:XXX</t>
  </si>
  <si>
    <t>EMSG:-STRACE:-STRACERAW:java.base/java.util.concurrent.FutureTask.report(FutureTask.java:XXX</t>
  </si>
  <si>
    <t>EMSG:-STRACE:-STRACERAW:pcfc.expressions.PolicyLineSummaryPanelSet_PersonalUmbrellaLine_PUEExpressions$ListViewPanelExpressionsImpl.sortBy_XXX(PolicyLineSummaryPanelSet_PersonalUmbrellaLine_PUEExpressions.gs:XXX</t>
  </si>
  <si>
    <t>EMSG:-STRACE:-STRACERAW:program_.__Program__XXX.evaluate(SubmissionWizard_PriorCarrier_ExtScreen_TemplatePanelXXX.gst:XXX</t>
  </si>
  <si>
    <t>EMSG:-STRACE:-STRACERAW:requires Wind and Hail Exlustion and WPIXXX or WPIXXX., failed to evaluate condition with gosu text "util.checkRiskAddressAndFoundationType(policyEvalContext</t>
  </si>
  <si>
    <t>EMSG:-STRACE:deployment.pc.war//com.guidewire.pl.system.entity.proxy.AbstractKeyableBeanProxy.getEdgeForeignKeyId(AbstractKeyableBeanProxy.java:XXXSTRACERAW:-</t>
  </si>
  <si>
    <t>EMSG:-STRACE:gw.acc.batch.inbound.InboundBatchUtils.getPayloadValueMapDelimiter(InboundBatchUtils.gs:XXXSTRACERAW:-</t>
  </si>
  <si>
    <t>EMSG:Attempt to access bean of type "DwellingCov_HOE" id=XXX with a null bundleSTRACE:deployment.pc.war//com.guidewire.pl.system.entity.proxy.BeanProxy.checkIsInBundle(BeanProxy.java:XXXSTRACERAW:-</t>
  </si>
  <si>
    <t>EMSG:Attempt to access bean of type "HOGarage_Ext" id=XXX with a null bundleSTRACE:deployment.pc.war//com.guidewire.pl.system.entity.proxy.BeanProxy.checkIsInBundle(BeanProxy.java:XXXSTRACERAW:-</t>
  </si>
  <si>
    <t>EMSG:Create a new submission. Policy is not eligible for Rewrite Remainder of Term as  one or more policy(s) of PNI/Spouse have been cancelled due to non pay.STRACE:gw.job.QuoteProcess.requestQuote(QuoteProcess.gs:XXXSTRACERAW:-</t>
  </si>
  <si>
    <t>EMSG:Karen MEDRANOMACIASSTRACE:com.farmers.config.pa.validator.BrightlineValidator.validateQuoteBrightlineRules(BrightlineValidator.gs:XXXSTRACERAW:-</t>
  </si>
  <si>
    <t>EMSG:Key allocation failed due to exceptionSTRACE:deployment.pc.war//com.guidewire.pl.system.database.DistributedKeyRangeAllocator.runWithinTransactionInOtherThread(DistributedKeyRangeAllocator.java:XXXSTRACERAW:-</t>
  </si>
  <si>
    <t>EMSG:No Contact definedSTRACE:deployment.pc.war//com.guidewire.pc.domain.account.impl.AccountContactImpl.getContactType(AccountContactImpl.java:XXXSTRACERAW:-</t>
  </si>
  <si>
    <t>EMSG:The value "AL MOTLAGH AND NILUFAR ALEMOZAFFAR MOTL XXX GREENHOUSESTRACE:deployment.pc.war//gw.datatype.impl.StringConstraintsHandlerBase.validateStringLength(StringConstraintsHandlerBase.java:XXXSTRACERAW:-</t>
  </si>
  <si>
    <t>EMSG:The value "Database bean version conflict : XXXSTRACE:deployment.pc.war//gw.datatype.impl.StringConstraintsHandlerBase.validateStringLength(StringConstraintsHandlerBase.java:XXXSTRACERAW:-</t>
  </si>
  <si>
    <t>EMSG:The value "THE WILSON K. LAU AND STELLA LAM LAU RE TRUST DATED MAY XXXSTRACE:deployment.pc.war//gw.datatype.impl.StringConstraintsHandlerBase.validateStringLength(StringConstraintsHandlerBase.java:XXXSTRACERAW:-</t>
  </si>
  <si>
    <t>EMSG:The value XXX is not formatted correctly for the field "PostalCountyCode_Ext": Exceeds the maximum length of XXX characters (XXX)STRACE:deployment.pc.war//gw.datatype.impl.StringConstraintsHandlerBase.validateStringLength(StringConstraintsHandlerBase.java:XXXSTRACERAW:-</t>
  </si>
  <si>
    <t>EMSG:[BUSINESS_ERROR::Agent not available lewiXXXq]STRACE:com.farmers.edge.capabilities.communitymodel.checkgrantaccess.processor.CheckGrantAccessProcessor.processGrantAccess(CheckGrantAccessProcessor.gs:XXXSTRACERAW:-</t>
  </si>
  <si>
    <t>EMSG:com.guidewire.pl.system.exception.DBException: Failed to execute a querySTRACE:deployment.pc.war//com.guidewire.pl.web.widget.Widget.getVisibleValue(Widget.java:XXXSTRACERAW:-</t>
  </si>
  <si>
    <t>EMSG:error:entity.xxxUI-ValidationERRORMessagexxxSTRACE:least one vehicle.;error:entity.PersonalAutoLine/LUW Policy Change Job XXX: The policy must specify at least one vehicle.
	at gw.acc.luw.perf.JobQuoter.processQuoteIssues(JobQuoter.gs:XXXSTRACERAW:-</t>
  </si>
  <si>
    <t>EMSG:Duplicate key PACompSelectedBy foundSTRACE:edge.util.MapUtil.groupUnique(MapUtil.gs:XXXSTRACERAW:-</t>
  </si>
  <si>
    <t>EMSG:-STRACE:com.farmers.config.pa.ddr.DDRProcess.validateDdrInputDrivers(DDRProcess.gs:XXXSTRACERAW:-</t>
  </si>
  <si>
    <t>EMSG:, AOR=XXXSTRACE:java.base/java.lang.NumberFormatException.forInputString(NumberFormatException.java:XXXSTRACERAW:-</t>
  </si>
  <si>
    <t>EMSG:Duplicate key PACollSelectedBy foundSTRACE:edge.util.MapUtil.groupUnique(MapUtil.gs:XXXSTRACERAW:-</t>
  </si>
  <si>
    <t>EMSG:, AOR=XXXSTRACE:com.farmers.config.common.enhancements.PolicyPeriodEnhancement.accountSyncFieldRevert(PolicyPeriodEnhancement.gsx:XXXSTRACERAW:-</t>
  </si>
  <si>
    <t>EMSG:-STRACE:-STRACERAW:java.lang.String.checkBoundsBeginEnd(String.java:XXX</t>
  </si>
  <si>
    <t>EMSG:Exception while performing the search operation with search criteria Street Number:XXX-BSTRACE:com.farmers.integ.erti.iso.location.impl.AbstractISOLocationFinder.search(AbstractISOLocationFinder.gs:XXXSTRACERAW:-</t>
  </si>
  <si>
    <t>EMSG:-STRACE:-STRACERAW:gw.web.productmodel.ProductModelSyncIssuesHandler$block_XXX_$block_XXX_.invoke(ProductModelSyncIssuesHandler.gs:XXX</t>
  </si>
  <si>
    <t>EMSG:For input string: "XXX"STRACE:java.base/java.lang.NumberFormatException.forInputString(NumberFormatException.java:XXXSTRACERAW:-</t>
  </si>
  <si>
    <t>EMSG:-STRACE:-STRACERAW:gw.job.RewriteEnhancement.checkNoticeOfCancellation(RewriteEnhancement.gsx:XXX</t>
  </si>
  <si>
    <t>EMSG:Could not deserialize typecode XA for typelist typekey.LeadSource_ExtSTRACE:edge.servlet.jsonrpc.marshalling.TypeKeyInstantiator.createFromString(TypeKeyInstantiator.gs:XXXSTRACERAW:-</t>
  </si>
  <si>
    <t>EMSG:One or more null constraint violations detected for ULPolicy_PUESTRACE:deployment.pc.war//com.guidewire.pl.system.database.entitywriter.DatabaseEntityWriterImpl.checkForNullConstraintViolation(DatabaseEntityWriterImpl.java:XXXSTRACERAW:-</t>
  </si>
  <si>
    <t>EMSG:Duplicate key PARoadsideAsstSelectedBy foundSTRACE:edge.util.MapUtil.groupUnique(MapUtil.gs:XXXSTRACERAW:-</t>
  </si>
  <si>
    <t>EMSG:Duplicate key PAAccidentSelectedBy foundSTRACE:edge.util.MapUtil.groupUnique(MapUtil.gs:XXXSTRACERAW:-</t>
  </si>
  <si>
    <t>EMSG:There is no bi code in the table 'pa_pi_bi_codes' for null BI limitsSTRACE:com.farmers.tier.pa.pitier.impl.PITierCodesCalculatorImpl.calculateBILimitCode(PITierCodesCalculatorImpl.gs:XXXSTRACERAW:-</t>
  </si>
  <si>
    <t>EMSG:-STRACE:com.farmers.config.common.enhancements.PolicyPeriodEnhancement.accountSyncFieldRevert(PolicyPeriodEnhancement.gsx:XXXSTRACERAW:-</t>
  </si>
  <si>
    <t>EMSG:-STRACE:com.farmers.integ.erti.iso.location.ISOLocationUnusualAddressHelper.getAlphanumericMatch(ISOLocationUnusualAddressHelper.gs:XXXSTRACERAW:-</t>
  </si>
  <si>
    <t>EMSG:For eligible contact Brian Bauer credit score is null. Please make sure credit is orderedSTRACE:com.farmers.config.common.credit.CreditScoreHelper.populateRatingCreditDTO(CreditScoreHelper.gs:XXXSTRACERAW:-</t>
  </si>
  <si>
    <t>EMSG:Missing one of the required BindData.PaymentDetails fields: AmountPaidAsDownpaymentSTRACE:edge.capabilities.quote.submission.GatewayQuoteHandler$block_XXX_.invoke(GatewayQuoteHandler.gs:XXXSTRACERAW:-</t>
  </si>
  <si>
    <t>EMSG:gw.xml.XmlException: 'Unable to parse XML from xml string using schemas [com.farmers.integ.iwa.mdm.wsc.mdmcustinfomgmtwsc.mdmcustomerinformationmanagement_vXXXSTRACE:line XXX column XXX'
	at deployment.pc.war//gw.internal.xml.ws.WsdlPortImpl.invoke(WsdlPortImpl.java:XXXSTRACERAW:-</t>
  </si>
  <si>
    <t>EMSG:Update Odometer Date for Vehicle XXXSTRACE:edge.capabilities.quote.submission.quoting.util.SubmissionUnderwritingIssuesUtil.checkVerifyRateExceptions(SubmissionUnderwritingIssuesUtil.gs:XXXSTRACERAW:-</t>
  </si>
  <si>
    <t>EMSG:, AOR=XXXSTRACE:gw.lang.enhancements.CoreArrayOfIntegersEnhancement.sum(CoreArrayOfIntegersEnhancement.gsx:XXXSTRACERAW:-</t>
  </si>
  <si>
    <t>EMSG:-STRACE:-STRACERAW:gw.lang.enhancements.CoreArrayOfIntegersEnhancement.sum(CoreArrayOfIntegersEnhancement.gsx:XXX</t>
  </si>
  <si>
    <t>EMSG:, AOR=XXXSTRACE:com.farmers.config.common.enhancements.PolicyPeriodEnhancement$block_XXX_.invoke(PolicyPeriodEnhancement.gsx:XXXSTRACERAW:-</t>
  </si>
  <si>
    <t>EMSG:Slice date XXX outside of range XXX for XXX XXX bean of type TerritoryCodeSTRACE:deployment.pc.war//com.guidewire.pl.system.entity.proxy.EffDatedBaseProxy.getSliceUntyped(EffDatedBaseProxy.java:XXXSTRACERAW:-</t>
  </si>
  <si>
    <t>EMSG:java.net.ConnectException: Connection timed outSTRACE:deployment.pc.war//gw.pl.util.ExceptionUtil.convertToRuntimeException(ExceptionUtil.java:XXXSTRACERAW:-</t>
  </si>
  <si>
    <t>EMSG:Dwelling at XXXSTRACE:XXX W Biddison St, Fort Worth, TX: Dwelling is required and must be added.
	at gw.api.extension.PCExtensionInterfacesMapper$block_XXX_.invoke(PCExtensionInterfacesMapper.gs:XXXSTRACERAW:-</t>
  </si>
  <si>
    <t>EMSG:gw.xml.XmlException: 'Unable to parse XML from xml string using schemas [com.farmers.integ.erti.autocheckseverity.wsc.retrievevehiclehistoryreport.physicalobjectmanager_vXXXSTRACE:line XXX column XXX'
	at deployment.pc.war//gw.internal.xml.ws.WsdlPortImpl.invoke(WsdlPortImpl.java:XXXSTRACERAW:-</t>
  </si>
  <si>
    <t>EMSG:, AOR=XXXSTRACE:com.farmers.integ.fwsConversion.util.CoverageMappingHelper.applyLimitsAndAddSchItemsApplicable(CoverageMappingHelper.gs:XXXSTRACERAW:-</t>
  </si>
  <si>
    <t>EMSG:A report shows that the XXXSTRACE:the  XXX CHEVROLET EQUINOX XXXDOOR XXXWD LS has been flagged as having Vehicle History activity.;
	at edge.capabilities.quote.submission.quoting.util.SubmissionUnderwritingIssuesUtil.checkVerifyRateExceptions(SubmissionUnderwritingIssuesUtil.gs:XXXSTRACERAW:-</t>
  </si>
  <si>
    <t>EMSG:Attempt to remove required coverage for pattern Bodily Injury  Pattern nullSTRACE:edge.capabilities.policycommon.coverage.util.CoverageUtil.updateFrom XXXSTRACERAW:-</t>
  </si>
  <si>
    <t>EMSG:Correct VIN on XXX.  VIN failed verification.;Re-enter "License #". Duplicate License Number entered for the following Drivers Syed RaufSTRACE:edge.capabilities.quote.submission.quoting.util.SubmissionUnderwritingIssuesUtil.checkVerifyRateExceptions(SubmissionUnderwritingIssuesUtil.gs:XXXSTRACERAW:-</t>
  </si>
  <si>
    <t>EMSG:For eligible contact Michael Ahearn credit score is null. Please make sure credit is orderedSTRACE:com.farmers.config.common.credit.CreditScoreHelper.populateRatingCreditDTO(CreditScoreHelper.gs:XXXSTRACERAW:-</t>
  </si>
  <si>
    <t>EMSG:Internal ErrorSTRACE:deployment.pc.war//gw.internal.xml.ws.AsyncResponseImpl.throwSoapXXXFault(AsyncResponseImpl.java:XXXSTRACERAW:-</t>
  </si>
  <si>
    <t>EMSG:Re-enter "License #". Duplicate License Number entered for the following Drivers Trinh DuongSTRACE:edge.capabilities.quote.submission.quoting.util.SubmissionUnderwritingIssuesUtil.checkVerifyRateExceptions(SubmissionUnderwritingIssuesUtil.gs:XXXSTRACERAW:-</t>
  </si>
  <si>
    <t>EMSG:Residence Type : Missing required field "Residence Type"STRACE:edge.capabilities.quote.submission.quoting.util.SubmissionUnderwritingIssuesUtil.checkSideBySideProcessExceptions(SubmissionUnderwritingIssuesUtil.gs:XXXSTRACERAW:-</t>
  </si>
  <si>
    <t>EMSG:Update Signal Phone number for Brenda Roundy. Each driver enrolled in the Signal program needs a unique cell phone number.;Update Signal Phone number for Joe Roundy. Each driver enrolled in the Signal program needs a unique cell phone number.;STRACE:edge.capabilities.quote.submission.quoting.util.SubmissionUnderwritingIssuesUtil.checkVerifyRateExceptions(SubmissionUnderwritingIssuesUtil.gs:XXXSTRACERAW:-</t>
  </si>
  <si>
    <t>EMSG:java.lang.reflect.UndeclaredThrowableExceptionSTRACE:com.farmers.integ.documentmgmt.ondemand.homeformgeneration.transformer.HomeOnDemandFormGenRequestTransformer.transform(HomeOnDemandFormGenRequestTransformer.gs:XXXSTRACERAW:-</t>
  </si>
  <si>
    <t>EMSG:Dwelling at XXXSTRACE:XXX Centerville Rd, Axton, VA: Standard Limit on Special Limits on Personal Property is no longer available and has been removed. Please enter a new value.
	at gw.api.extension.PCExtensionInterfacesMapper$block_XXX_.invoke(PCExtensionInterfacesMapper.gs:XXXSTRACERAW:-</t>
  </si>
  <si>
    <t>EMSG:Slice date XXX outside of range XXX for XXX XXX bean of type PolicyPeriodSTRACE:Jul XXX XXX:XXX:XXX PDT XXX - Mon Jan XXX XXX:XXX:XXX PST XXX] for bean of type PolicyPeriod
	at deployment.pc.war//com.guidewire.pl.system.entity.proxy.EffDatedBaseProxy.getSliceUntyped(EffDatedBaseProxy.java:XXXSTRACERAW:-</t>
  </si>
  <si>
    <t>EMSG:java.net.ConnectException: Connection refusedSTRACE:deployment.pc.war//gw.pl.util.ExceptionUtil.convertToRuntimeException(ExceptionUtil.java:XXXSTRACERAW:-</t>
  </si>
  <si>
    <t>EMSG:-STRACE:least one vehicle. Since the number of vehicles is greater than the number of drivers, each driver must be a Primary Driver on at least one vehicle.
Update Primary Driver on the Vehicle XXX TOYOTA COROLLA SEDAN XXXWD L/LE/S. Primary Driver not found on the policy.
	at com.farmers.lob.pa.driverassignment.DriverAssignment.validateData(DriverAssignment.gs:XXXSTRACERAW:-</t>
  </si>
  <si>
    <t>EMSG:CALEB BOWERSSTRACE:com.farmers.config.pa.validator.BrightlineValidator.validateQuoteBrightlineRules(BrightlineValidator.gs:XXXSTRACERAW:-</t>
  </si>
  <si>
    <t>EMSG:CALEB BOWERSSTRACE:gw.job.QuoteProcess.requestQuote(QuoteProcess.gs:XXXSTRACERAW:-</t>
  </si>
  <si>
    <t>EMSG:Failed to execute a batch updateSTRACE:com.farmers.integ.framework.job.automatejob.AutomatedJob.executeJob(AutomatedJob.gs:XXXSTRACERAW:-</t>
  </si>
  <si>
    <t>EMSG:A report shows that the XXXSTRACE:the  XXX HYUNDAI ACCENT XXXD SE has been flagged as having Vehicle History activity.;
	at edge.capabilities.quote.submission.quoting.util.SubmissionUnderwritingIssuesUtil.checkVerifyRateExceptions(SubmissionUnderwritingIssuesUtil.gs:XXXSTRACERAW:-</t>
  </si>
  <si>
    <t>EMSG:Correct VIN on XXX.  VIN failed verification.;Re-enter "License #". Duplicate License Number entered for the following Drivers MOOMAL RAUFSTRACE:edge.capabilities.quote.submission.quoting.util.SubmissionUnderwritingIssuesUtil.checkVerifyRateExceptions(SubmissionUnderwritingIssuesUtil.gs:XXXSTRACERAW:-</t>
  </si>
  <si>
    <t>EMSG:Dwelling at XXXSTRACE:XXX Saddlesmith St, Castle Pines, CO: XXX% Limit on Extended Replacement Cost is no longer available and has been removed. Please enter a new value.
	at gw.api.extension.PCExtensionInterfacesMapper$block_XXX_.invoke(PCExtensionInterfacesMapper.gs:XXXSTRACERAW:-</t>
  </si>
  <si>
    <t>EMSG:Dwelling at XXXSTRACE:XXX Old Divide Trl, Parker, CO: XXX% Limit on Extended Replacement Cost is no longer available and has been removed. Please enter a new value.
	at gw.api.extension.PCExtensionInterfacesMapper$block_XXX_.invoke(PCExtensionInterfacesMapper.gs:XXXSTRACERAW:-</t>
  </si>
  <si>
    <t>EMSG:Effective ranges overlap for VehicleRatedDriver_Ext with BranchID XXX and with FixedID XXXSTRACE:deployment.pc.war//com.guidewire.pl.system.entity.proxy.EffDatedBeanProxy.checkForOverlaps(EffDatedBeanProxy.java:XXXSTRACERAW:-</t>
  </si>
  <si>
    <t>EMSG:For eligible contact Brett Skillestad credit score is null. Please make sure credit is orderedSTRACE:com.farmers.config.common.credit.CreditScoreHelper.populateRatingCreditDTO(CreditScoreHelper.gs:XXXSTRACERAW:-</t>
  </si>
  <si>
    <t>EMSG:A report shows that the XXXSTRACE:the  XXX INFINITI FXXXX XXXD XXXWD has been flagged as having Vehicle History activity.;
	at edge.capabilities.quote.submission.quoting.util.SubmissionUnderwritingIssuesUtil.checkVerifyRateExceptions(SubmissionUnderwritingIssuesUtil.gs:XXXSTRACERAW:-</t>
  </si>
  <si>
    <t>EMSG:An email address is required for the selected electronic delivery options. To continueSTRACE:edge.capabilities.quote.submission.quoting.util.SubmissionUnderwritingIssuesUtil.checkSideBySideProcessExceptions(SubmissionUnderwritingIssuesUtil.gs:XXXSTRACERAW:-</t>
  </si>
  <si>
    <t>EMSG:Database bean version conflict : XXXSTRACE:Dat Nguyen at XXX/XXX/XXX XXX:XXX AM. Please cancel and retry your change.
	at deployment.pc.war//com.guidewire.pl.system.database.DatabaseChangedBeanWriter.createConcurrentDataChangeException(DatabaseChangedBeanWriter.java:XXXSTRACERAW:-</t>
  </si>
  <si>
    <t>EMSG:Dwelling at XXXSTRACE:XXX STEINBECK AVE UNIT B, STEVENSON RANCH, CA: $XXX,XXX All Perils on Deductibles is no longer available and has been removed. Please enter a new value.
	at gw.api.extension.PCExtensionInterfacesMapper$block_XXX_.invoke(PCExtensionInterfacesMapper.gs:XXXSTRACERAW:-</t>
  </si>
  <si>
    <t>EMSG:Failed to find Driver Order Class Code for SUMIT KUMARSTRACE:com.farmers.lob.pa.driverassignment.DriverAssignmentDriver.setDriverOrderData(DriverAssignmentDriver.gs:XXXSTRACERAW:-</t>
  </si>
  <si>
    <t>EMSG:For eligible contact Ireion Monroe-benjamin credit score is null. Please make sure credit is orderedSTRACE:com.farmers.config.common.credit.CreditScoreHelper.populateRatingCreditDTO(CreditScoreHelper.gs:XXXSTRACERAW:-</t>
  </si>
  <si>
    <t>EMSG:Re-enter "License #". Duplicate License Number entered for the following Drivers MICHAEL SAPONESTRACE:edge.capabilities.quote.submission.quoting.util.SubmissionUnderwritingIssuesUtil.checkVerifyRateExceptions(SubmissionUnderwritingIssuesUtil.gs:XXXSTRACERAW:-</t>
  </si>
  <si>
    <t>EMSG:Re-enter "License #". Duplicate License Number entered for the following Drivers PAUL DuongSTRACE:edge.capabilities.quote.submission.quoting.util.SubmissionUnderwritingIssuesUtil.checkVerifyRateExceptions(SubmissionUnderwritingIssuesUtil.gs:XXXSTRACERAW:-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</si>
  <si>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MAYSOON TOMA as the Primary Driver on at least one vehicle. Since the number of vehicles is greater than the number of drivers, each driver must be a Primary Driver on at least one vehicle.
Select Androw Toma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</si>
  <si>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EMSG:The value "XXX KIM LANESTRACE:deployment.pc.war//com.guidewire.pl.metadata.datatypeXXX.fieldvalidator.FieldValidatorInfo.validateFormat(FieldValidatorInfo.java:XXXSTRACERAW:-</t>
  </si>
  <si>
    <t>EMSG:The value XXX is not formatted correctly for the field "LastName": Exceeds the maximum length of XXX characters (XXX)STRACE:deployment.pc.war//gw.datatype.impl.StringConstraintsHandlerBase.validateStringLength(StringConstraintsHandlerBase.java:XXXSTRACERAW:-</t>
  </si>
  <si>
    <t>EMSG:Update Signal Phone number for Joe Roundy. Each driver enrolled in the Signal program needs a unique cell phone number.;Update Signal Phone number for Brenda Roundy. Each driver enrolled in the Signal program needs a unique cell phone number.;STRACE:edge.capabilities.quote.submission.quoting.util.SubmissionUnderwritingIssuesUtil.checkVerifyRateExceptions(SubmissionUnderwritingIssuesUtil.gs:XXXSTRACERAW:-</t>
  </si>
  <si>
    <t>EMSG:Update Signal Phone number for Samantha Doti. Each driver enrolled in the Signal program needs a unique cell phone number.;Update Signal Phone number for Zak Bertolino. Each driver enrolled in the Signal program needs a unique cell phone number.;STRACE:edge.capabilities.quote.submission.quoting.util.SubmissionUnderwritingIssuesUtil.checkVerifyRateExceptions(SubmissionUnderwritingIssuesUtil.gs:XXXSTRACERAW:-</t>
  </si>
  <si>
    <t>EMSG:Wildfire Mitigation property-level factor requires validation by an inspection. Please uncheck the Wildfire Mitigation property-level field to continue without the factor.STRACE:edge.capabilities.quote.submission.quoting.util.SubmissionUnderwritingIssuesUtil.checkSideBySideProcessExceptions(SubmissionUnderwritingIssuesUtil.gs:XXXSTRACERAW:-</t>
  </si>
  <si>
    <t>EMSG:-STRACE:-STRACERAW:org.apache.commons.fileupload.FileUploadBase.parseRequest(FileUploadBase.java:XXX</t>
  </si>
  <si>
    <t>EMSG:-STRACE:com.farmers.config.ho.productmodel.CoveragesValidation_Ext.validateFortifiedRoofUpgradeCovALExt(CoveragesValidation_Ext.gs:XXXSTRACERAW:-</t>
  </si>
  <si>
    <t>EMSG:Attempt to access bean of type "Jobpolicyperiod" id=XXX with a null bundleSTRACE:deployment.pc.war//com.guidewire.pl.system.entity.proxy.BeanProxy.checkIsInBundle(BeanProxy.java:XXXSTRACERAW:-</t>
  </si>
  <si>
    <t>EMSG:Comprehensive: The coverage term 'Coverage is' is required. Enter a value.;STRACE:edge.capabilities.quote.submission.quoting.util.SubmissionUnderwritingIssuesUtil.checkVerifyRateExceptions(SubmissionUnderwritingIssuesUtil.gs:XXXSTRACERAW:-</t>
  </si>
  <si>
    <t>EMSG:For eligible contact Marie Heath credit score is null. Please make sure credit is orderedSTRACE:com.farmers.config.common.credit.CreditScoreHelper.populateRatingCreditDTO(CreditScoreHelper.gs:XXXSTRACERAW:-</t>
  </si>
  <si>
    <t>EMSG:Slice date XXX outside of range XXX for XXX XXX bean of type PolicyPeriodSTRACE:Jan XXX XXX:XXX:XXX PST XXX outside of range [Thu Jul XXX XXX:XXX:XXX PDT XXX - Sat Jan XXX XXX:XXX:XXX PST XXX] for bean of type PolicyPeriod
	at deployment.pc.war//com.guidewire.pl.system.entity.proxy.EffDatedBaseProxy.getSliceUntyped(EffDatedBaseProxy.java:XXXSTRACERAW:-</t>
  </si>
  <si>
    <t>EMSG:String index out of range: XXXSTRACE:java.base/java.lang.StringLatinXXX.charAt(StringLatinXXX.java:XXXSTRACERAW:-</t>
  </si>
  <si>
    <t>EMSG:The object you are trying to update was XXXSTRACE:Y Ugrasiz at XXX/XXX/XXX XXX:XXX AM. Please cancel and retry your change.
	at edge.capabilities.quote.submission.GatewayQuoteHandler.handleOrThrowException(GatewayQuoteHandler.gs:XXXSTRACERAW:-</t>
  </si>
  <si>
    <t>EMSG:Try again later. Equifax credit reporting is unavailable.STRACE:com.farmers.config.common.credit.pup.UMBCreditScoreProcess.createEnterpriseCreditReportData(UMBCreditScoreProcess.gs:XXXSTRACERAW:-</t>
  </si>
  <si>
    <t>EMSG:Verify Umbrella Policies for Named Insured. Named Insured or spouse already has an active Personal Lines Umbrella policy UXXX with Farmers Insurance Exchange or one of its affiliates.STRACE:com.farmers.config.pup.prefill.PUPPrefillPreProcesser.getPolicySummaryFromMDM(PUPPrefillPreProcesser.gs:XXXSTRACERAW:-</t>
  </si>
  <si>
    <t>EMSG:$XXX Glass Deductible: The coverage term 'Coverage is' is required. Enter a value.;STRACE:edge.capabilities.quote.submission.quoting.util.SubmissionUnderwritingIssuesUtil.checkVerifyRateExceptions(SubmissionUnderwritingIssuesUtil.gs:XXXSTRACERAW:-</t>
  </si>
  <si>
    <t>EMSG:-STRACE:-STRACERAW:Jan XXX XXX:XXX:XXX PST XXX, MSG=HTTP POST on resource 'https://fnwl-chl-prodXXX-lb.farmerslife.com:XXX/eis-fnwl-lis-eapi-prodXXX/api/vXXX/quotes/XXX_XXX' failed: internal server error (XXX</t>
  </si>
  <si>
    <t>EMSG:-STRACE:-STRACERAW:com.guidewire.pl.system.cache.RarelyChangingBeanDataCache.ensureIsStarted(RarelyChangingBeanDataCache.java:XXX</t>
  </si>
  <si>
    <t>EMSG:-STRACE:-STRACERAW:com.guidewire.pl.system.server.config.ConfigParser.parse(ConfigParser.java:XXX</t>
  </si>
  <si>
    <t>EMSG:-STRACE:-STRACERAW:most one result.  Select statement causing error: Values=[Missouri (typekey</t>
  </si>
  <si>
    <t>EMSG:-STRACE:edge.capabilities.quote.helper.questionset.util.QuestionSetUtil.update(QuestionSetUtil.gs:XXXSTRACERAW:-</t>
  </si>
  <si>
    <t>EMSG:-STRACE:java.base/jdk.internal.reflect.NativeConstructorAccessorImpl.newInstanceXXX(Native MethodSTRACERAW:-</t>
  </si>
  <si>
    <t>EMSG:-STRACE:most one result.  Select statement causing error: Values=[CNO:4263283343058XXX (publicidSTRACERAW:-</t>
  </si>
  <si>
    <t>EMSG:A report shows that the XXXSTRACE:the  XXX HYUNDAI SONATA XXXD GLS has been flagged as having Vehicle History activity.
	at edge.capabilities.quote.submission.quoting.util.SubmissionUnderwritingIssuesUtil.checkSideBySideProcessExceptions(SubmissionUnderwritingIssuesUtil.gs:XXXSTRACERAW:-</t>
  </si>
  <si>
    <t>EMSG:A report shows that the XXXSTRACE:the  XXX MINI COOPER HARDTOP XXXD has been flagged as having Vehicle History activity.
	at edge.capabilities.quote.submission.quoting.util.SubmissionUnderwritingIssuesUtil.checkSideBySideProcessExceptions(SubmissionUnderwritingIssuesUtil.gs:XXXSTRACERAW:-</t>
  </si>
  <si>
    <t>EMSG:A report shows that the XXXSTRACE:the  XXX RAM XXX QUAD PU XXXXXXX SLT has been flagged as having Vehicle History activity.
	at edge.capabilities.quote.submission.quoting.util.SubmissionUnderwritingIssuesUtil.checkSideBySideProcessExceptions(SubmissionUnderwritingIssuesUtil.gs:XXXSTRACERAW:-</t>
  </si>
  <si>
    <t>EMSG:Attempt to access bean of type "HOTransaction_HOE" id=XXX with a null bundleSTRACE:deployment.pc.war//com.guidewire.pl.system.entity.proxy.BeanProxy.checkIsInBundle(BeanProxy.java:XXXSTRACERAW:-</t>
  </si>
  <si>
    <t>EMSG:Correct the Date of Birth or select another PNI. Primary Named Insured must be at least XXX years of age.STRACE:least XXX years of age.
	at edge.capabilities.quote.submission.quoting.util.SubmissionUnderwritingIssuesUtil.checkSideBySideProcessExceptions(SubmissionUnderwritingIssuesUtil.gs:XXXSTRACERAW:-</t>
  </si>
  <si>
    <t>EMSG:Dwelling at XXXSTRACE:XXX E XXXth Ave, Thornton, CO: XXX% Limit on Extended Replacement Cost is no longer available and has been removed. Please enter a new value.
	at gw.api.extension.PCExtensionInterfacesMapper$block_XXX_.invoke(PCExtensionInterfacesMapper.gs:XXXSTRACERAW:-</t>
  </si>
  <si>
    <t>EMSG:Dwelling at XXXSTRACE:XXX Lambert Dr, Shawneetown, IL: Dwelling is required and must be added.
	at gw.api.extension.PCExtensionInterfacesMapper$block_XXX_.invoke(PCExtensionInterfacesMapper.gs:XXXSTRACERAW:-</t>
  </si>
  <si>
    <t>EMSG:Effective ranges overlap for PANewBusinessCount_Ext with BranchID XXX and with FixedID XXXSTRACE:deployment.pc.war//com.guidewire.pl.system.entity.proxy.EffDatedBeanProxy.checkForOverlaps(EffDatedBeanProxy.java:XXXSTRACERAW:-</t>
  </si>
  <si>
    <t>EMSG:Exception during Rating ExecuteIterationsMultiThreaded : gw.api.rating.RatingException: Exception during Rating JobNumber : XXX - FarmersPARatingEngine.runStepsByVehInParallel : java.util.concurrent.ExecutionException: gw.rating.CalcRoutineExecutionException: com.guidewire.pl.system.exception.DBException: Failed to close the connectionSTRACE:com.farmers.rating.common.flow.iteration.impl.IterationsExecutorImpl$block_XXX_.invoke(IterationsExecutorImpl.gs:XXXSTRACERAW:-</t>
  </si>
  <si>
    <t>EMSG:Exception during Rating ExecuteIterationsMultiThreaded : java.lang.IllegalStateException: No elements match the given conditionSTRACE:com.farmers.rating.common.flow.iteration.impl.IterationsExecutorImpl$block_XXX_.invoke(IterationsExecutorImpl.gs:XXXSTRACERAW:-</t>
  </si>
  <si>
    <t>EMSG:Exception during Rating ExecuteIterationsMultiThreaded : java.util.ConcurrentModificationExceptionSTRACE:com.farmers.rating.common.flow.iteration.impl.IterationsExecutorImpl$block_XXX_.invoke(IterationsExecutorImpl.gs:XXXSTRACERAW:-</t>
  </si>
  <si>
    <t>EMSG:FORTIFIED Roof Upgrade coverage ineligible. Roof type is other than Asphalt or Roof Valuation Method is Scheduled Roof.STRACE:edge.capabilities.quote.submission.quoting.util.SubmissionUnderwritingIssuesUtil.checkSideBySideProcessExceptions(SubmissionUnderwritingIssuesUtil.gs:XXXSTRACERAW:-</t>
  </si>
  <si>
    <t>EMSG:For eligible contact Brooke Hendrick credit score is null. Please make sure credit is orderedSTRACE:com.farmers.config.common.credit.CreditScoreHelper.populateRatingCreditDTO(CreditScoreHelper.gs:XXXSTRACERAW:-</t>
  </si>
  <si>
    <t>EMSG:For eligible contact KENNETH ROACH credit score is null. Please make sure credit is orderedSTRACE:com.farmers.config.common.credit.CreditScoreHelper.populateRatingCreditDTO(CreditScoreHelper.gs:XXXSTRACERAW:-</t>
  </si>
  <si>
    <t>EMSG:For eligible contact KENNY ROACH credit score is null. Please make sure credit is orderedSTRACE:com.farmers.config.common.credit.CreditScoreHelper.populateRatingCreditDTO(CreditScoreHelper.gs:XXXSTRACERAW:-</t>
  </si>
  <si>
    <t>EMSG:For eligible contact Kellen Mcgriff credit score is null. Please make sure credit is orderedSTRACE:com.farmers.config.common.credit.CreditScoreHelper.populateRatingCreditDTO(CreditScoreHelper.gs:XXXSTRACERAW:-</t>
  </si>
  <si>
    <t>EMSG:For eligible contact Matthew Little credit score is null. Please make sure credit is orderedSTRACE:com.farmers.config.common.credit.CreditScoreHelper.populateRatingCreditDTO(CreditScoreHelper.gs:XXXSTRACERAW:-</t>
  </si>
  <si>
    <t>EMSG:For eligible contact Moon Hwan Lee credit score is null. Please make sure credit is orderedSTRACE:com.farmers.config.common.credit.CreditScoreHelper.populateRatingCreditDTO(CreditScoreHelper.gs:XXXSTRACERAW:-</t>
  </si>
  <si>
    <t>EMSG:For eligible contact Patrick Reyer credit score is null. Please make sure credit is orderedSTRACE:com.farmers.config.common.credit.CreditScoreHelper.populateRatingCreditDTO(CreditScoreHelper.gs:XXXSTRACERAW:-</t>
  </si>
  <si>
    <t>EMSG:For eligible contact Renee Ziegler credit score is null. Please make sure credit is orderedSTRACE:com.farmers.config.common.credit.CreditScoreHelper.populateRatingCreditDTO(CreditScoreHelper.gs:XXXSTRACERAW:-</t>
  </si>
  <si>
    <t>EMSG:Found more than one target of the property XXXSTRACE:XXX E Rhine River Dr, Sonora,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</si>
  <si>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First St, Loyalton,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</si>
  <si>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Gull Ave, Foster City,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</si>
  <si>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EMSG:Internal error: bean entity.Account:XXX was staged for edit.STRACE:deployment.pc.war//com.guidewire.pl.system.bundle.EntityBundleImpl.handleBeanChange(EntityBundleImpl.java:XXXSTRACERAW:-</t>
  </si>
  <si>
    <t>EMSG:LAUREN KISSSTRACE:com.farmers.config.pa.validator.BrightlineValidator.validateQuoteBrightlineRules(BrightlineValidator.gs:XXXSTRACERAW:-</t>
  </si>
  <si>
    <t>EMSG:LAUREN KISSSTRACE:gw.job.QuoteProcess.requestQuote(QuoteProcess.gs:XXXSTRACERAW:-</t>
  </si>
  <si>
    <t>EMSG:One or more null constraint violations detected for PolicyADPFVehicle_ExtSTRACE:deployment.pc.war//com.guidewire.pl.system.database.entitywriter.DatabaseEntityWriterImpl.checkForNullConstraintViolation(DatabaseEntityWriterImpl.java:XXXSTRACERAW:-</t>
  </si>
  <si>
    <t>EMSG:Re-enter "License #". Duplicate License Number entered for the following Drivers Joe RoundySTRACE:edge.capabilities.quote.submission.quoting.util.SubmissionUnderwritingIssuesUtil.checkVerifyRateExceptions(SubmissionUnderwritingIssuesUtil.gs:XXXSTRACERAW:-</t>
  </si>
  <si>
    <t>EMSG:Re-enter "License #". Duplicate License Number entered for the following Drivers Michael ChangSTRACE:edge.capabilities.quote.submission.quoting.util.SubmissionUnderwritingIssuesUtil.checkVerifyRateExceptions(SubmissionUnderwritingIssuesUtil.gs:XXXSTRACERAW:-</t>
  </si>
  <si>
    <t>EMSG:Re-enter "License #". Duplicate License Number entered for the following Drivers Mike SaponeSTRACE:edge.capabilities.quote.submission.quoting.util.SubmissionUnderwritingIssuesUtil.checkVerifyRateExceptions(SubmissionUnderwritingIssuesUtil.gs:XXXSTRACERAW:-</t>
  </si>
  <si>
    <t>EMSG:Re-enter "License #". Duplicate License Number entered for the following Drivers Vu NguyenSTRACE:edge.capabilities.quote.submission.quoting.util.SubmissionUnderwritingIssuesUtil.checkVerifyRateExceptions(SubmissionUnderwritingIssuesUtil.gs:XXXSTRACERAW:-</t>
  </si>
  <si>
    <t>EMSG:Remove Limited Mold coverage. The coverage cannot be selected when the Age of Home is more than XXX years old.STRACE:edge.capabilities.quote.submission.quoting.util.SubmissionUnderwritingIssuesUtil.checkSideBySideProcessExceptions(SubmissionUnderwritingIssuesUtil.gs:XXXSTRACERAW:-</t>
  </si>
  <si>
    <t>EMSG:Roadside Assistance: The coverage term 'Coverage is' is required. Enter a value.;STRACE:edge.capabilities.quote.submission.quoting.util.SubmissionUnderwritingIssuesUtil.checkVerifyRateExceptions(SubmissionUnderwritingIssuesUtil.gs:XXXSTRACERAW:-</t>
  </si>
  <si>
    <t>EMSG:SOFIA WESTHOFFSTRACE:com.farmers.config.pa.validator.BrightlineValidator.validateQuoteBrightlineRules(BrightlineValidator.gs:XXXSTRACERAW:-</t>
  </si>
  <si>
    <t>EMSG:SOFIA WESTHOFFSTRACE:gw.job.QuoteProcess.requestQuote(QuoteProcess.gs:XXXSTRACERAW:-</t>
  </si>
  <si>
    <t>EMSG:Slice date XXX outside of range XXX for XXX XXX bean of type TerritoryCodeSTRACE:Jan XXX XXX:XXX:XXX PST XXX outside of range [Mon Jan XXX XXX:XXX:XXX PST XXX - Tue Mar XXX XXX:XXX:XXX PDT XXX] for bean of type TerritoryCode
	at deployment.pc.war//com.guidewire.pl.system.entity.proxy.EffDatedBaseProxy.getSliceUntyped(EffDatedBaseProxy.java:XXXSTRACERAW:-</t>
  </si>
  <si>
    <t>EMSG:The value "LUIZ BERENGUERSTRACE:deployment.pc.war//gw.datatype.impl.StringConstraintsHandlerBase.validateStringLength(StringConstraintsHandlerBase.java:XXXSTRACERAW:-</t>
  </si>
  <si>
    <t>EMSG:The value "MARK T AND DIANE F KERNSTRACE:deployment.pc.war//gw.datatype.impl.StringConstraintsHandlerBase.validateStringLength(StringConstraintsHandlerBase.java:XXXSTRACERAW:-</t>
  </si>
  <si>
    <t>EMSG:The value "MARY LOU WEIDLICHSTRACE:deployment.pc.war//gw.datatype.impl.StringConstraintsHandlerBase.validateStringLength(StringConstraintsHandlerBase.java:XXXSTRACERAW:-</t>
  </si>
  <si>
    <t>EMSG:The value XXX is not formatted correctly for the field "StreetName": Please edit address as only the following special characters are acceptable:   # STRACE:com.farmers.config.common.credit.ho.HOCreditScoreProcess.invokeService(HOCreditScoreProcess.gs:XXXSTRACERAW:-</t>
  </si>
  <si>
    <t>EMSG:Unable to compute PI Tier; there are no prior insurance reportsSTRACE:com.farmers.tier.pa.pitier.impl.PITierInputMapperImpl.selectReport(PITierInputMapperImpl.gs:XXXSTRACERAW:-</t>
  </si>
  <si>
    <t>EMSG:Update Signal Phone number for Zachary Berger. Each driver enrolled in the Signal program needs a unique cell phone number.;Update Signal Phone number for KATHERINE Berger. Each driver enrolled in the Signal program needs a unique cell phone number.;STRACE:edge.capabilities.quote.submission.quoting.util.SubmissionUnderwritingIssuesUtil.checkVerifyRateExceptions(SubmissionUnderwritingIssuesUtil.gs:XXXSTRACERAW:-</t>
  </si>
  <si>
    <t>EMSG:Verify Roof Year or Valuation Method. Valuation Method for Roof should be Replacement Cost Value for Roof Year less than or equal to XXX years.STRACE:edge.capabilities.quote.submission.quoting.util.SubmissionUnderwritingIssuesUtil.checkSideBySideProcessExceptions(SubmissionUnderwritingIssuesUtil.gs:XXXSTRACERAW:-</t>
  </si>
  <si>
    <t>EMSG:class com.farmers.integ.iwa.epartner.wsc.mortgageesearchwsc.providerinformationmanagement_vXXX.elements.RetrieveMortgageeOrLienholderDetails cannot be cast to class com.farmers.integ.iwa.epartner.wsc.mortgageesearchwsc.providerinformationmanagement_vXXX.elements.RetrieveMortgageeOrLienholderDetailsResponse (com.farmers.integ.iwa.epartner.wsc.mortgageesearchwsc.providerinformationmanagement_vXXX.elements.RetrieveMortgageeOrLienholderDetails and com.farmers.integ.iwa.epartner.wsc.mortgageesearchwsc.providerinformationmanagement_vXXX.elements.RetrieveMortgageeOrLienholderDetailsResponse are in unnamed module of loader 'deployment.pc.war XXXSTRACE:deployment.pc.war//com.farmers.integ.iwa.epartner.wsc.mortgageesearchwsc.providerinformationmanagement_vXXX.ProviderInformationManagementServiceVXXX_XXX.retrieveMortgageeOrLienholderDetails(Unknown SourceSTRACERAW:-</t>
  </si>
  <si>
    <t>EMSG:com.guidewire.pl.system.entity.proxy.EffDatedVersionListOverlapException: PersonalVehicleCovCost with FixedID:XXX and window XXXSTRACE:com.farmers.integ.framework.service.rest.RestServiceAdapter.invokeService(RestServiceAdapter.gs:XXXSTRACERAW:-</t>
  </si>
  <si>
    <t>EMSG:gw.xml.XmlException: 'Unable to parse XML from xml string using schemas [com.farmers.integ.iwa.mdm.wsc.mdmcustinfomgmtwsc.mdmcustomerinformationmanagement_vXXXSTRACE:line XXX column XXX'
	at com.farmers.config.pup.prefill.PUPPrefillPreProcesser.getPolicySummaryFromMDM(PUPPrefillPreProcesser.gs:XXXSTRACERAW:-</t>
  </si>
  <si>
    <t>EMSG:java.lang.ArrayIndexOutOfBoundsException: Index XXX out of bounds for length XXXSTRACE:com.farmers.integ.framework.service.rest.RestServiceAdapter.invokeService(RestServiceAdapter.gs:XXXSTRACERAW:-</t>
  </si>
  <si>
    <t>EMSG:, AOR=XXXSTRACE:com.farmers.config.pa.adpf.ADPFDriverdupingProcess.evulateDuplicateDriver_Ext(ADPFDriverdupingProcess.gs:XXXSTRACERAW:-</t>
  </si>
  <si>
    <t>EMSG:, AOR=XXXSTRACE:java.base/java.util.Date.getMillisOf(Date.java:XXXSTRACERAW:-</t>
  </si>
  <si>
    <t>EMSG:-STRACE:-STRACERAW:Jan XXX XXX:XXX:XXX PST XXX, MSG=HTTP POST on resource 'https://api.odysseynext.com:XXX/api/client/quote/createQuick' failed: bad gateway (XXX</t>
  </si>
  <si>
    <t>EMSG:-STRACE:-STRACERAW:Jan XXX XXX:XXX:XXX PST XXX, MSG=Transaction Failed. Failed to parse response : Unexpected character ('&lt;' (code XXX</t>
  </si>
  <si>
    <t>EMSG:-STRACE:-STRACERAW:deployment.pc.war//com.guidewire.pc.domain.purge.PurgeHandlerImpl.doPurge(PurgeHandlerImpl.java:XXX</t>
  </si>
  <si>
    <t>EMSG:-STRACE:-STRACERAW:gw.api.domain.account.AbstractAccountSyncedFieldImpl.getAccountEntityFieldValue(AbstractAccountSyncedFieldImpl.java:XXX</t>
  </si>
  <si>
    <t>EMSG:-STRACE:-STRACERAW:org.apache.solr.client.solrj.impl.BaseCloudSolrClient.requestWithRetryOnStaleState(BaseCloudSolrClient.java:XXX</t>
  </si>
  <si>
    <t>EMSG:-STRACE:com.farmers.config.common.enhancements.PolicyPeriodEnhancement$block_XXX_.invoke(PolicyPeriodEnhancement.gsx:XXXSTRACERAW:-</t>
  </si>
  <si>
    <t>EMSG:-STRACE:com.farmers.integ.framework.job.automatejob.AutomatedJob.handleSpillOverExceptions(AutomatedJob.gs:XXXSTRACERAW:-</t>
  </si>
  <si>
    <t>EMSG:-STRACE:java.base/java.util.stream.ReferencePipeline$XXX$XXX.accept(ReferencePipeline.java:XXXSTRACERAW:-</t>
  </si>
  <si>
    <t>EMSG:-STRACE:least one vehicle. Since the number of vehicles is greater than the number of drivers, each driver must be a Primary Driver on at least one vehicle.
Change Primary Driver on the Vehicle XXX TOYOTA CAMRY XXXD XXXWD CE/LE/XLE. Primary Driver should be an Active Driver.
	at com.farmers.lob.pa.driverassignment.DriverAssignment.validateData(DriverAssignment.gs:XXXSTRACERAW:-</t>
  </si>
  <si>
    <t>EMSG:-STRACE:least one vehicle. Since the number of vehicles is greater than the number of drivers, each driver must be a Primary Driver on at least one vehicle.
Update Primary Driver on the Vehicle XXX CHEVROLET TRUCK SUBURBAN XXX/XXXT XXXDOOR XXXXXXX LT. Primary Driver not found on the policy.
	at com.farmers.lob.pa.driverassignment.DriverAssignment.validateData(DriverAssignment.gs:XXXSTRACERAW:-</t>
  </si>
  <si>
    <t>EMSG:-STRACE:least one vehicle. Since the number of vehicles is greater than the number of drivers, each driver must be a Primary Driver on at least one vehicle.
Update Primary Driver on the Vehicle XXX GMC TRUCK ACADIA LIMITED XXXD XXXWD SLTXXX. Primary Driver not found on the policy.
	at com.farmers.lob.pa.driverassignment.DriverAssignment.validateData(DriverAssignment.gs:XXXSTRACERAW:-</t>
  </si>
  <si>
    <t>EMSG:ANGELITO O DEDIOSSTRACE:com.farmers.config.pa.validator.BrightlineValidator.validateQuoteBrightlineRules(BrightlineValidator.gs:XXXSTRACERAW:-</t>
  </si>
  <si>
    <t>EMSG:CLINTON JONESSTRACE:com.farmers.config.pa.validator.BrightlineValidator.validateQuoteBrightlineRules(BrightlineValidator.gs:XXXSTRACERAW:-</t>
  </si>
  <si>
    <t>EMSG:Cannot resolve an incident record to a single policy contact roleSTRACE:com.farmers.chargeability.pup.info.PUPIncidentInfoDto.mapFromEntity(PUPIncidentInfoDto.gs:XXXSTRACERAW:-</t>
  </si>
  <si>
    <t>EMSG:Could not find a policy with number: XXX  that is effective on the given date: XXXXXXXXXSTRACE:is effective on the given date: XXXXXXXXX
	at com.farmers.integ.framework.job.automatejob.AutomatedJob.initialize(AutomatedJob.gs:XXXSTRACERAW:-</t>
  </si>
  <si>
    <t>EMSG:Dwelling at XXXSTRACE:XXX BERKELEY DR, HOOVER, AL: Perils on Personal Property is now available and its value must be verified by the user.
	at gw.api.extension.PCExtensionInterfacesMapper$block_XXX_.invoke(PCExtensionInterfacesMapper.gs:XXXSTRACERAW:-</t>
  </si>
  <si>
    <t>EMSG:Dwelling at XXXSTRACE:XXX Basile Rd, Philadelphia, PA: Perils on Personal Property is now available and its value must be verified by the user.; Dwelling at XXX Basile Rd, Philadelphia, PA: No message configured; Dwelling at XXX Basile Rd, Philadelphia, PA: No message configured
	at gw.api.extension.PCExtensionInterfacesMapper$block_XXX_.invoke(PCExtensionInterfacesMapper.gs:XXXSTRACERAW:-</t>
  </si>
  <si>
    <t>EMSG:Dwelling at XXXSTRACE:XXX Bassett Rd, North Haven, CT: Perils on Personal Property is now available and its value must be verified by the user.
	at gw.api.extension.PCExtensionInterfacesMapper$block_XXX_.invoke(PCExtensionInterfacesMapper.gs:XXXSTRACERAW:-</t>
  </si>
  <si>
    <t>EMSG:Dwelling at XXXSTRACE:XXX Clark St, Bridgeport, CT: Perils on Personal Property is now available and its value must be verified by the user.; Dwelling at XXX Clark St, Bridgeport, CT: No message configured
	at gw.api.extension.PCExtensionInterfacesMapper$block_XXX_.invoke(PCExtensionInterfacesMapper.gs:XXXSTRACERAW:-</t>
  </si>
  <si>
    <t>EMSG:Dwelling at XXXSTRACE:XXX Cody Ln, Butler, AL: Perils on Personal Property is now available and its value must be verified by the user.
	at gw.api.extension.PCExtensionInterfacesMapper$block_XXX_.invoke(PCExtensionInterfacesMapper.gs:XXXSTRACERAW:-</t>
  </si>
  <si>
    <t>EMSG:Dwelling at XXXSTRACE:XXX E Running Deer Trl, Scottsdale, AZ: No message configured; Dwelling at XXX E Running Deer Trl, Scottsdale, AZ: XXX% Limit on Extended Replacement Cost is no longer available and has been removed. Please enter a new value.
	at gw.api.extension.PCExtensionInterfacesMapper$block_XXX_.invoke(PCExtensionInterfacesMapper.gs:XXXSTRACERAW:-</t>
  </si>
  <si>
    <t>EMSG:Dwelling at XXXSTRACE:XXX Fairview Ave, Ponca City, OK: Perils on Personal Property is now available and its value must be verified by the user.
	at gw.api.extension.PCExtensionInterfacesMapper$block_XXX_.invoke(PCExtensionInterfacesMapper.gs:XXXSTRACERAW:-</t>
  </si>
  <si>
    <t>EMSG:Dwelling at XXXSTRACE:XXX Farmhouse Ln, Clovis, CA: XXX% Limit on Loss of Use is no longer available and has been removed. Please enter a new value.
	at gw.api.extension.PCExtensionInterfacesMapper$block_XXX_.invoke(PCExtensionInterfacesMapper.gs:XXXSTRACERAW:-</t>
  </si>
  <si>
    <t>EMSG:Dwelling at XXXSTRACE:XXX Grand View Cir, Joshua Tree, CA: XXX% Limit on Loss of Use is no longer available and has been removed. Please enter a new value.
	at gw.api.extension.PCExtensionInterfacesMapper$block_XXX_.invoke(PCExtensionInterfacesMapper.gs:XXXSTRACERAW:-</t>
  </si>
  <si>
    <t>EMSG:Dwelling at XXXSTRACE:XXX Hamilton Ln, Escondido, CA: XXX% Limit on Loss of Use is no longer available and has been removed. Please enter a new value.
	at gw.api.extension.PCExtensionInterfacesMapper$block_XXX_.invoke(PCExtensionInterfacesMapper.gs:XXXSTRACERAW:-</t>
  </si>
  <si>
    <t>EMSG:Dwelling at XXXSTRACE:XXX Holly Oak Way, Poway, CA: XXX% Limit on Loss of Use is no longer available and has been removed. Please enter a new value.
	at gw.api.extension.PCExtensionInterfacesMapper$block_XXX_.invoke(PCExtensionInterfacesMapper.gs:XXXSTRACERAW:-</t>
  </si>
  <si>
    <t>EMSG:Dwelling at XXXSTRACE:XXX Lakeside Dr, Odenville, AL: Perils on Personal Property is now available and its value must be verified by the user.
	at gw.api.extension.PCExtensionInterfacesMapper$block_XXX_.invoke(PCExtensionInterfacesMapper.gs:XXXSTRACERAW:-</t>
  </si>
  <si>
    <t>EMSG:Dwelling at XXXSTRACE:XXX Luann Ct, Vallejo, CA: XXX% Limit on Loss of Use is no longer available and has been removed. Please enter a new value.
	at gw.api.extension.PCExtensionInterfacesMapper$block_XXX_.invoke(PCExtensionInterfacesMapper.gs:XXXSTRACERAW:-</t>
  </si>
  <si>
    <t>EMSG:Dwelling at XXXSTRACE:XXX N Autumnglo Dr, Fresno, CA: XXX% Limit on Loss of Use is no longer available and has been removed. Please enter a new value.
	at gw.api.extension.PCExtensionInterfacesMapper$block_XXX_.invoke(PCExtensionInterfacesMapper.gs:XXXSTRACERAW:-</t>
  </si>
  <si>
    <t>EMSG:Dwelling at XXXSTRACE:XXX N Burton Way, Palm Springs, CA: XXX% Limit on Loss of Use is no longer available and has been removed. Please enter a new value.
	at gw.api.extension.PCExtensionInterfacesMapper$block_XXX_.invoke(PCExtensionInterfacesMapper.gs:XXXSTRACERAW:-</t>
  </si>
  <si>
    <t>EMSG:Dwelling at XXXSTRACE:XXX Nassau Rd, Warminster, PA: Perils on Personal Property is now available and its value must be verified by the user.; Dwelling at XXX Nassau Rd, Warminster, PA: No message configured
	at gw.api.extension.PCExtensionInterfacesMapper$block_XXX_.invoke(PCExtensionInterfacesMapper.gs:XXXSTRACERAW:-</t>
  </si>
  <si>
    <t>EMSG:Dwelling at XXXSTRACE:XXX Rue De Lac, Escondido, CA: XXX% Limit on Loss of Use is no longer available and has been removed. Please enter a new value.
	at gw.api.extension.PCExtensionInterfacesMapper$block_XXX_.invoke(PCExtensionInterfacesMapper.gs:XXXSTRACERAW:-</t>
  </si>
  <si>
    <t>EMSG:Dwelling at XXXSTRACE:XXX Saw Mill Rd, Weston, CT: Perils on Personal Property is now available and its value must be verified by the user.
	at gw.api.extension.PCExtensionInterfacesMapper$block_XXX_.invoke(PCExtensionInterfacesMapper.gs:XXXSTRACERAW:-</t>
  </si>
  <si>
    <t>EMSG:Dwelling at XXXSTRACE:XXX The Oaks Blvd, Elgin, TX: Replacement Cost Value Valuation Method on Personal Property is no longer available and has been removed. Please enter a new value.; Dwelling at XXX The Oaks Blvd, Elgin, TX: No message configured
	at gw.api.extension.PCExtensionInterfacesMapper$block_XXX_.invoke(PCExtensionInterfacesMapper.gs:XXXSTRACERAW:-</t>
  </si>
  <si>
    <t>EMSG:Dwelling at XXXSTRACE:XXX White Gate Rd, Alamo, CA: XXX% Limit on Loss of Use is no longer available and has been removed. Please enter a new value.
	at gw.api.extension.PCExtensionInterfacesMapper$block_XXX_.invoke(PCExtensionInterfacesMapper.gs:XXXSTRACERAW:-</t>
  </si>
  <si>
    <t>EMSG:Dwelling at XXXSTRACE:XXXA XXX Essex St, Berkeley, CA: XXX% Limit on Loss of Use is no longer available and has been removed. Please enter a new value.
	at gw.api.extension.PCExtensionInterfacesMapper$block_XXX_.invoke(PCExtensionInterfacesMapper.gs:XXXSTRACERAW:-</t>
  </si>
  <si>
    <t>EMSG:For eligible contact TERRY Runnells credit score is null. Please make sure credit is orderedSTRACE:com.farmers.config.common.credit.CreditScoreHelper.populateRatingCreditDTO(CreditScoreHelper.gs:XXXSTRACERAW:-</t>
  </si>
  <si>
    <t>EMSG:LUW Policy Change Job XXX: The object you are trying to update was XXXSTRACE:XXX/XXX/XXX XXX:XXX AM. Please cancel and retry your change.
LUW Policy Change Job XXX: The object you are trying to update was 'Policy:CN:19830542070356865917XXX - CN:19830542070356865917XXX', and it was changed by Fernando Marron at XXX/XXX/XXX XXX:XXX AM. Please cancel and retry your change.
The object you are trying to update was 'Policy:CN:19830542070356865917XXX - CN:19830542070356865917XXX', and it was changed by Fernando Marron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</si>
  <si>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'Policy:pc:XXX - pc:XXX', and it was changed by Gabe Cudd at XXX/XXX/XXX XXX:XXX AM.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</si>
  <si>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'Policy:CN:0103274878081762456007XXX - CN:0103274878081762456007XXX', and it was changed by Marcela Zoraima Santizo Paz at XXX/XXX/XXX XXX:XXX PM. Please cancel and retry your change.
The object you are trying to update was 'Policy:CN:0103274878081762456007XXX - CN:0103274878081762456007XXX', and it was changed by Marcela Zoraima Santizo Paz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</si>
  <si>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'Policy:CN:09258610590434871600042XXX - CN:09258610590434871600042XXX', and it was changed by Reynaldo Apostol Manzano at XXX/XXX/XXX XXX:XXX PM. Please cancel and retry your change.
The object you are trying to update was 'Policy:CN:09258610590434871600042XXX - CN:09258610590434871600042XXX', and it was changed by Reynaldo Apostol Manzano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</si>
  <si>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'Policy:CN:09313907910528937811009XXX - CN:09313907910528937811009XXX', and it was changed by David De Lisle Owens at XXX/XXX/XXX XXX:XXX PM. Please cancel and retry your change.
The object you are trying to update was 'Policy:CN:09313907910528937811009XXX - CN:09313907910528937811009XXX', and it was changed by David De Lisle Owens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</si>
  <si>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'Policy:CN:09334371960091678508XXX - CN:09334371960091678508XXX', and it was changed by Joseph Victor Alfano at XXX/XXX/XXX XXX:XXX PM. Please cancel and retry your change.
The object you are trying to update was 'Policy:CN:09334371960091678508XXX - CN:09334371960091678508XXX', and it was changed by Joseph Victor Alfano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</si>
  <si>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'Policy:CN:19507268620676667007019XXX - CN:19507268620676667007019XXX', and it was changed by Johoanna Abar Deguzman at XXX/XXX/XXX XXX:XXX PM. Please cancel and retry your change.
LUW Policy Change Job XXX: The object you are trying to update was 'Policy:CN:19507268620676667007019XXX - CN:19507268620676667007019XXX', and it was changed by Johoanna Abar Deguzman at XXX/XXX/XXX XXX:XXX PM. Please cancel and retry your change.
The object you are trying to update was 'Policy:CN:19507268620676667007019XXX - CN:19507268620676667007019XXX', and it was changed by Johoanna Abar Deguzman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</si>
  <si>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'Policy:CN:0186860192017273137303XXX - CN:0186860192017273137303XXX', and it was changed by Yana Leah Kotlyarevskaya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</si>
  <si>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'Policy:CN:1985193747019178803001XXX - CN:1985193747019178803001XXX', and it was changed by Tyler Snow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</si>
  <si>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'Policy:CN:198696477801298172780196XXX - CN:198696477801298172780196XXX', and it was changed by Audra Lynn Chioino at XXX/XXX/XXX XXX:XXX PM. Please cancel and retry your change.
	at gw.acc.luw.LUWExceptionHelper.processUserDisplayableException(LUWExceptionHelper.gs:XXXSTRACERAW:-</t>
  </si>
  <si>
    <t>EMSG:Remove duplicate driver Satya Yaswanth Kalla. Two or more non-drivers with the same information exist.STRACE:edge.capabilities.policychange.lob.personalauto.coverables.DefaultPaCoverablePlugin.updateCoverables(DefaultPaCoverablePlugin.gs:XXXSTRACERAW:-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</si>
  <si>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HONDA ODYSSEY VAN EX-L.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</si>
  <si>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TOYOTA COROLLA SEDAN XXXWD L/LE/S.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</si>
  <si>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TOYOTA TACOMA PU DBL CAB XXXXXXX SR/TRD.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</si>
  <si>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ASHLEIGH MEDINA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</si>
  <si>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AXEL ANDERSON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</si>
  <si>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FELIX SANTOS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</si>
  <si>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FRANK SCUNDI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</si>
  <si>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Hugo Rodriguez Plascencia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</si>
  <si>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JAKE DYNE as the Primary Driver on at least one vehicle. Since the number of vehicles is greater than the number of drivers, each driver must be a Primary Driver on at least one vehicle.
Select Shelle Dyne as the Primary Driver on at least one vehicle. Since the number of vehicles is greater than the number of drivers, each driver must be a Primary Driver on at least one vehicle.
Select BRANDON DYNE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</si>
  <si>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JOSHUA SOLON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</si>
  <si>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JULIANNA PERALTA as the Primary Driver on at least one vehicle. Since the number of vehicles is greater than the number of drivers, each driver must be a Primary Driver on at least one vehicle.
Select SANDRA ORTIZ ROJAS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</si>
  <si>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Jesus Jullian Arambula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</si>
  <si>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LOURDES OCEGUERA as the Primary Driver on at least one vehicle. Since the number of vehicles is greater than the number of drivers, each driver must be a Primary Driver on at least one vehicle.
Select ANNA GUZMAN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</si>
  <si>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jon doe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</si>
  <si>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Update Primary Driver on the Vehicle XXX HONDA ACCORD XXXD EX-VXXX. Primary Driver not found on the policy.
Update Primary Driver on the Vehicle XXX HONDA ACCORD XXXD EX. Primary Driver not found on the policy.
	at com.farmers.lob.pa.driverassignment.DriverAssignment.validateData(DriverAssignment.gs:XXXSTRACERAW:-</t>
  </si>
  <si>
    <t>EMSG:Stale Days is not defined in the system tables for state - OtherSTRACE:com.farmers.config.pa.mvr.dao.MotorVehicleRecordDAO.performMultiMvrSearch(MotorVehicleRecordDAO.gs:XXXSTRACERAW:-</t>
  </si>
  <si>
    <t>EMSG:XXX KIA SORENTO XXXD XXXXXXX EX in Colorado: Coverage is on Comprehensive is now available and its value must be verified by the user.; XXX KIA SORENTO XXXD XXXXXXX EX in Colorado: Coverage is on Collision is now available and its value must be verified by the user.; XXX KIA SORENTO XXXD XXXXXXX EX in Colorado: Coverage is on Roadside Assistance is now available and its value must be verified by the user.; XXX KIA SORENTO XXXD XXXXXXX EX in Colorado: Coverage is on Rental Alternative is now available and its value must be verified by the user.; XXX KIA SORENTO XXXD XXXXXXX EX in Colorado: Coverage is on $XXX Glass Deductible is now available and its value must be verified by the user.; XXX FORD TRUCK FXXX CREW C PU XXXXXXX CREW CAB in Colorado: Coverage is on Comprehensive is now available and its value must be verified by the user.; XXX FORD TRUCK FXXX CREW C PU XXXXXXX CREW CAB in Colorado: Coverage is on Collision is now available and its value must be verified by the user.; Xâ€¦</t>
  </si>
  <si>
    <t>EMSG:XXX TOYOTA CAMRY HYBRID XXXD LE/SE/XLE in Colorado: Coverage is on Comprehensive is now available and its value must be verified by the user.; XXX TOYOTA CAMRY HYBRID XXXD LE/SE/XLE in Colorado: Coverage is on Collision is now available and its value must be verified by the user.; XXX TOYOTA CAMRY HYBRID XXXD LE/SE/XLE in Colorado: Coverage is on Roadside Assistance is now available and its value must be verified by the user.; XXX TOYOTA CAMRY HYBRID XXXD LE/SE/XLE in Colorado: Coverage is on Rental Alternative is now available and its value must be verified by the user.; XXX TOYOTA CAMRY HYBRID XXXD LE/SE/XLE in Colorado: Coverage is on $XXX Glass Deductible is now available and its value must be verified by the user.; XXX TOYOTA HIGHLANDER XXXD XXXWD SE/XLE VXXX in Colorado: Coverage is on Comprehensive is now available and its value must be verified by the user.; XXX TOYOTA HIGHLANDER XXXD XXXWD SE/XLE VXXX in Colorado: Coverage is on Collision is now available and its value mâ€¦</t>
  </si>
  <si>
    <t>EMSG:XXX TOYOTA CAMRY XXXD XXXWD LE/XLE/SE/XSE in Colorado: Coverage is on Comprehensive is now available and its value must be verified by the user.; XXX TOYOTA CAMRY XXXD XXXWD LE/XLE/SE/XSE in Colorado: Coverage is on Collision is now available and its value must be verified by the user.; XXX TOYOTA CAMRY XXXD XXXWD LE/XLE/SE/XSE in Colorado: Coverage is on Roadside Assistance is now available and its value must be verified by the user.; XXX TOYOTA CAMRY XXXD XXXWD LE/XLE/SE/XSE in Colorado: Coverage is on Rental Alternative is now available and its value must be verified by the user.; XXX TOYOTA CAMRY XXXD XXXWD LE/XLE/SE/XSE in Colorado: No message configuredSTRACE:gw.api.extension.PCExtensionInterfacesMapper$block_XXX_.invoke(PCExtensionInterfacesMapper.gs:XXXSTRACERAW:-</t>
  </si>
  <si>
    <t>EMSG:XXX TOYOTA XXXRUNNER HYBRID XXXD XXXWD in Colorado: Coverage is on Comprehensive is now available and its value must be verified by the user.; XXX TOYOTA XXXRUNNER HYBRID XXXD XXXWD in Colorado: Coverage is on Collision is now available and its value must be verified by the user.; XXX TOYOTA XXXRUNNER HYBRID XXXD XXXWD in Colorado: Coverage is on Roadside Assistance is now available and its value must be verified by the user.; XXX TOYOTA XXXRUNNER HYBRID XXXD XXXWD in Colorado: Coverage is on Rental Alternative is now available and its value must be verified by the user.; XXX TOYOTA XXXRUNNER HYBRID XXXD XXXWD in Colorado: Coverage is on $XXX Glass Deductible is now available and its value must be verified by the user.; XXX LEXUS RX XXX XXXD XXXWD PREMIUM in Colorado: Coverage is on Comprehensive is now available and its value must be verified by the user.; XXX LEXUS RX XXX XXXD XXXWD PREMIUM in Colorado: Coverage is on Collision is now available and its value must be verified byâ€¦</t>
  </si>
  <si>
    <t>EMSG:com.guidewire.pl.system.exception.DBException: Failed to execute a querySTRACE:com.farmers.integ.erti.riskanalysis.servicedelegate.ADPFRiskAnalysisServiceDelegate.getADPFReport(ADPFRiskAnalysisServiceDelegate.gs:XXXSTRACERAW:-</t>
  </si>
  <si>
    <t>EMSG:, AOR=XXXSTRACE:com.farmers.config.common.autoXXXstCentury.AutoXXXstCenturyProcess$block_XXX_.invoke(AutoXXXstCenturyProcess.gs:XXXSTRACERAW:-</t>
  </si>
  <si>
    <t>EMSG:, AOR=XXXSTRACE:com.farmers.config.common.mvr.MVRProcess.buildInfractionsForFlex_Ext(MVRProcess.gs:XXXSTRACERAW:-</t>
  </si>
  <si>
    <t>EMSG:, AOR=XXXSTRACE:com.farmers.config.ho.dwelling.propertyvaluation.process.HOPropertyValuationProcess.populateValuationRequest(HOPropertyValuationProcess.gs:XXXSTRACERAW:-</t>
  </si>
  <si>
    <t>EMSG:, AOR=XXXSTRACE:deployment.pc.war//gw.api.domain.account.AbstractAccountSyncedFieldImpl.shouldSetAccountEntityField(AbstractAccountSyncedFieldImpl.java:XXXSTRACERAW:-</t>
  </si>
  <si>
    <t>EMSG:, AOR=XXXSTRACE:gw.acc.luw.perf.JobManager$block_XXX_.invoke(JobManager.gs:XXXSTRACERAW:-</t>
  </si>
  <si>
    <t>EMSG:-STRACE:-STRACERAW:Dec XXX XXX:XXX:XXX PST XXX (attempted merging values XXX VOLKSWAGEN NEW BEETLE CONV XXX.XXX in Illinois and XXX VOLKSWAGEN NEW BEETLE CONV XXX.XXX in Illinois</t>
  </si>
  <si>
    <t>EMSG:-STRACE:-STRACERAW:Mar XXX XXX:XXX:XXX PDT XXX (attempted merging values Personal Auto Line and Personal Auto Line</t>
  </si>
  <si>
    <t>EMSG:-STRACE:-STRACERAW:Mar XXX XXX:XXX:XXX PST XXX (attempted merging values Personal Umbrella Line and Personal Umbrella Line</t>
  </si>
  <si>
    <t>EMSG:-STRACE:-STRACERAW:com.farmers.config.ho.helper.QuoteScreenHelper.getOtherCosts(QuoteScreenHelper.gs:XXX</t>
  </si>
  <si>
    <t>EMSG:-STRACE:-STRACERAW:com.farmers.config.pa.mvr.dao.MotorVehicleRecordDAO.performMultiMvrSearch(MotorVehicleRecordDAO.gs:XXX</t>
  </si>
  <si>
    <t>EMSG:-STRACE:-STRACERAW:com.guidewire.pl.web.navigation.EditControllerImpl.addOrLoadBeanToBundle(EditControllerImpl.java:XXX</t>
  </si>
  <si>
    <t>EMSG:-STRACE:-STRACERAW:com.guidewire.pl.web.navigation.NavigatorImpl.doGoOrPush(NavigatorImpl.java:XXX</t>
  </si>
  <si>
    <t>EMSG:-STRACE:-STRACERAW:gw.job.JobConditions.checkAllVersions(JobConditions.gs:XXX</t>
  </si>
  <si>
    <t>EMSG:-STRACE:-STRACERAW:gw.pl.util.ExceptionUtil.findExceptionCause(ExceptionUtil.java:XXX</t>
  </si>
  <si>
    <t>EMSG:-STRACE:-STRACERAW:gw.policylocation.PolicyLocationAccountSyncableImpl.refreshAccountInformation(PolicyLocationAccountSyncableImpl.gs:XXX</t>
  </si>
  <si>
    <t>EMSG:-STRACE:-STRACERAW:pcfc.expressions.CEACompanionPopupExpressions$CEACompanionPopupExpressionsImpl.onChange_XXX(CEACompanionPopupExpressions.gs:XXX</t>
  </si>
  <si>
    <t>EMSG:-STRACE:-STRACERAW:pcfc.expressions.JobWizardToolbarButtonSet_PolicyChangeExpressions$JobWizardToolbarButtonSetExpressionsImpl.initialValue_XXX(JobWizardToolbarButtonSet_PolicyChangeExpressions.gs:XXX</t>
  </si>
  <si>
    <t>EMSG:-STRACE:-STRACERAW:pcfc.expressions.WorkflowDetailDVExpressions$WorkflowDetailDVExpressionsImpl.value_XXX(WorkflowDetailDVExpressions.gs:XXX</t>
  </si>
  <si>
    <t>EMSG:-STRACE:com.farmers.integ.billing.retrievequote.transfomer.RetrieveQuoteResponseTransformer$block_XXX_.invoke(RetrieveQuoteResponseTransformer.gs:XXXSTRACERAW:-</t>
  </si>
  <si>
    <t>EMSG:-STRACE:com.farmers.integ.common.utils.authentication.OKTARedirectHelper.getOKTAUser(OKTARedirectHelper.gs:XXXSTRACERAW:-</t>
  </si>
  <si>
    <t>EMSG:-STRACE:com.farmers.integ.downstream.policytransaction.BranchOrderHelper$Entry.compareTo(BranchOrderHelper.gs:XXXSTRACERAW:-</t>
  </si>
  <si>
    <t>EMSG:-STRACE:java.base/java.lang.NumberFormatException.forInputString(NumberFormatException.java:XXXSTRACERAW:-</t>
  </si>
  <si>
    <t>EMSG:A report shows that the XXXSTRACE:the  XXX BMW XXX IS/CI XXXD, XXX BMW XXX I XXXD has been flagged as having Vehicle History activity.
	at edge.capabilities.quote.submission.quoting.util.SubmissionUnderwritingIssuesUtil.checkSideBySideProcessExceptions(SubmissionUnderwritingIssuesUtil.gs:XXXSTRACERAW:-</t>
  </si>
  <si>
    <t>EMSG:A report shows that the XXXSTRACE:the  XXX CHEVROLET IMPALA XXXD XXXLT has been flagged as having Vehicle History activity.
	at edge.capabilities.quote.submission.quoting.util.SubmissionUnderwritingIssuesUtil.checkSideBySideProcessExceptions(SubmissionUnderwritingIssuesUtil.gs:XXXSTRACERAW:-</t>
  </si>
  <si>
    <t>EMSG:A report shows that the XXXSTRACE:the  XXX CHEVROLET TRUCK SLVRDO XXX CR XXXXXXX TRL BOSS-LT has been flagged as having Vehicle History activity.
	at edge.capabilities.quote.submission.quoting.util.SubmissionUnderwritingIssuesUtil.checkSideBySideProcessExceptions(SubmissionUnderwritingIssuesUtil.gs:XXXSTRACERAW:-</t>
  </si>
  <si>
    <t>EMSG:A report shows that the XXXSTRACE:the  XXX CHEVROLET TRUCK SLVRDO XXX CREW PU XXXWD has been flagged as having Vehicle History activity.
	at edge.capabilities.quote.submission.quoting.util.SubmissionUnderwritingIssuesUtil.checkSideBySideProcessExceptions(SubmissionUnderwritingIssuesUtil.gs:XXXSTRACERAW:-</t>
  </si>
  <si>
    <t>EMSG:A report shows that the XXXSTRACE:the  XXX CHRYSLER XXX HEMI XXXD XXXWD C has been flagged as having Vehicle History activity.
	at edge.capabilities.quote.submission.quoting.util.SubmissionUnderwritingIssuesUtil.checkSideBySideProcessExceptions(SubmissionUnderwritingIssuesUtil.gs:XXXSTRACERAW:-</t>
  </si>
  <si>
    <t>EMSG:A report shows that the XXXSTRACE:the  XXX DODGE DART XXXD GT has been flagged as having Vehicle History activity.
	at edge.capabilities.quote.submission.quoting.util.SubmissionUnderwritingIssuesUtil.checkSideBySideProcessExceptions(SubmissionUnderwritingIssuesUtil.gs:XXXSTRACERAW:-</t>
  </si>
  <si>
    <t>EMSG:A report shows that the XXXSTRACE:the  XXX DODGE MAGNUM SW XXXWD SXT has been flagged as having Vehicle History activity.
	at edge.capabilities.quote.submission.quoting.util.SubmissionUnderwritingIssuesUtil.checkSideBySideProcessExceptions(SubmissionUnderwritingIssuesUtil.gs:XXXSTRACERAW:-</t>
  </si>
  <si>
    <t>EMSG:A report shows that the XXXSTRACE:the  XXX DODGE TRUCK RAM XXX CLUB C PU XXXXXXX XXX-DOOR has been flagged as having Vehicle History activity.
	at edge.capabilities.quote.submission.quoting.util.SubmissionUnderwritingIssuesUtil.checkSideBySideProcessExceptions(SubmissionUnderwritingIssuesUtil.gs:XXXSTRACERAW:-</t>
  </si>
  <si>
    <t>EMSG:A report shows that the XXXSTRACE:the  XXX FORD ESCORT XXX DOOR LX has been flagged as having Vehicle History activity.
	at edge.capabilities.quote.submission.quoting.util.SubmissionUnderwritingIssuesUtil.checkSideBySideProcessExceptions(SubmissionUnderwritingIssuesUtil.gs:XXXSTRACERAW:-</t>
  </si>
  <si>
    <t>EMSG:A report shows that the XXXSTRACE:the  XXX FORD FIESTA XXXD S has been flagged as having Vehicle History activity.
	at edge.capabilities.quote.submission.quoting.util.SubmissionUnderwritingIssuesUtil.checkSideBySideProcessExceptions(SubmissionUnderwritingIssuesUtil.gs:XXXSTRACERAW:-</t>
  </si>
  <si>
    <t>EMSG:A report shows that the XXXSTRACE:the  XXX FORD TRUCK ESCAPE XXXD XXXWD TITANIUM has been flagged as having Vehicle History activity.
	at edge.capabilities.quote.submission.quoting.util.SubmissionUnderwritingIssuesUtil.checkSideBySideProcessExceptions(SubmissionUnderwritingIssuesUtil.gs:XXXSTRACERAW:-</t>
  </si>
  <si>
    <t>EMSG:A report shows that the XXXSTRACE:the  XXX GMC TRUCK ACADIA XXXD XXXWD SLTXXX, XXX CHEVROLET TRUCK SLVRDO XXX PU EXT CAB XXXWD has been flagged as having Vehicle History activity.
	at edge.capabilities.quote.submission.quoting.util.SubmissionUnderwritingIssuesUtil.checkSideBySideProcessExceptions(SubmissionUnderwritingIssuesUtil.gs:XXXSTRACERAW:-</t>
  </si>
  <si>
    <t>EMSG:A report shows that the XXXSTRACE:the  XXX GMC TRUCK SIERRA XXX XXXXXXX has been flagged as having Vehicle History activity.
	at edge.capabilities.quote.submission.quoting.util.SubmissionUnderwritingIssuesUtil.checkSideBySideProcessExceptions(SubmissionUnderwritingIssuesUtil.gs:XXXSTRACERAW:-</t>
  </si>
  <si>
    <t>EMSG:A report shows that the XXXSTRACE:the  XXX HONDA CIVIC XXXD EX-L has been flagged as having Vehicle History activity.
	at edge.capabilities.quote.submission.quoting.util.SubmissionUnderwritingIssuesUtil.checkSideBySideProcessExceptions(SubmissionUnderwritingIssuesUtil.gs:XXXSTRACERAW:-</t>
  </si>
  <si>
    <t>EMSG:A report shows that the XXXSTRACE:the  XXX HONDA CR-V XXXD XXXWD EX has been flagged as having Vehicle History activity.
	at edge.capabilities.quote.submission.quoting.util.SubmissionUnderwritingIssuesUtil.checkSideBySideProcessExceptions(SubmissionUnderwritingIssuesUtil.gs:XXXSTRACERAW:-</t>
  </si>
  <si>
    <t>EMSG:A report shows that the XXXSTRACE:the  XXX HONDA PILOT XXXD XXXWD EX has been flagged as having Vehicle History activity.
	at edge.capabilities.quote.submission.quoting.util.SubmissionUnderwritingIssuesUtil.checkSideBySideProcessExceptions(SubmissionUnderwritingIssuesUtil.gs:XXXSTRACERAW:-</t>
  </si>
  <si>
    <t>EMSG:A report shows that the XXXSTRACE:the  XXX JEEP CHEROKEE XXXD XXXXXXX LIMITED has been flagged as having Vehicle History activity.
	at edge.capabilities.quote.submission.quoting.util.SubmissionUnderwritingIssuesUtil.checkSideBySideProcessExceptions(SubmissionUnderwritingIssuesUtil.gs:XXXSTRACERAW:-</t>
  </si>
  <si>
    <t>EMSG:A report shows that the XXXSTRACE:the  XXX JEEP GR CHERK PHEV XXXDXXXWD OVRLND XXXXE, XXX TESLA MODEL XXX EV XXXD XXXWD has been flagged as having Vehicle History activity.
	at edge.capabilities.quote.submission.quoting.util.SubmissionUnderwritingIssuesUtil.checkSideBySideProcessExceptions(SubmissionUnderwritingIssuesUtil.gs:XXXSTRACERAW:-</t>
  </si>
  <si>
    <t>EMSG:A report shows that the XXXSTRACE:the  XXX LEXUS IS XXX CONV XXXWD has been flagged as having Vehicle History activity.
	at edge.capabilities.quote.submission.quoting.util.SubmissionUnderwritingIssuesUtil.checkSideBySideProcessExceptions(SubmissionUnderwritingIssuesUtil.gs:XXXSTRACERAW:-</t>
  </si>
  <si>
    <t>EMSG:A report shows that the XXXSTRACE:the  XXX LEXUS LS XXX L XXXD XXXWD has been flagged as having Vehicle History activity.
	at edge.capabilities.quote.submission.quoting.util.SubmissionUnderwritingIssuesUtil.checkSideBySideProcessExceptions(SubmissionUnderwritingIssuesUtil.gs:XXXSTRACERAW:-</t>
  </si>
  <si>
    <t>EMSG:A report shows that the XXXSTRACE:the  XXX LINCOLN NAVIGATOR XXXD XXXXXXX RESERVE has been flagged as having Vehicle History activity.
	at edge.capabilities.quote.submission.quoting.util.SubmissionUnderwritingIssuesUtil.checkSideBySideProcessExceptions(SubmissionUnderwritingIssuesUtil.gs:XXXSTRACERAW:-</t>
  </si>
  <si>
    <t>EMSG:A report shows that the XXXSTRACE:the  XXX NISSAN XXXZ XXXDOOR has been flagged as having Vehicle History activity.
	at edge.capabilities.quote.submission.quoting.util.SubmissionUnderwritingIssuesUtil.checkSideBySideProcessExceptions(SubmissionUnderwritingIssuesUtil.gs:XXXSTRACERAW:-</t>
  </si>
  <si>
    <t>EMSG:A report shows that the XXXSTRACE:the  XXX TOYOTA LAND CRUISER XXXD XXXXXXX has been flagged as having Vehicle History activity.
	at edge.capabilities.quote.submission.quoting.util.SubmissionUnderwritingIssuesUtil.checkSideBySideProcessExceptions(SubmissionUnderwritingIssuesUtil.gs:XXXSTRACERAW:-</t>
  </si>
  <si>
    <t>EMSG:ANGELITO O DEDIOSSTRACE:gw.job.QuoteProcess.requestQuote(QuoteProcess.gs:XXXSTRACERAW:-</t>
  </si>
  <si>
    <t>EMSG:Add Comprehensive and Collision coverage to vehicle XXXSTRACE:edge.capabilities.quote.submission.quoting.util.SubmissionUnderwritingIssuesUtil.checkSideBySideProcessExceptions(SubmissionUnderwritingIssuesUtil.gs:XXXSTRACERAW:-</t>
  </si>
  <si>
    <t>EMSG:Add both Uninsured Motorist - Bodily Injury and Underinsured Motorist - Bodily Injury coverages. Uninsured Motorist - Property Damage requires both coverages to be selected.STRACE:edge.capabilities.quote.submission.quoting.util.SubmissionUnderwritingIssuesUtil.checkSideBySideProcessExceptions(SubmissionUnderwritingIssuesUtil.gs:XXXSTRACERAW:-</t>
  </si>
  <si>
    <t>EMSG:Attempt to access bean of type "HOExteriorFinish_Ext" id=XXX with a null bundleSTRACE:deployment.pc.war//com.guidewire.pl.system.entity.proxy.BeanProxy.checkIsInBundle(BeanProxy.java:XXXSTRACERAW:-</t>
  </si>
  <si>
    <t>EMSG:Brenda DelgadoSTRACE:com.farmers.config.pa.validator.BrightlineValidator.validateQuoteBrightlineRules(BrightlineValidator.gs:XXXSTRACERAW:-</t>
  </si>
  <si>
    <t>EMSG:Brenda DelgadoSTRACE:gw.job.QuoteProcess.requestQuote(QuoteProcess.gs:XXXSTRACERAW:-</t>
  </si>
  <si>
    <t>EMSG:COREY WHELDENSTRACE:com.farmers.config.pa.validator.BrightlineValidator.validateQuoteBrightlineRules(BrightlineValidator.gs:XXXSTRACERAW:-</t>
  </si>
  <si>
    <t>EMSG:Cannot resolve an incident record XXX of contact role Incident Entity PCR - XXX to a single driver with Contact Roles Promise Kihundu : XXXSTRACE:com.farmers.chargeability.pa.info.PAIncidentInfoDto.mapFromEntity(PAIncidentInfoDto.gs:XXXSTRACERAW:-</t>
  </si>
  <si>
    <t>EMSG:Change the Relationship to PNI for Zainab Raza. The gender is listed as male and relationship is listed as daughter.;STRACE:edge.capabilities.quote.submission.quoting.util.SubmissionUnderwritingIssuesUtil.checkVerifyRateExceptions(SubmissionUnderwritingIssuesUtil.gs:XXXSTRACERAW:-</t>
  </si>
  <si>
    <t>EMSG:Collision: The coverage term 'Coverage is' is required. Enter a value.;STRACE:edge.capabilities.quote.submission.quoting.util.SubmissionUnderwritingIssuesUtil.checkVerifyRateExceptions(SubmissionUnderwritingIssuesUtil.gs:XXXSTRACERAW:-</t>
  </si>
  <si>
    <t>EMSG:Connection resetSTRACE:java.base/java.net.SocketInputStream.read(SocketInputStream.java:XXXSTRACERAW:-</t>
  </si>
  <si>
    <t>EMSG:Correct the VIN XXXSTRACE:edge.capabilities.quote.submission.quoting.util.SubmissionUnderwritingIssuesUtil.checkVerifyRateExceptions(SubmissionUnderwritingIssuesUtil.gs:XXXSTRACERAW:-</t>
  </si>
  <si>
    <t>EMSG:DiscountDetail_Ext:XXX deleted from databaseSTRACE:deployment.pc.war//com.guidewire.pl.system.database.entitywriter.DatabaseEntityWriterImpl.writeSingleBeanUpdate(DatabaseEntityWriterImpl.java:XXXSTRACERAW:-</t>
  </si>
  <si>
    <t>EMSG:Duplicate key in XXX has value "XXX".  Column "Retired" has value "XXX".  Column "Subtype" has value "AccountRejectedDriver_Ext".STRACE:deployment.pc.war//com.guidewire.pl.system.database.entitywriter.TableWriterImpl.throwDBDuplicateKeyException(TableWriterImpl.java:XXXSTRACERAW:-</t>
  </si>
  <si>
    <t>EMSG:Dwelling at XXXSTRACE:XXX W Biddison St, Fort Worth, TX: Dwelling is required and must be added.; Dwelling at XXX W Biddison St, Fort Worth, TX: Marring to Metal Roof Materials is no longer available and has been removed.
	at gw.api.extension.PCExtensionInterfacesMapper$block_XXX_.invoke(PCExtensionInterfacesMapper.gs:XXXSTRACERAW:-</t>
  </si>
  <si>
    <t>EMSG:Expected query to have at most one result.  Select statement causing error: Values=[Arizona (typekey)STRACE:most one result.  Select statement causing error: Values=[Arizona (typekeySTRACERAW:-</t>
  </si>
  <si>
    <t>EMSG:For eligible contact Andrew Carson credit score is null. Please make sure credit is orderedSTRACE:com.farmers.config.common.credit.CreditScoreHelper.populateRatingCreditDTO(CreditScoreHelper.gs:XXXSTRACERAW:-</t>
  </si>
  <si>
    <t>EMSG:For eligible contact Fnu Ankit Anand credit score is null. Please make sure credit is orderedSTRACE:com.farmers.config.common.credit.CreditScoreHelper.populateRatingCreditDTO(CreditScoreHelper.gs:XXXSTRACERAW:-</t>
  </si>
  <si>
    <t>EMSG:For eligible contact JODEE ROACH credit score is null. Please make sure credit is orderedSTRACE:com.farmers.config.common.credit.CreditScoreHelper.populateRatingCreditDTO(CreditScoreHelper.gs:XXXSTRACERAW:-</t>
  </si>
  <si>
    <t>EMSG:For eligible contact Keith Sage credit score is null. Please make sure credit is orderedSTRACE:com.farmers.config.common.credit.CreditScoreHelper.populateRatingCreditDTO(CreditScoreHelper.gs:XXXSTRACERAW:-</t>
  </si>
  <si>
    <t>EMSG:For eligible contact Matthew Podolanko credit score is null. Please make sure credit is orderedSTRACE:com.farmers.config.common.credit.CreditScoreHelper.populateRatingCreditDTO(CreditScoreHelper.gs:XXXSTRACERAW:-</t>
  </si>
  <si>
    <t>EMSG:For eligible contact Mckenzie Andrus credit score is null. Please make sure credit is orderedSTRACE:com.farmers.config.common.credit.CreditScoreHelper.populateRatingCreditDTO(CreditScoreHelper.gs:XXXSTRACERAW:-</t>
  </si>
  <si>
    <t>EMSG:For eligible contact Melissa Mcloughlin credit score is null. Please make sure credit is orderedSTRACE:com.farmers.config.common.credit.CreditScoreHelper.populateRatingCreditDTO(CreditScoreHelper.gs:XXXSTRACERAW:-</t>
  </si>
  <si>
    <t>EMSG:Found more than one target of the property XXXSTRACE:XXX Auburndale St, Corona,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</si>
  <si>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Avenida Amistad, San Marcos,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</si>
  <si>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Burin Ave, Inglewood,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</si>
  <si>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Cass Ave, Woodland Hills,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</si>
  <si>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Corte Maria, Carlsbad,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</si>
  <si>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Daken Cir, Brownsville,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</si>
  <si>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Dobson Way, Pollock Pines,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</si>
  <si>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 Donovan Rd, Santa Maria,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</si>
  <si>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 XXXnd Pl, Los Angeles,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</si>
  <si>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Eagle Glen St, San Bernardino,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</si>
  <si>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Encinal Ave, Roseville,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</si>
  <si>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GREENHORN RD, YREKA,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</si>
  <si>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Harrier Ln, Chico,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</si>
  <si>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Little Fuller Rd, Twain Harte,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</si>
  <si>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Los Banos Dr, Sonoma,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</si>
  <si>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Luna Vista Dr, Pacific Palisades,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</si>
  <si>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Main Dr, San Rafael,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</si>
  <si>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Mines Rd, Livermore,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</si>
  <si>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Miramar St, Upland,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</si>
  <si>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Mollie Ln, Santee,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</si>
  <si>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Mother Lode Dr, Shingle Springs,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</si>
  <si>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Mount Gunnison Ct, Rancho Cucamonga,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</si>
  <si>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N Marty Ave, Fresno,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</si>
  <si>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Pettigrew Dr, San Jose,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</si>
  <si>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Philippine St, Taft,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</si>
  <si>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Pikake St, San Diego,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</si>
  <si>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Powers Rd, Poway,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</si>
  <si>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Puerto Nuevo, Lake Forest,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</si>
  <si>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 Marion St, Tulare,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</si>
  <si>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 Virmargo St, Visalia,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</si>
  <si>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San Antonio Dr, King City,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</si>
  <si>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Sanford Dr, San Jose,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</si>
  <si>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Stratton Cir, Walnut Creek,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</si>
  <si>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Sunset View Rd, Apple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</si>
  <si>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 ALMOND AVE, ORANGE,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</si>
  <si>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 Walnut St, Lodi,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</si>
  <si>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 XXXTH ST, LAWNDALE,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</si>
  <si>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EMSG:Helen AriasSTRACE:com.farmers.config.pa.validator.BrightlineValidator.validateQuoteBrightlineRules(BrightlineValidator.gs:XXXSTRACERAW:-</t>
  </si>
  <si>
    <t>EMSG:HomeownersLine_HOE with FixedID:XXX and window XXXSTRACE:deployment.pc.war//com.guidewire.pl.system.entity.proxy.EffDatedVersionListImpl.lambda$isNonOverlapping$XXX(EffDatedVersionListImpl.java:XXXSTRACERAW:-</t>
  </si>
  <si>
    <t>EMSG:Increase the Bodily Injury limits to at least $XXXSTRACE:least $XXX,XXX/$XXX,XXX and Property Damage limit to at least $XXX,XXX. This policy is associated with an Umbrella policy.
	at edge.capabilities.quote.submission.quoting.util.SubmissionUnderwritingIssuesUtil.checkSideBySideProcessExceptions(SubmissionUnderwritingIssuesUtil.gs:XXXSTRACERAW:-</t>
  </si>
  <si>
    <t>EMSG:Internal error: bean entity.DiscountDetail_Ext:XXX was not staged for edit.STRACE:deployment.pc.war//com.guidewire.pl.system.bundle.EntityBundleImpl.handleBeanChange(EntityBundleImpl.java:XXXSTRACERAW:-</t>
  </si>
  <si>
    <t>EMSG:James ReynoldsSTRACE:com.farmers.config.pa.validator.BrightlineValidator.validateQuoteBrightlineRules(BrightlineValidator.gs:XXXSTRACERAW:-</t>
  </si>
  <si>
    <t>EMSG:LEILA MUSSONESTRACE:com.farmers.config.pa.validator.BrightlineValidator.validateQuoteBrightlineRules(BrightlineValidator.gs:XXXSTRACERAW:-</t>
  </si>
  <si>
    <t>EMSG:LORI CASTANEDASTRACE:com.farmers.config.pa.validator.BrightlineValidator.validateQuoteBrightlineRules(BrightlineValidator.gs:XXXSTRACERAW:-</t>
  </si>
  <si>
    <t>EMSG:LUIS MARCIAL GUZMANSTRACE:com.farmers.config.pa.validator.BrightlineValidator.validateQuoteBrightlineRules(BrightlineValidator.gs:XXXSTRACERAW:-</t>
  </si>
  <si>
    <t>EMSG:LUW Policy Change Job XXX: Failed to close the connectionSTRACE:gw.acc.luw.LUWExceptionHelper.processException(LUWExceptionHelper.gs:XXXSTRACERAW:-</t>
  </si>
  <si>
    <t>EMSG:LUW Policy Change Job XXX: The object you are trying to update was XXXSTRACE:XXX/XXX/XXX XXX:XXX AM. Please cancel and retry your change.
The object you are trying to update was 'Policy:pc:XXX - pc:XXX', and it was changed by Gabe Cudd at XXX/XXX/XXX XXX:XXX AM. Please cancel and retry your change.
	at com.farmers.integ.framework.job.automatejob.AutomatedJob.executeJob(AutomatedJob.gs:XXXSTRACERAW:-</t>
  </si>
  <si>
    <t>EMSG:LUW Policy Change Job XXX: The object you are trying to update was XXXSTRACE:XXX/XXX/XXX XXX:XXX PM. Please cancel and retry your change.
The object you are trying to update was 'Policy:pc:XXX - pc:XXX', and it was changed by LUW u at XXX/XXX/XXX XXX:XXX PM. Please cancel and retry your change.
	at gw.acc.luw.LUWExceptionHelper.processUserDisplayableException(LUWExceptionHelper.gs:XXXSTRACERAW:-</t>
  </si>
  <si>
    <t>EMSG:MVR APP ERROR: ID-LEXISNEXIS REJECT:LAST NAME INVALID OR MISSING for unit WXXXIDSTRACE:com.farmers.config.common.mvr.MVRProcess.createCacheFromResponse(MVRProcess.gs:XXXSTRACERAW:-</t>
  </si>
  <si>
    <t>EMSG:Marco RodriguezSTRACE:com.farmers.config.pa.validator.BrightlineValidator.validateQuoteBrightlineRules(BrightlineValidator.gs:XXXSTRACERAW:-</t>
  </si>
  <si>
    <t>EMSG:Marco RodriguezSTRACE:gw.job.QuoteProcess.requestQuote(QuoteProcess.gs:XXXSTRACERAW:-</t>
  </si>
  <si>
    <t>EMSG:Merlin HouseSTRACE:com.farmers.config.pa.validator.BrightlineValidator.validateQuoteBrightlineRules(BrightlineValidator.gs:XXXSTRACERAW:-</t>
  </si>
  <si>
    <t>EMSG:Merlin HouseSTRACE:gw.job.QuoteProcess.requestQuote(QuoteProcess.gs:XXXSTRACERAW:-</t>
  </si>
  <si>
    <t>EMSG:Michael MazzaSTRACE:com.farmers.config.pa.validator.BrightlineValidator.validateQuoteBrightlineRules(BrightlineValidator.gs:XXXSTRACERAW:-</t>
  </si>
  <si>
    <t>EMSG:Morgan NicoliaSTRACE:com.farmers.config.pa.validator.BrightlineValidator.validateQuoteBrightlineRules(BrightlineValidator.gs:XXXSTRACERAW:-</t>
  </si>
  <si>
    <t>EMSG:Morgan NicoliaSTRACE:gw.job.QuoteProcess.requestQuote(QuoteProcess.gs:XXXSTRACERAW:-</t>
  </si>
  <si>
    <t>EMSG:Multiple entries with same key: loggedOnUserID=&lt;?xml version="XXX.XXX" encoding="UTFXXX"?&gt;&lt;loggedOnUserID xmlns="http://zsoa.zurichna.com/enterpriseservices/ZSOA"&gt;campXXXu&lt;/loggedOnUserID&gt; and loggedOnUserID=&lt;?xml version="XXX.XXX" encoding="UTFXXX"?&gt;&lt;loggedOnUserID xmlns="http://zsoa.zurichna.com/enterpriseservices/ZSOA"&gt;campXXXu&lt;/loggedOnUserID&gt;STRACE:deployment.pc.war//gw.internal.xml.ws.AsyncResponseImpl.throwSoapXXXFault(AsyncResponseImpl.java:XXXSTRACERAW:-</t>
  </si>
  <si>
    <t>EMSG:NAYELLI MENDOZASTRACE:com.farmers.config.pa.validator.BrightlineValidator.validateQuoteBrightlineRules(BrightlineValidator.gs:XXXSTRACERAW:-</t>
  </si>
  <si>
    <t>EMSG:NAYELLI MENDOZASTRACE:gw.job.QuoteProcess.requestQuote(QuoteProcess.gs:XXXSTRACERAW:-</t>
  </si>
  <si>
    <t>EMSG:Nicole MarquezSTRACE:com.farmers.config.pa.validator.BrightlineValidator.validateQuoteBrightlineRules(BrightlineValidator.gs:XXXSTRACERAW:-</t>
  </si>
  <si>
    <t>EMSG:Nicole MarquezSTRACE:gw.job.QuoteProcess.requestQuote(QuoteProcess.gs:XXXSTRACERAW:-</t>
  </si>
  <si>
    <t>EMSG:One or more null constraint violations detected for CreditTieringResult_ExtSTRACE:deployment.pc.war//com.guidewire.pl.system.database.entitywriter.DatabaseEntityWriterImpl.checkForNullConstraintViolation(DatabaseEntityWriterImpl.java:XXXSTRACERAW:-</t>
  </si>
  <si>
    <t>EMSG:Owen CorwinSTRACE:com.farmers.config.pa.validator.BrightlineValidator.validateQuoteBrightlineRules(BrightlineValidator.gs:XXXSTRACERAW:-</t>
  </si>
  <si>
    <t>EMSG:REBEKA BEGUMSTRACE:com.farmers.config.pa.validator.BrightlineValidator.validateQuoteBrightlineRules(BrightlineValidator.gs:XXXSTRACERAW:-</t>
  </si>
  <si>
    <t>EMSG:REBEKA BEGUMSTRACE:gw.job.QuoteProcess.requestQuote(QuoteProcess.gs:XXXSTRACERAW:-</t>
  </si>
  <si>
    <t>EMSG:Re-enter "License #". Duplicate License Number entered for the following Drivers JOSEPH RoundySTRACE:edge.capabilities.quote.submission.quoting.util.SubmissionUnderwritingIssuesUtil.checkVerifyRateExceptions(SubmissionUnderwritingIssuesUtil.gs:XXXSTRACERAW:-</t>
  </si>
  <si>
    <t>EMSG:Re-enter "License #". Duplicate License Number entered for the following Drivers MATTHEW ChangSTRACE:edge.capabilities.quote.submission.quoting.util.SubmissionUnderwritingIssuesUtil.checkVerifyRateExceptions(SubmissionUnderwritingIssuesUtil.gs:XXXSTRACERAW:-</t>
  </si>
  <si>
    <t>EMSG:Re-enter "License #". Duplicate License Number entered for the following Drivers OANH NGUYENSTRACE:edge.capabilities.quote.submission.quoting.util.SubmissionUnderwritingIssuesUtil.checkVerifyRateExceptions(SubmissionUnderwritingIssuesUtil.gs:XXXSTRACERAW:-</t>
  </si>
  <si>
    <t>EMSG:Re-enter "License #". Duplicate License Number entered for the following Drivers SAMMI JO CALCATERRASTRACE:edge.capabilities.quote.submission.quoting.util.SubmissionUnderwritingIssuesUtil.checkVerifyRateExceptions(SubmissionUnderwritingIssuesUtil.gs:XXXSTRACERAW:-</t>
  </si>
  <si>
    <t>EMSG:Remove Iris Jeanneth Aguirre Salguero in order to add the contact as a driverSTRACE:edge.capabilities.policychange.lob.personalauto.coverables.DefaultPaCoverablePlugin.updateCoverables(DefaultPaCoverablePlugin.gs:XXXSTRACERAW:-</t>
  </si>
  <si>
    <t>EMSG:Remove Roy Granada in order to add the contact as a driverSTRACE:edge.capabilities.policychange.lob.personalauto.coverables.DefaultPaCoverablePlugin.updateCoverables(DefaultPaCoverablePlugin.gs:XXXSTRACERAW:-</t>
  </si>
  <si>
    <t>EMSG:Remove Stephanie Yalung in order to add the contact as a driverSTRACE:edge.capabilities.policychange.lob.personalauto.coverables.DefaultPaCoverablePlugin.updateCoverables(DefaultPaCoverablePlugin.gs:XXXSTRACERAW:-</t>
  </si>
  <si>
    <t>EMSG:Remove duplicate driver Phong Andrew Phan. Two or more non-drivers with the same information exist.STRACE:edge.capabilities.policychange.lob.personalauto.coverables.DefaultPaCoverablePlugin.updateCoverables(DefaultPaCoverablePlugin.gs:XXXSTRACERAW:-</t>
  </si>
  <si>
    <t>EMSG:Remove duplicate driver Saurav Rao. Two or more non-drivers with the same information exist.STRACE:edge.capabilities.policychange.lob.personalauto.coverables.DefaultPaCoverablePlugin.updateCoverables(DefaultPaCoverablePlugin.gs:XXXSTRACERAW:-</t>
  </si>
  <si>
    <t>EMSG:Remove duplicate driver Tanvi Damle. Two or more non-drivers with the same information exist.STRACE:edge.capabilities.policychange.lob.personalauto.coverables.DefaultPaCoverablePlugin.updateCoverables(DefaultPaCoverablePlugin.gs:XXXSTRACERAW:-</t>
  </si>
  <si>
    <t>EMSG:Rental Alternative: The coverage term 'Coverage is' is required. Enter a value.;STRACE:edge.capabilities.quote.submission.quoting.util.SubmissionUnderwritingIssuesUtil.checkVerifyRateExceptions(SubmissionUnderwritingIssuesUtil.gs:XXXSTRACERAW:-</t>
  </si>
  <si>
    <t>EMSG:Slice date XXX outside of range XXX for XXX XXX bean of type TerritoryCodeSTRACE:Feb XXX XXX:XXX:XXX PST XXX] for bean of type TerritoryCode
	at deployment.pc.war//com.guidewire.pl.system.entity.proxy.EffDatedBaseProxy.getSliceUntyped(EffDatedBaseProxy.java:XXXSTRACERAW:-</t>
  </si>
  <si>
    <t>EMSG:Slice date XXX outside of range XXX for XXX XXX bean of type TerritoryCodeSTRACE:Jan XXX XXX:XXX:XXX PST XXX - Fri Jul XXX XXX:XXX:XXX PDT XXX] for bean of type TerritoryCode
	at deployment.pc.war//com.guidewire.pl.system.entity.proxy.EffDatedBaseProxy.getSliceUntyped(EffDatedBaseProxy.java:XXXSTRACERAW:-</t>
  </si>
  <si>
    <t>EMSG:Slice date XXX outside of range XXX for XXX XXX bean of type ULPolicy_PUESTRACE:Nov XXX XXX:XXX:XXX PST XXX outside of range [Thu Oct XXX XXX:XXX:XXX PDT XXX - Sat Nov XXX XXX:XXX:XXX PST XXX] for bean of type ULPolicy_PUE
	at deployment.pc.war//com.guidewire.pl.system.entity.proxy.EffDatedBaseProxy.getSliceUntyped(EffDatedBaseProxy.java:XXXSTRACERAW:-</t>
  </si>
  <si>
    <t>EMSG:The value "ANA ISABEL COBAR RIVASSTRACE:deployment.pc.war//gw.datatype.impl.StringConstraintsHandlerBase.validateStringLength(StringConstraintsHandlerBase.java:XXXSTRACERAW:-</t>
  </si>
  <si>
    <t>EMSG:The value "KATHLEEN K BUTLERSTRACE:deployment.pc.war//gw.datatype.impl.StringConstraintsHandlerBase.validateStringLength(StringConstraintsHandlerBase.java:XXXSTRACERAW:-</t>
  </si>
  <si>
    <t>EMSG:The value "LUKE D JONES AND MARY J. JONESSTRACE:deployment.pc.war//gw.datatype.impl.StringConstraintsHandlerBase.validateStringLength(StringConstraintsHandlerBase.java:XXXSTRACERAW:-</t>
  </si>
  <si>
    <t>EMSG:The value "MARGARET LAMSTRACE:deployment.pc.war//gw.datatype.impl.StringConstraintsHandlerBase.validateStringLength(StringConstraintsHandlerBase.java:XXXSTRACERAW:-</t>
  </si>
  <si>
    <t>EMSG:The value "REVOCABLE LIVING TRUST OF SURENDRA C SHAH AND NILA S SHAH AUGUST XXXSTRACE:deployment.pc.war//gw.datatype.impl.StringConstraintsHandlerBase.validateStringLength(StringConstraintsHandlerBase.java:XXXSTRACERAW:-</t>
  </si>
  <si>
    <t>EMSG:The value "ROGER ERIC CASTONGIASTRACE:deployment.pc.war//gw.datatype.impl.StringConstraintsHandlerBase.validateStringLength(StringConstraintsHandlerBase.java:XXXSTRACERAW:-</t>
  </si>
  <si>
    <t>EMSG:The value "STEPHEN JOHSZ AND LYNN ELLEN JOHSZSTRACE:deployment.pc.war//gw.datatype.impl.StringConstraintsHandlerBase.validateStringLength(StringConstraintsHandlerBase.java:XXXSTRACERAW:-</t>
  </si>
  <si>
    <t>EMSG:The value "THE HUNG-CHI HSU AND YUAN LIN LIVING TRUSTSTRACE:deployment.pc.war//gw.datatype.impl.StringConstraintsHandlerBase.validateStringLength(StringConstraintsHandlerBase.java:XXXSTRACERAW:-</t>
  </si>
  <si>
    <t>EMSG:The value "VERA DOUGLASSTRACE:deployment.pc.war//gw.datatype.impl.StringConstraintsHandlerBase.validateStringLength(StringConstraintsHandlerBase.java:XXXSTRACERAW:-</t>
  </si>
  <si>
    <t>EMSG:Try again later. Equifax credit reporting is unavailable.STRACE:com.farmers.config.common.credit.pup.UMBCreditScoreProcess.invokeService(UMBCreditScoreProcess.gs:XXXSTRACERAW:-</t>
  </si>
  <si>
    <t>EMSG:Unable to retrieve Mortgagee details for code - YXXXTPSTRACE:com.farmers.edge.capabilities.quote.mortgagee.MortgageePlugin$block_XXX_.invoke(MortgageePlugin.gs:XXXSTRACERAW:-</t>
  </si>
  <si>
    <t>EMSG:Update Age Lic in US/CAN for Jagroop Singh. Age cannot be greater than current year minus Date of birth.STRACE:edge.capabilities.quote.submission.quoting.util.SubmissionUnderwritingIssuesUtil.checkSideBySideProcessExceptions(SubmissionUnderwritingIssuesUtil.gs:XXXSTRACERAW:-</t>
  </si>
  <si>
    <t>EMSG:Update Age Lic in US/CAN for Zelu Luong. Age cannot be greater than current year minus Date of birth.STRACE:edge.capabilities.quote.submission.quoting.util.SubmissionUnderwritingIssuesUtil.checkSideBySideProcessExceptions(SubmissionUnderwritingIssuesUtil.gs:XXXSTRACERAW:-</t>
  </si>
  <si>
    <t>EMSG:Update Signal Phone number for KATHERINE Berger. Each driver enrolled in the Signal program needs a unique cell phone number.;Update Signal Phone number for Zachary Berger. Each driver enrolled in the Signal program needs a unique cell phone number.;STRACE:edge.capabilities.quote.submission.quoting.util.SubmissionUnderwritingIssuesUtil.checkVerifyRateExceptions(SubmissionUnderwritingIssuesUtil.gs:XXXSTRACERAW:-</t>
  </si>
  <si>
    <t>EMSG:Update Signal Phone number for Zak Bertolino. Each driver enrolled in the Signal program needs a unique cell phone number.;Update Signal Phone number for Samantha Doti. Each driver enrolled in the Signal program needs a unique cell phone number.;STRACE:edge.capabilities.quote.submission.quoting.util.SubmissionUnderwritingIssuesUtil.checkVerifyRateExceptions(SubmissionUnderwritingIssuesUtil.gs:XXXSTRACERAW:-</t>
  </si>
  <si>
    <t>EMSG:Update the First Foreign Licensed Date for Patsy Sater. The date must be at least XXX years or more from the Date of BirthSTRACE:least XXX years or more from the Date of Birth
	at edge.capabilities.quote.submission.quoting.util.SubmissionUnderwritingIssuesUtil.checkSideBySideProcessExceptions(SubmissionUnderwritingIssuesUtil.gs:XXXSTRACERAW:-</t>
  </si>
  <si>
    <t>EMSG:Veronica CruzSTRACE:com.farmers.config.pa.validator.BrightlineValidator.validateQuoteBrightlineRules(BrightlineValidator.gs:XXXSTRACERAW:-</t>
  </si>
  <si>
    <t>EMSG:XXX BMW XXXX M XXXD XXXWD in Colorado: Coverage is on Comprehensive is now available and its value must be verified by the user.; XXX BMW XXXX M XXXD XXXWD in Colorado: Coverage is on Collision is now available and its value must be verified by the user.; XXX BMW XXXX M XXXD XXXWD in Colorado: Coverage is on Roadside Assistance is now available and its value must be verified by the user.; XXX BMW XXXX M XXXD XXXWD in Colorado: Coverage is on Rental Alternative is now available and its value must be verified by the user.; XXX BMW XXXX M XXXD XXXWD in Colorado: Coverage is on $XXX Glass Deductible is now available and its value must be verified by the user.STRACE:gw.api.extension.PCExtensionInterfacesMapper$block_XXX_.invoke(PCExtensionInterfacesMapper.gs:XXXSTRACERAW:-</t>
  </si>
  <si>
    <t>EMSG:XXX BUICK ENCORE GX XXXD XXXWD SELECT in Colorado: Coverage is on Comprehensive is now available and its value must be verified by the user.; XXX BUICK ENCORE GX XXXD XXXWD SELECT in Colorado: Coverage is on Collision is now available and its value must be verified by the user.; XXX BUICK ENCORE GX XXXD XXXWD SELECT in Colorado: Coverage is on Roadside Assistance is now available and its value must be verified by the user.; XXX BUICK ENCORE GX XXXD XXXWD SELECT in Colorado: Coverage is on Rental Alternative is now available and its value must be verified by the user.; XXX BUICK ENCORE GX XXXD XXXWD SELECT in Colorado: Coverage is on $XXX Glass Deductible is now available and its value must be verified by the user.STRACE:gw.api.extension.PCExtensionInterfacesMapper$block_XXX_.invoke(PCExtensionInterfacesMapper.gs:XXXSTRACERAW:-</t>
  </si>
  <si>
    <t>EMSG:XXX BUICK ENVISTA XXXD PREFERRED in Colorado: Coverage is on Comprehensive is now available and its value must be verified by the user.; XXX BUICK ENVISTA XXXD PREFERRED in Colorado: Coverage is on Collision is now available and its value must be verified by the user.; XXX BUICK ENVISTA XXXD PREFERRED in Colorado: Coverage is on Roadside Assistance is now available and its value must be verified by the user.; XXX BUICK ENVISTA XXXD PREFERRED in Colorado: Coverage is on Rental Alternative is now available and its value must be verified by the user.; XXX BUICK ENVISTA XXXD PREFERRED in Colorado: Coverage is on $XXX Glass Deductible is now available and its value must be verified by the user.; XXX CHEVROLET TRUCK SLVRDO XXX E C XXXWD in Colorado: Coverage is on Comprehensive is now available and its value must be verified by the user.; XXX CHEVROLET TRUCK SLVRDO XXX E C XXXWD in Colorado: Coverage is on Collision is now available and its value must be verified by the user.; XXX CHEVâ€¦</t>
  </si>
  <si>
    <t>EMSG:XXX GMC TRUCK CANYON CR PU XXXXXXX DENALI in Colorado: Coverage is on Comprehensive is now available and its value must be verified by the user.; XXX GMC TRUCK CANYON CR PU XXXXXXX DENALI in Colorado: Coverage is on Collision is now available and its value must be verified by the user.; XXX GMC TRUCK CANYON CR PU XXXXXXX DENALI in Colorado: Coverage is on Roadside Assistance is now available and its value must be verified by the user.; XXX GMC TRUCK CANYON CR PU XXXXXXX DENALI in Colorado: Coverage is on Rental Alternative is now available and its value must be verified by the user.; XXX GMC TRUCK CANYON CR PU XXXXXXX DENALI in Colorado: Coverage is on $XXX Glass Deductible is now available and its value must be verified by the user.STRACE:gw.api.extension.PCExtensionInterfacesMapper$block_XXX_.invoke(PCExtensionInterfacesMapper.gs:XXXSTRACERAW:-</t>
  </si>
  <si>
    <t>EMSG:XXX HONDA CR-V XXXD XXXWD EX in Colorado: Coverage is on Comprehensive is now available and its value must be verified by the user.; XXX HONDA CR-V XXXD XXXWD EX in Colorado: Coverage is on Collision is now available and its value must be verified by the user.; XXX HONDA CR-V XXXD XXXWD EX in Colorado: Coverage is on Roadside Assistance is now available and its value must be verified by the user.; XXX HONDA CR-V XXXD XXXWD EX in Colorado: Coverage is on Rental Alternative is now available and its value must be verified by the user.; XXX HONDA CR-V XXXD XXXWD EX in Colorado: Coverage is on $XXX Glass Deductible is now available and its value must be verified by the user.; XXX MAZDA CXXXX XXXD XXXWD GRAND TOURING in Colorado: Coverage is on Comprehensive is now available and its value must be verified by the user.; XXX MAZDA CXXXX XXXD XXXWD GRAND TOURING in Colorado: Coverage is on Collision is now available and its value must be verified by the user.; XXX MAZDA CXXXX XXXD XXXWD Gâ€¦</t>
  </si>
  <si>
    <t>EMSG:XXX LEXUS RX XXX XXXD XXXWD in Colorado: Coverage is on Comprehensive is now available and its value must be verified by the user.; XXX LEXUS RX XXX XXXD XXXWD in Colorado: Coverage is on Collision is now available and its value must be verified by the user.; XXX LEXUS RX XXX XXXD XXXWD in Colorado: Coverage is on Roadside Assistance is now available and its value must be verified by the user.; XXX LEXUS RX XXX XXXD XXXWD in Colorado: Coverage is on Rental Alternative is now available and its value must be verified by the user.; XXX LEXUS RX XXX XXXD XXXWD in Colorado: Coverage is on $XXX Glass Deductible is now available and its value must be verified by the user.STRACE:gw.api.extension.PCExtensionInterfacesMapper$block_XXX_.invoke(PCExtensionInterfacesMapper.gs:XXXSTRACERAW:-</t>
  </si>
  <si>
    <t>EMSG:XXX MAZDA XXX SW I TOURING in Colorado: Coverage is on Comprehensive is now available and its value must be verified by the user.; XXX MAZDA XXX SW I TOURING in Colorado: Coverage is on Collision is now available and its value must be verified by the user.; XXX MAZDA XXX SW I TOURING in Colorado: Coverage is on Roadside Assistance is now available and its value must be verified by the user.; XXX MAZDA XXX SW I TOURING in Colorado: Coverage is on Rental Alternative is now available and its value must be verified by the user.; XXX MAZDA XXX SW I TOURING in Colorado: Coverage is on $XXX Glass Deductible is now available and its value must be verified by the user.STRACE:gw.api.extension.PCExtensionInterfacesMapper$block_XXX_.invoke(PCExtensionInterfacesMapper.gs:XXXSTRACERAW:-</t>
  </si>
  <si>
    <t>EMSG:XXX NISSAN ROGUE XXXD XXXWD PLATINUM in Mississippi: Acquisition Expense is required and must be added. XXXSTRACE:gw.api.extension.PCExtensionInterfacesMapper$block_XXX_.invoke(PCExtensionInterfacesMapper.gs:XXXSTRACERAW:-</t>
  </si>
  <si>
    <t>EMSG:XXX RIVIAN RXXXT EV CREW CAB XXXXXXX ADVENTURE in Colorado: Coverage is on Comprehensive is now available and its value must be verified by the user.; XXX RIVIAN RXXXT EV CREW CAB XXXXXXX ADVENTURE in Colorado: Coverage is on Collision is now available and its value must be verified by the user.; XXX RIVIAN RXXXT EV CREW CAB XXXXXXX ADVENTURE in Colorado: Coverage is on Towing and Road Service is now available and its value must be verified by the user.; XXX RIVIAN RXXXT EV CREW CAB XXXXXXX ADVENTURE in Colorado: Coverage is on Collision Plus/Loss of Use is now available and its value must be verified by the user.; XXX RIVIAN RXXXT EV CREW CAB XXXXXXX ADVENTURE in Colorado: Coverage is on Glass Deductible Buyback is now available and its value must be verified by the user.STRACE:gw.api.extension.PCExtensionInterfacesMapper$block_XXX_.invoke(PCExtensionInterfacesMapper.gs:XXXSTRACERAW:-</t>
  </si>
  <si>
    <t>EMSG:XXX TOYOTA XXXRUNNER XXXD XXXXXXX TRD OFFRD PREM in Colorado: Coverage is on Comprehensive is now available and its value must be verified by the user.; XXX TOYOTA XXXRUNNER XXXD XXXXXXX TRD OFFRD PREM in Colorado: Coverage is on Collision is now available and its value must be verified by the user.; XXX TOYOTA XXXRUNNER XXXD XXXXXXX TRD OFFRD PREM in Colorado: Coverage is on Roadside Assistance is now available and its value must be verified by the user.; XXX TOYOTA XXXRUNNER XXXD XXXXXXX TRD OFFRD PREM in Colorado: Coverage is on Rental Alternative is now available and its value must be verified by the user.; XXX TOYOTA XXXRUNNER XXXD XXXXXXX TRD OFFRD PREM in Colorado: Coverage is on $XXX Glass Deductible is now available and its value must be verified by the user.; XXX CHEVROLET CORVETTE XXXD XXXLT in Colorado: Coverage is on Comprehensive is now available and its value must be verified by the user.; XXX CHEVROLET CORVETTE XXXD XXXLT in Colorado: Coverage is on Collision is nâ€¦</t>
  </si>
  <si>
    <t>EMSG:XXX TOYOTA XXXRUNNER XXXD XXXXXXX TRD PRO in Colorado: Coverage is on Comprehensive is now available and its value must be verified by the user.; XXX TOYOTA XXXRUNNER XXXD XXXXXXX TRD PRO in Colorado: Coverage is on Collision is now available and its value must be verified by the user.; XXX TOYOTA XXXRUNNER XXXD XXXXXXX TRD PRO in Colorado: Coverage is on Roadside Assistance is now available and its value must be verified by the user.; XXX TOYOTA XXXRUNNER XXXD XXXXXXX TRD PRO in Colorado: Coverage is on Rental Alternative is now available and its value must be verified by the user.; XXX TOYOTA XXXRUNNER XXXD XXXXXXX TRD PRO in Colorado: No message configuredSTRACE:gw.api.extension.PCExtensionInterfacesMapper$block_XXX_.invoke(PCExtensionInterfacesMapper.gs:XXXSTRACERAW:-</t>
  </si>
  <si>
    <t>EMSG:XXX TOYOTA XXXRUNNER XXXD XXXXXXX in Colorado: Coverage is on Comprehensive is now available and its value must be verified by the user.; XXX TOYOTA XXXRUNNER XXXD XXXXXXX in Colorado: Coverage is on Collision is now available and its value must be verified by the user.; XXX TOYOTA XXXRUNNER XXXD XXXXXXX in Colorado: Coverage is on Towing and Road Service is now available and its value must be verified by the user.; XXX TOYOTA XXXRUNNER XXXD XXXXXXX in Colorado: Coverage is on Original Equipment Manufacturer (OEM) is now available and its value must be verified by the user.; XXX TOYOTA XXXRUNNER XXXD XXXXXXX in Colorado: Coverage is on Collision Plus/Loss of Use is now available and its value must be verified by the user.; XXX TOYOTA XXXRUNNER XXXD XXXXXXX in Colorado: Coverage is on Glass Deductible Buyback is now available and its value must be verified by the user.STRACE:gw.api.extension.PCExtensionInterfacesMapper$block_XXX_.invoke(PCExtensionInterfacesMapper.gs:XXXSTRACERAW:-</t>
  </si>
  <si>
    <t>EMSG:XXX has exceeded the accident and/or violation threshold for eligibility in this program.STRACE:Haque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</si>
  <si>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program.STRACE:Kanchwala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</si>
  <si>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program.STRACE:Kanchwala has exceeded the accident and/or violation threshold for eligibility in this program.
	at gw.job.QuoteProcess.requestQuote(QuoteProcess.gs:XXXSTRACERAW:-</t>
  </si>
  <si>
    <t>EMSG:ZOE SMILEYSTRACE:com.farmers.config.pa.validator.BrightlineValidator.validateQuoteBrightlineRules(BrightlineValidator.gs:XXXSTRACERAW:-</t>
  </si>
  <si>
    <t>EMSG:class com.guidewire.pl.system.entity.proxy.EffDatedVersionListOverlapException cannot be cast to class edge.validation.EdgeValidationException (com.guidewire.pl.system.entity.proxy.EffDatedVersionListOverlapException is in unnamed module of loader 'deployment.pc.war' @XXX; edge.validation.EdgeValidationException is in unnamed module of loader com.guidewire.pl.system.gosu.GosuPluginContainer @XXXSTRACE:edge.capabilities.policychange.GatewayPolicyChangeHandler$block_XXX_.invoke(GatewayPolicyChangeHandler.gs:XXXSTRACERAW:-</t>
  </si>
  <si>
    <t>EMSG:class com.guidewire.pl.system.gosu.entity.impl.ScriptParameterCacheImpl: Cannot use cache unless it has been startedSTRACE:deployment.pc.war//com.guidewire.pl.system.cache.RarelyChangingBeanDataCache.ensureIsStarted(RarelyChangingBeanDataCache.java:XXXSTRACERAW:-</t>
  </si>
  <si>
    <t>EMSG:class gw.lang.parser.EvaluationException cannot be cast to class edge.validation.EdgeValidationException (gw.lang.parser.EvaluationException is in unnamed module of loader 'deployment.pc.war' @XXXadXXXb;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</si>
  <si>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@XXXbXXXcbXXXd; edge.validation.EdgeValidationException is in unnamed module of loader com.guidewire.pl.system.gosu.GosuPluginContainer @XXXSTRACE:edge.capabilities.policychange.GatewayPolicyChangeHandler$block_XXX_.invoke(GatewayPolicyChangeHandler.gs:XXXSTRACERAW:-</t>
  </si>
  <si>
    <t>EMSG:class gw.xml.XmlElement cannot be cast to class com.farmers.integ.erti.hldi.wsc.physicalobjectmanager_vXXX.elements.RetrieveVehicleCharacteristicsResponse (gw.xml.XmlElement and com.farmers.integ.erti.hldi.wsc.physicalobjectmanager_vXXX.elements.RetrieveVehicleCharacteristicsResponse are in unnamed module of loader 'deployment.pc.war XXXSTRACE:deployment.pc.war//com.farmers.integ.erti.hldi.wsc.physicalobjectmanager_vXXX.PhysicalObjectManagerServiceVXXX_XXX.retrieveVehicleCharacteristics(Unknown SourceSTRACERAW:-</t>
  </si>
  <si>
    <t>EMSG:com.guidewire.pl.system.entity.proxy.EffDatedVersionListOverlapException: PersonalVehicleCovCost with FixedID:XXX and window XXXSTRACE:com.farmers.integ.documentmgmt.ondemand.api.transformer.GetPolicyDetailsRestRequestTransformer.transform(GetPolicyDetailsRestRequestTransformer.gs:XXXSTRACERAW:-</t>
  </si>
  <si>
    <t>EMSG:java.lang.ArrayIndexOutOfBoundsException: Index XXX out of bounds for length XXXSTRACE:com.farmers.integ.documentmgmt.ondemand.api.transformer.GetPolicyDetailsRestRequestTransformer.transform(GetPolicyDetailsRestRequestTransformer.gs:XXXSTRACERAW:-</t>
  </si>
  <si>
    <t>EMSG:java.lang.IllegalArgumentException: UTFXXX Codepoint XXXxXXXd is not valid for XML contentSTRACE:deployment.pc.war//gw.internal.xml.ws.WsdlPortImpl.invoke(WsdlPortImpl.java:XXXSTRACERAW:-</t>
  </si>
  <si>
    <t>EMSG:java.lang.IllegalStateException: Attempt to access bean of type "HOTransaction_HOE" id=XXX with a null bundleSTRACE:com.farmers.integ.framework.service.rest.RestServiceAdapter.invokeService(RestServiceAdapter.gs:XXXSTRACERAW:-</t>
  </si>
  <si>
    <t>EMSG:java.lang.NullPointerExceptionSTRACE:com.farmers.edge.capabilities.quote.submission.lob.homeowners.locationReport.plugin.LocationReportPlugin.addOrUpdatePolicyLocation(LocationReportPlugin.gs:XXXSTRACERAW:-</t>
  </si>
  <si>
    <t>EMSG:java.lang.NullPointerExceptionSTRACE:deployment.pc.war//gw.internal.xml.ws.WsdlPortImpl.invoke(WsdlPortImpl.java:XXXSTRACERAW:-</t>
  </si>
  <si>
    <t>EMSG:warning:entity.xxxUI-ValidationWARNMessagexxxSTRACE:gw.acc.luw.perf.JobQuoter.processQuoteIssues(JobQuoter.gs:XXXSTRACERAW:-</t>
  </si>
  <si>
    <t>EMSG:, AOR=XXXSTRACE:com.farmers.chargeability.ho.mindeductible.MinimumDeductibleCalculatorImplVXXX$block_XXX_.invoke(MinimumDeductibleCalculatorImplVXXX.gs:XXXSTRACERAW:-</t>
  </si>
  <si>
    <t>EMSG:, AOR=XXXSTRACE:com.farmers.config.common.caching.helper.CachingHelper.populateMaillingLocations(CachingHelper.gs:XXXSTRACERAW:-</t>
  </si>
  <si>
    <t>EMSG:, AOR=XXXSTRACE:com.farmers.config.common.mvr.MVRProcess.buildInfractions(MVRProcess.gs:XXXSTRACERAW:-</t>
  </si>
  <si>
    <t>EMSG:, AOR=XXXSTRACE:com.farmers.integ.productrewrite.prefill.HHInquiryHelper.updatePIForRating(HHInquiryHelper.gs:XXXSTRACERAW:-</t>
  </si>
  <si>
    <t>EMSG:, AOR=XXXSTRACE:deployment.pc.war//com.guidewire.pl.system.bundle.BundleChanges.addParentOwners(BundleChanges.java:XXXSTRACERAW:-</t>
  </si>
  <si>
    <t>EMSG:, AOR=XXXSTRACE:deployment.pc.war//com.guidewire.pl.system.bundle.BundleWriter.beforeRules(BundleWriter.java:XXXSTRACERAW:-</t>
  </si>
  <si>
    <t>EMSG:, AOR=XXXSTRACE:deployment.pc.war//com.guidewire.pl.system.bundle.BundleWriter.filterNonPersistentBeans(BundleWriter.java:XXXSTRACERAW:-</t>
  </si>
  <si>
    <t>EMSG:, AOR=XXXSTRACE:deployment.pc.war//com.guidewire.pl.system.bundle.validation.RootValidatableBeansFinderImpl$XXX.evaluate(RootValidatableBeansFinderImpl.java:XXXSTRACERAW:-</t>
  </si>
  <si>
    <t>EMSG:, AOR=XXXSTRACE:deployment.pc.war//com.guidewire.pl.system.typelist.TypeCodeAliasMap.buildKey(TypeCodeAliasMap.java:XXXSTRACERAW:-</t>
  </si>
  <si>
    <t>EMSG:, AOR=XXXSTRACE:gw.policyaddress.PolicyAddressEnhancement.createMailingAddress(PolicyAddressEnhancement.gsx:XXXSTRACERAW:-</t>
  </si>
  <si>
    <t>EMSG:, AOR=XXXSTRACE:has been shut down: java:jboss/datasources/pcDataSource
	at deployment.pc.war//gw.pl.util.ExceptionUtil.convertToRuntimeException(ExceptionUtil.java:XXXSTRACERAW:-</t>
  </si>
  <si>
    <t>EMSG:-STRACE:-STRACERAW:Dec XXX XXX:XXX:XXX PST XXX, FileName_Ext=FL_CA_ADD_XXX.TXT, FireLineOverrideDate=null, Fixed=XXX, FrozenSet=null, Fuel=FXXX - No Fuel (outside of intermix/interface area</t>
  </si>
  <si>
    <t>EMSG:-STRACE:-STRACERAW:Dec XXX XXX:XXX:XXX PST XXX, OrphanIncident=null, PerilType=Theft Off Premises (From Auto</t>
  </si>
  <si>
    <t>EMSG:-STRACE:-STRACERAW:Jan XXX XXX:XXX:XXX PST XXX (attempted merging values Personal Auto Line and Personal Auto Line</t>
  </si>
  <si>
    <t>EMSG:-STRACE:-STRACERAW:Jan XXX XXX:XXX:XXX PST XXX, MSG=DownstreamSmallMessageRequest.beforeSend(</t>
  </si>
  <si>
    <t>EMSG:-STRACE:-STRACERAW:Jan XXX XXX:XXX:XXX PST XXX, MSG=Transaction Failed. Failed to parse response : Unrecognized token 'Server': was expecting (JSON String, Number, Array, Object or token 'null', 'true' or 'false'</t>
  </si>
  <si>
    <t>EMSG:-STRACE:-STRACERAW:com.farmers.chargeability.ho.mindeductible.MinimumDeductibleCalculatorImplVXXX$block_XXX_.invoke(MinimumDeductibleCalculatorImplVXXX.gs:XXX</t>
  </si>
  <si>
    <t>EMSG:-STRACE:-STRACERAW:com.farmers.config.ho.helper.HomeownersDwellingConstructionStepHelpe.onFirstEnter(HomeownersDwellingConstructionStepHelpe.gs:XXX</t>
  </si>
  <si>
    <t>EMSG:-STRACE:-STRACERAW:com.guidewire.pl.system.batchprocessing.BatchProcessProfiler.maybeProfileBlock(BatchProcessProfiler.java:XXX</t>
  </si>
  <si>
    <t>EMSG:-STRACE:-STRACERAW:com.guidewire.pl.system.batchprocessing.BatchProcessStartupHelper.checkLeaseIsUpToDate(BatchProcessStartupHelper.java:XXX</t>
  </si>
  <si>
    <t>EMSG:-STRACE:-STRACERAW:deployment.ojdbcXXXXXX.XXX.XXX.XXX.XXX.jar//oracle.jdbc.driver.TXXXCMAREngineNIO.prepareForUnmarshall(TXXXCMAREngineNIO.java:XXX</t>
  </si>
  <si>
    <t>EMSG:-STRACE:-STRACERAW:deployment.pc.war//com.guidewire.pl.system.bundle.EntityBundleImpl.loadBeans(EntityBundleImpl.java:XXX</t>
  </si>
  <si>
    <t>EMSG:-STRACE:-STRACERAW:deployment.pc.war//gw.api.webservice.exception.LoginException.InactiveUserException(LoginException.java:XXX</t>
  </si>
  <si>
    <t>EMSG:-STRACE:-STRACERAW:deployment.pc.war//gw.pl.util.ExceptionUtil.convertToRuntimeException(ExceptionUtil.java:XXX</t>
  </si>
  <si>
    <t>EMSG:-STRACE:-STRACERAW:gw.account.AccountFileMLIUIController.inforcePolicies(AccountFileMLIUIController.gs:XXX</t>
  </si>
  <si>
    <t>EMSG:-STRACE:-STRACERAW:gw.api.tools.InternalToolsUtil.verifyInternalToolActionAllowed(InternalToolsUtil.java:XXX</t>
  </si>
  <si>
    <t>EMSG:-STRACE:-STRACERAW:gw.internal.gosu.ir.transform.expression.MemberAccessTransformer.autoCreateEntityInstance(MemberAccessTransformer.java:XXX</t>
  </si>
  <si>
    <t>EMSG:-STRACE:-STRACERAW:gw.lob.pa.PALineStepsValidator.onEnterCoverageScreen_Ext(PALineStepsValidator.gs:XXX</t>
  </si>
  <si>
    <t>EMSG:-STRACE:-STRACERAW:gw.web.job.common.PCFHelper_Ext.getNonDriverReason(PCFHelper_Ext.gs:XXX</t>
  </si>
  <si>
    <t>EMSG:-STRACE:-STRACERAW:gwservices.pc.dm.gxmig.shared.policy.EffectiveDatedFieldsPopulator.finish(EffectiveDatedFieldsPopulator.gs:XXX</t>
  </si>
  <si>
    <t>EMSG:-STRACE:-STRACERAW:java.base/java.io.FileInputStream.openXXX(Native Method</t>
  </si>
  <si>
    <t>EMSG:-STRACE:-STRACERAW:java.base/java.lang.String.contains(String.java:XXX</t>
  </si>
  <si>
    <t>EMSG:-STRACE:-STRACERAW:java.util.Date.getMillisOf(Date.java:XXX</t>
  </si>
  <si>
    <t>EMSG:-STRACE:-STRACERAW:needs to be repaired/replaced. (Structure is eligible to be excluded</t>
  </si>
  <si>
    <t>EMSG:-STRACE:-STRACERAW:qRoot WHERE qRoot.BranchID IN (?,?,?,?,?,?,?,?,?,?,?,?,?,?,?,?,?,?,?,?,?,?,?,?,?,?,?,?,?,?,?,?,?</t>
  </si>
  <si>
    <t>EMSG:-STRACE:com.farmers.config.ho.enhancement.HOModifierEnhancement$block_XXX_.invoke(HOModifierEnhancement.gsx:XXXSTRACERAW:-</t>
  </si>
  <si>
    <t>EMSG:-STRACE:com.farmers.config.pa.adpf.ADPFReportHelper.startProcessing(ADPFReportHelper.gs:XXXSTRACERAW:-</t>
  </si>
  <si>
    <t>EMSG:-STRACE:deployment.pc.war//com.guidewire.pc.domain.community.impl.GroupCoreExtMethodsImpl.checkGroupNameUniqueWithinOrg(GroupCoreExtMethodsImpl.java:XXXSTRACERAW:-</t>
  </si>
  <si>
    <t>EMSG:-STRACE:deployment.pc.war//gw.api.rating.MultiFactorVariable.toString(MultiFactorVariable.java:XXXSTRACERAW:-</t>
  </si>
  <si>
    <t>EMSG:-STRACE:gw.acc.luw.perf.JobManager$block_XXX_.invoke(JobManager.gs:XXXSTRACERAW:-</t>
  </si>
  <si>
    <t>EMSG:-STRACE:has been shut down: java:jboss/datasources/pcDataSource
	at deployment.pc.war//gw.pl.util.ExceptionUtil.convertToRuntimeException(ExceptionUtil.java:XXXSTRACERAW:-</t>
  </si>
  <si>
    <t>EMSG:-STRACE:java.base/java.text.SimpleDateFormat.parse(SimpleDateFormat.java:XXXSTRACERAW:-</t>
  </si>
  <si>
    <t>EMSG:ANDREW NICKERSONSTRACE:com.farmers.config.pa.validator.BrightlineValidator.validateQuoteBrightlineRules(BrightlineValidator.gs:XXXSTRACERAW:-</t>
  </si>
  <si>
    <t>EMSG:ANGELA RANGELSTRACE:com.farmers.config.pa.validator.BrightlineValidator.validateQuoteBrightlineRules(BrightlineValidator.gs:XXXSTRACERAW:-</t>
  </si>
  <si>
    <t>EMSG:ANGELICA TREVINOSTRACE:com.farmers.config.pa.validator.BrightlineValidator.validateQuoteBrightlineRules(BrightlineValidator.gs:XXXSTRACERAW:-</t>
  </si>
  <si>
    <t>EMSG:ANGELICA TREVINOSTRACE:gw.job.QuoteProcess.requestQuote(QuoteProcess.gs:XXXSTRACERAW:-</t>
  </si>
  <si>
    <t>EMSG:ANTHONY MALINAKSTRACE:com.farmers.config.pa.validator.BrightlineValidator.validateQuoteBrightlineRules(BrightlineValidator.gs:XXXSTRACERAW:-</t>
  </si>
  <si>
    <t>EMSG:ANTHONY MALINAKSTRACE:gw.job.QuoteProcess.requestQuote(QuoteProcess.gs:XXXSTRACERAW:-</t>
  </si>
  <si>
    <t>EMSG:AURORA BANDASTRACE:com.farmers.config.pa.validator.BrightlineValidator.validateQuoteBrightlineRules(BrightlineValidator.gs:XXXSTRACERAW:-</t>
  </si>
  <si>
    <t>EMSG:AURORA BANDASTRACE:gw.job.QuoteProcess.requestQuote(QuoteProcess.gs:XXXSTRACERAW:-</t>
  </si>
  <si>
    <t>EMSG:Access the quote again later and revalidate the policy. Driver Lori O'KeefeSTRACE:may take XXX days to retrieve.
	at com.farmers.config.pa.mvr.validator.MVRDriverValidator.validateOnlineState(MVRDriverValidator.gs:XXXSTRACERAW:-</t>
  </si>
  <si>
    <t>EMSG:Add License State for GERALD HUGHESSTRACE:com.farmers.config.pa.mvr.validator.MVRDriverValidator.throwDisplayableExceptionIfNeeded(MVRDriverValidator.gs:XXXSTRACERAW:-</t>
  </si>
  <si>
    <t>EMSG:Add License State for GERALD HUGHESSTRACE:gw.job.QuoteProcess.requestQuote(QuoteProcess.gs:XXXSTRACERAW:-</t>
  </si>
  <si>
    <t>EMSG:Add License State for JACCILYN MORRISSTRACE:com.farmers.config.pa.mvr.validator.MVRDriverValidator.throwDisplayableExceptionIfNeeded(MVRDriverValidator.gs:XXXSTRACERAW:-</t>
  </si>
  <si>
    <t>EMSG:Add License State for TAMARA HUGHESSTRACE:com.farmers.config.pa.mvr.validator.MVRDriverValidator.throwDisplayableExceptionIfNeeded(MVRDriverValidator.gs:XXXSTRACERAW:-</t>
  </si>
  <si>
    <t>EMSG:Add License State for TAMARA HUGHESSTRACE:gw.job.QuoteProcess.requestQuote(QuoteProcess.gs:XXXSTRACERAW:-</t>
  </si>
  <si>
    <t>EMSG:Adriana EstradaSTRACE:com.farmers.config.pa.validator.BrightlineValidator.validateQuoteBrightlineRules(BrightlineValidator.gs:XXXSTRACERAW:-</t>
  </si>
  <si>
    <t>EMSG:Adriana EstradaSTRACE:gw.job.QuoteProcess.requestQuote(QuoteProcess.gs:XXXSTRACERAW:-</t>
  </si>
  <si>
    <t>EMSG:Angelica ArandaSTRACE:com.farmers.config.pa.validator.BrightlineValidator.validateQuoteBrightlineRules(BrightlineValidator.gs:XXXSTRACERAW:-</t>
  </si>
  <si>
    <t>EMSG:Angelica ArandaSTRACE:gw.job.QuoteProcess.requestQuote(QuoteProcess.gs:XXXSTRACERAW:-</t>
  </si>
  <si>
    <t>EMSG:Arthur NathanSTRACE:com.farmers.config.pa.validator.BrightlineValidator.validateQuoteBrightlineRules(BrightlineValidator.gs:XXXSTRACERAW:-</t>
  </si>
  <si>
    <t>EMSG:Attempt to access bean of type "CreditReasonImpact_Ext" id=XXX with a null bundleSTRACE:deployment.pc.war//com.guidewire.pl.system.entity.proxy.BeanProxy.checkIsInBundle(BeanProxy.java:XXXSTRACERAW:-</t>
  </si>
  <si>
    <t>EMSG:Attempt to access bean of type "CreditResultParams_Ext" id=XXX with a null bundleSTRACE:deployment.pc.war//com.guidewire.pl.system.entity.proxy.BeanProxy.checkIsInBundle(BeanProxy.java:XXXSTRACERAW:-</t>
  </si>
  <si>
    <t>EMSG:Attempt to access bean of type "PUPVehicleOper_PUE" id=XXX with a null bundleSTRACE:deployment.pc.war//com.guidewire.pl.system.entity.proxy.BeanProxy.checkIsInBundle(BeanProxy.java:XXXSTRACERAW:-</t>
  </si>
  <si>
    <t>EMSG:Attempt to access bean of type "PUPWatercraft_PUE" id=XXX with a null bundleSTRACE:deployment.pc.war//com.guidewire.pl.system.entity.proxy.BeanProxy.checkIsInBundle(BeanProxy.java:XXXSTRACERAW:-</t>
  </si>
  <si>
    <t>EMSG:Attempt to access bean of type "PolicyAddress" id=XXX with a null bundleSTRACE:deployment.pc.war//com.guidewire.pl.system.entity.proxy.BeanProxy.checkIsInBundle(BeanProxy.java:XXXSTRACERAW:-</t>
  </si>
  <si>
    <t>EMSG:Attempt to access bean of type "PolicyLocation" id=XXX with a null bundleSTRACE:deployment.pc.war//com.guidewire.pl.system.entity.proxy.BeanProxy.checkIsInBundle(BeanProxy.java:XXXSTRACERAW:-</t>
  </si>
  <si>
    <t>EMSG:Attempt to access bean of type "PremiumComponent_Ext" id=XXX with a null bundleSTRACE:deployment.pc.war//com.guidewire.pl.system.entity.proxy.BeanProxy.checkIsInBundle(BeanProxy.java:XXXSTRACERAW:-</t>
  </si>
  <si>
    <t>EMSG:Attempt to access bean of type "ULPolicy_PUE" id=XXX with a null bundleSTRACE:deployment.pc.war//com.guidewire.pl.system.entity.proxy.BeanProxy.checkIsInBundle(BeanProxy.java:XXXSTRACERAW:-</t>
  </si>
  <si>
    <t>EMSG:BREANNA MILLERSTRACE:com.farmers.config.pa.validator.BrightlineValidator.validateQuoteBrightlineRules(BrightlineValidator.gs:XXXSTRACERAW:-</t>
  </si>
  <si>
    <t>EMSG:BRIAN COOPERSTRACE:com.farmers.config.pa.validator.BrightlineValidator.validateQuoteBrightlineRules(BrightlineValidator.gs:XXXSTRACERAW:-</t>
  </si>
  <si>
    <t>EMSG:BRUCE CORRELLSTRACE:com.farmers.config.pa.validator.BrightlineValidator.validateQuoteBrightlineRules(BrightlineValidator.gs:XXXSTRACERAW:-</t>
  </si>
  <si>
    <t>EMSG:BRYAN RUFNERSTRACE:com.farmers.config.pa.validator.BrightlineValidator.validateQuoteBrightlineRules(BrightlineValidator.gs:XXXSTRACERAW:-</t>
  </si>
  <si>
    <t>EMSG:Bean should already have its retired field set by the bundleSTRACE:deployment.pc.war//com.guidewire.pl.system.bundle.InternalFieldsCallback.beforeRemove(InternalFieldsCallback.java:XXXSTRACERAW:-</t>
  </si>
  <si>
    <t>EMSG:Brenda CampbellSTRACE:com.farmers.config.pa.validator.BrightlineValidator.validateQuoteBrightlineRules(BrightlineValidator.gs:XXXSTRACERAW:-</t>
  </si>
  <si>
    <t>EMSG:CLINTON JONESSTRACE:gw.job.QuoteProcess.requestQuote(QuoteProcess.gs:XXXSTRACERAW:-</t>
  </si>
  <si>
    <t>EMSG:COLLETTE WOMACKSTRACE:com.farmers.config.pa.validator.BrightlineValidator.validateQuoteBrightlineRules(BrightlineValidator.gs:XXXSTRACERAW:-</t>
  </si>
  <si>
    <t>EMSG:COLLETTE WOMACKSTRACE:gw.job.QuoteProcess.requestQuote(QuoteProcess.gs:XXXSTRACERAW:-</t>
  </si>
  <si>
    <t>EMSG:CORTENEY PETITSTRACE:com.farmers.config.pa.validator.BrightlineValidator.validateQuoteBrightlineRules(BrightlineValidator.gs:XXXSTRACERAW:-</t>
  </si>
  <si>
    <t>EMSG:CYNTHIA MINJAREZSTRACE:com.farmers.config.pa.validator.BrightlineValidator.validateQuoteBrightlineRules(BrightlineValidator.gs:XXXSTRACERAW:-</t>
  </si>
  <si>
    <t>EMSG:CYNTHIA MINJAREZSTRACE:gw.job.QuoteProcess.requestQuote(QuoteProcess.gs:XXXSTRACERAW:-</t>
  </si>
  <si>
    <t>EMSG:Cannot resolve an incident record XXX of contact role Incident Entity PCR - XXX to a single driver with Contact Roles Daniel Huerta : XXXMARIA HUERTA : XXXSTRACE:com.farmers.chargeability.pa.info.PAIncidentInfoDto.mapFromEntity(PAIncidentInfoDto.gs:XXXSTRACERAW:-</t>
  </si>
  <si>
    <t>EMSG:Cannot resolve an incident record XXX of contact role Incident Entity PCR - XXX to a single driver with Contact Roles Esther Ornelas : XXXSTRACE:com.farmers.chargeability.pa.info.PAIncidentInfoDto.mapFromEntity(PAIncidentInfoDto.gs:XXXSTRACERAW:-</t>
  </si>
  <si>
    <t>EMSG:Cannot resolve an incident record XXX of contact role Incident Entity PCR - XXX to a single driver with Contact Roles Sofia Changuin : XXXSTRACE:com.farmers.chargeability.pa.info.PAIncidentInfoDto.mapFromEntity(PAIncidentInfoDto.gs:XXXSTRACERAW:-</t>
  </si>
  <si>
    <t>EMSG:Cannot start a Policy Change with effective date XXX/XXX/XXX on policy XXX: There is an open rewrite transactionSTRACE:deployment.pc.war//com.guidewire.pc.domain.job.impl.JobImpl.checkCanStartJob(JobImpl.java:XXXSTRACERAW:-</t>
  </si>
  <si>
    <t>EMSG:Carlos Reyes-vasquezSTRACE:com.farmers.config.pa.validator.BrightlineValidator.validateQuoteBrightlineRules(BrightlineValidator.gs:XXXSTRACERAW:-</t>
  </si>
  <si>
    <t>EMSG:Carlos Reyes-vasquezSTRACE:gw.job.QuoteProcess.requestQuote(QuoteProcess.gs:XXXSTRACERAW:-</t>
  </si>
  <si>
    <t>EMSG:Chris McmanawaySTRACE:com.farmers.config.pa.validator.BrightlineValidator.validateQuoteBrightlineRules(BrightlineValidator.gs:XXXSTRACERAW:-</t>
  </si>
  <si>
    <t>EMSG:Chris McmanawaySTRACE:gw.job.QuoteProcess.requestQuote(QuoteProcess.gs:XXXSTRACERAW:-</t>
  </si>
  <si>
    <t>EMSG:Christian LongSTRACE:com.farmers.config.pa.validator.BrightlineValidator.validateQuoteBrightlineRules(BrightlineValidator.gs:XXXSTRACERAW:-</t>
  </si>
  <si>
    <t>EMSG:Christian LongSTRACE:gw.job.QuoteProcess.requestQuote(QuoteProcess.gs:XXXSTRACERAW:-</t>
  </si>
  <si>
    <t>EMSG:Christy MunroeSTRACE:com.farmers.config.pa.validator.BrightlineValidator.validateQuoteBrightlineRules(BrightlineValidator.gs:XXXSTRACERAW:-</t>
  </si>
  <si>
    <t>EMSG:Corey WrightSTRACE:com.farmers.config.pa.validator.BrightlineValidator.validateQuoteBrightlineRules(BrightlineValidator.gs:XXXSTRACERAW:-</t>
  </si>
  <si>
    <t>EMSG:Corey WrightSTRACE:gw.job.QuoteProcess.requestQuote(QuoteProcess.gs:XXXSTRACERAW:-</t>
  </si>
  <si>
    <t>EMSG:Could not map property ErrorDetailValueSTRACE:deployment.pc.war//gw.internal.xml.gx.GxRuntime.createElement(GxRuntime.java:XXXSTRACERAW:-</t>
  </si>
  <si>
    <t>EMSG:DAMAIN PLACIDESTRACE:com.farmers.config.pa.validator.BrightlineValidator.validateQuoteBrightlineRules(BrightlineValidator.gs:XXXSTRACERAW:-</t>
  </si>
  <si>
    <t>EMSG:DAMAIN PLACIDESTRACE:gw.job.QuoteProcess.requestQuote(QuoteProcess.gs:XXXSTRACERAW:-</t>
  </si>
  <si>
    <t>EMSG:DAMIAN PLACIDESTRACE:com.farmers.config.pa.validator.BrightlineValidator.validateQuoteBrightlineRules(BrightlineValidator.gs:XXXSTRACERAW:-</t>
  </si>
  <si>
    <t>EMSG:DAMIAN PLACIDESTRACE:gw.job.QuoteProcess.requestQuote(QuoteProcess.gs:XXXSTRACERAW:-</t>
  </si>
  <si>
    <t>EMSG:DAVID PASKARSTRACE:com.farmers.config.pa.validator.BrightlineValidator.validateQuoteBrightlineRules(BrightlineValidator.gs:XXXSTRACERAW:-</t>
  </si>
  <si>
    <t>EMSG:DAYTIN LESTERSTRACE:com.farmers.config.pa.validator.BrightlineValidator.validateQuoteBrightlineRules(BrightlineValidator.gs:XXXSTRACERAW:-</t>
  </si>
  <si>
    <t>EMSG:DAYTIN LESTERSTRACE:gw.job.QuoteProcess.requestQuote(QuoteProcess.gs:XXXSTRACERAW:-</t>
  </si>
  <si>
    <t>EMSG:Database bean version conflict : XXXSTRACE:Darrington', and it was changed by Margaret L at XXX/XXX/XXX XXX:XXX AM. Please cancel and retry your change.
	at deployment.pc.war//com.guidewire.pl.system.database.DatabaseChangedBeanWriter.createConcurrentDataChangeException(DatabaseChangedBeanWriter.java:XXXSTRACERAW:-</t>
  </si>
  <si>
    <t>EMSG:David McMenaminSTRACE:com.farmers.config.pa.validator.BrightlineValidator.validateQuoteBrightlineRules(BrightlineValidator.gs:XXXSTRACERAW:-</t>
  </si>
  <si>
    <t>EMSG:Drivers who do not qualify for the Good Driver Discount must have a clean driving record and be accompanied on the policy by a Good Driver to be eligible for a policy with Farmers.STRACE:gw.job.QuoteProcess.requestQuote(QuoteProcess.gs:XXXSTRACERAW:-</t>
  </si>
  <si>
    <t>EMSG:Dwelling at XXXSTRACE:XXX Brookview Trce, Hoover, AL: Perils on Personal Property is now available and its value must be verified by the user.
	at gw.api.extension.PCExtensionInterfacesMapper$block_XXX_.invoke(PCExtensionInterfacesMapper.gs:XXXSTRACERAW:-</t>
  </si>
  <si>
    <t>EMSG:Dwelling at XXXSTRACE:XXX Byrd Rd, Stapleton, AL: Perils on Personal Property is now available and its value must be verified by the user.
	at gw.api.extension.PCExtensionInterfacesMapper$block_XXX_.invoke(PCExtensionInterfacesMapper.gs:XXXSTRACERAW:-</t>
  </si>
  <si>
    <t>EMSG:Dwelling at XXXSTRACE:XXX Callaway Ln, Meridianville, AL: Perils on Personal Property is now available and its value must be verified by the user.
	at gw.api.extension.PCExtensionInterfacesMapper$block_XXX_.invoke(PCExtensionInterfacesMapper.gs:XXXSTRACERAW:-</t>
  </si>
  <si>
    <t>EMSG:Dwelling at XXXSTRACE:XXX Douglas St, Madison, AL: Perils on Personal Property is now available and its value must be verified by the user.
	at gw.api.extension.PCExtensionInterfacesMapper$block_XXX_.invoke(PCExtensionInterfacesMapper.gs:XXXSTRACERAW:-</t>
  </si>
  <si>
    <t>EMSG:Dwelling at XXXSTRACE:XXX Forest Ave NW, Fort Payne, AL: Perils on Personal Property is now available and its value must be verified by the user.
	at gw.api.extension.PCExtensionInterfacesMapper$block_XXX_.invoke(PCExtensionInterfacesMapper.gs:XXXSTRACERAW:-</t>
  </si>
  <si>
    <t>EMSG:Dwelling at XXXSTRACE:XXX Justin Ln, Union Grove, AL: Perils on Personal Property is now available and its value must be verified by the user.
	at gw.api.extension.PCExtensionInterfacesMapper$block_XXX_.invoke(PCExtensionInterfacesMapper.gs:XXXSTRACERAW:-</t>
  </si>
  <si>
    <t>EMSG:Dwelling at XXXSTRACE:XXX Lakewood Dr W, Mobile, AL: Perils on Personal Property is now available and its value must be verified by the user.
	at gw.api.extension.PCExtensionInterfacesMapper$block_XXX_.invoke(PCExtensionInterfacesMapper.gs:XXXSTRACERAW:-</t>
  </si>
  <si>
    <t>EMSG:Dwelling at XXXSTRACE:XXX Madison Ln, Odenville, AL: Perils on Personal Property is now available and its value must be verified by the user.
	at gw.api.extension.PCExtensionInterfacesMapper$block_XXX_.invoke(PCExtensionInterfacesMapper.gs:XXXSTRACERAW:-</t>
  </si>
  <si>
    <t>EMSG:Dwelling at XXXSTRACE:XXX Magnolia Pl, Birmingham, AL: Perils on Personal Property is now available and its value must be verified by the user.
	at gw.api.extension.PCExtensionInterfacesMapper$block_XXX_.invoke(PCExtensionInterfacesMapper.gs:XXXSTRACERAW:-</t>
  </si>
  <si>
    <t>EMSG:Dwelling at XXXSTRACE:XXX Meadow Wood Ln, Princeton, TX: Replacement Cost Value Valuation Method on Personal Property is no longer available and has been removed. Please enter a new value.
	at gw.api.extension.PCExtensionInterfacesMapper$block_XXX_.invoke(PCExtensionInterfacesMapper.gs:XXXSTRACERAW:-</t>
  </si>
  <si>
    <t>EMSG:Dwelling at XXXSTRACE:XXX Old Rock Creek Rd, Bessemer, AL: Perils on Personal Property is now available and its value must be verified by the user.
	at gw.api.extension.PCExtensionInterfacesMapper$block_XXX_.invoke(PCExtensionInterfacesMapper.gs:XXXSTRACERAW:-</t>
  </si>
  <si>
    <t>EMSG:Dwelling at XXXSTRACE:XXX Paradise Ln, Bessemer, AL: Perils on Personal Property is now available and its value must be verified by the user.
	at gw.api.extension.PCExtensionInterfacesMapper$block_XXX_.invoke(PCExtensionInterfacesMapper.gs:XXXSTRACERAW:-</t>
  </si>
  <si>
    <t>EMSG:Dwelling at XXXSTRACE:XXX S XXX Rd, Miami, OK: Perils on Personal Property is now available and its value must be verified by the user.
	at gw.api.extension.PCExtensionInterfacesMapper$block_XXX_.invoke(PCExtensionInterfacesMapper.gs:XXXSTRACERAW:-</t>
  </si>
  <si>
    <t>EMSG:Dwelling at XXXSTRACE:XXX STEINBECK AVE UNIT B, STEVENSON RANCH, CA: $XXX,XXX All Perils on Deductibles is no longer available and has been removed. Please enter a new value.; XXX, XXX/XXX/XXX, XXX/XXX/XXX, XXX: No message configured for MissingQuestionIssue; XXX, XXX/XXX/XXX, XXX/XXX/XXX, XXX: No message configured for MissingQuestionIssue; XXX, XXX/XXX/XXX, XXX/XXX/XXX, XXX: No message configured for MissingQuestionIssue; XXX, XXX/XXX/XXX, XXX/XXX/XXX, XXX: No message configured for MissingQuestionIssue
	at gw.api.extension.PCExtensionInterfacesMapper$block_XXX_.invoke(PCExtensionInterfacesMapper.gs:XXXSTRACERAW:-</t>
  </si>
  <si>
    <t>EMSG:Dwelling at XXXSTRACE:XXX Shadow Cove Ln, Trussville, AL: Perils on Personal Property is now available and its value must be verified by the user.
	at gw.api.extension.PCExtensionInterfacesMapper$block_XXX_.invoke(PCExtensionInterfacesMapper.gs:XXXSTRACERAW:-</t>
  </si>
  <si>
    <t>EMSG:Dwelling at XXXSTRACE:XXX St Hwy XXX, Guin, AL: Perils on Personal Property is now available and its value must be verified by the user.
	at gw.api.extension.PCExtensionInterfacesMapper$block_XXX_.invoke(PCExtensionInterfacesMapper.gs:XXXSTRACERAW:-</t>
  </si>
  <si>
    <t>EMSG:Dwelling at XXXSTRACE:XXX Wisteria Pl SE, Decatur, AL: Perils on Personal Property is now available and its value must be verified by the user.
	at gw.api.extension.PCExtensionInterfacesMapper$block_XXX_.invoke(PCExtensionInterfacesMapper.gs:XXXSTRACERAW:-</t>
  </si>
  <si>
    <t>EMSG:Dwelling at XXXSTRACE:XXX XXXth Ave, Atmore, AL: Perils on Personal Property is now available and its value must be verified by the user.
	at gw.api.extension.PCExtensionInterfacesMapper$block_XXX_.invoke(PCExtensionInterfacesMapper.gs:XXXSTRACERAW:-</t>
  </si>
  <si>
    <t>EMSG:ELIJAH RUSTSTRACE:com.farmers.config.pa.validator.BrightlineValidator.validateQuoteBrightlineRules(BrightlineValidator.gs:XXXSTRACERAW:-</t>
  </si>
  <si>
    <t>EMSG:ELIJAH RUSTSTRACE:gw.job.QuoteProcess.requestQuote(QuoteProcess.gs:XXXSTRACERAW:-</t>
  </si>
  <si>
    <t>EMSG:ELLIE WOLCOTTSTRACE:com.farmers.config.pa.validator.BrightlineValidator.validateQuoteBrightlineRules(BrightlineValidator.gs:XXXSTRACERAW:-</t>
  </si>
  <si>
    <t>EMSG:ELLIE WOLCOTTSTRACE:gw.job.QuoteProcess.requestQuote(QuoteProcess.gs:XXXSTRACERAW:-</t>
  </si>
  <si>
    <t>EMSG:EMILY FARRSTRACE:com.farmers.config.pa.validator.BrightlineValidator.validateQuoteBrightlineRules(BrightlineValidator.gs:XXXSTRACERAW:-</t>
  </si>
  <si>
    <t>EMSG:ERNEST CASTANEDASTRACE:com.farmers.config.pa.validator.BrightlineValidator.validateQuoteBrightlineRules(BrightlineValidator.gs:XXXSTRACERAW:-</t>
  </si>
  <si>
    <t>EMSG:ERNEST CASTANEDASTRACE:gw.job.QuoteProcess.requestQuote(QuoteProcess.gs:XXXSTRACERAW:-</t>
  </si>
  <si>
    <t>EMSG:Effective ranges overlap for DriverSignal_Ext with BranchID XXX and with FixedID XXXSTRACE:Sep XXX XXX:XXX:XXX PDT XXX, Thu Mar XXX XXX:XXX:XXX PDT XXX - Sat Sep XXX XXX:XXX:XXX PDT XXX
	at deployment.pc.war//com.guidewire.pl.system.entity.proxy.EffDatedBeanProxy.checkForOverlaps(EffDatedBeanProxy.java:XXXSTRACERAW:-</t>
  </si>
  <si>
    <t>EMSG:Effective ranges overlap for PAModifier with BranchID XXX and with FixedID XXXSTRACE:deployment.pc.war//com.guidewire.pl.system.entity.proxy.EffDatedBeanProxy.checkForOverlaps(EffDatedBeanProxy.java:XXXSTRACERAW:-</t>
  </si>
  <si>
    <t>EMSG:Effective ranges overlap for PANewBusinessCount_Ext with BranchID XXX and with FixedID XXXSTRACE:Mar XXX XXX:XXX:XXX PDT XXX - Mon Sep XXX XXX:XXX:XXX PDT XXX, Sat Mar XXX XXX:XXX:XXX PDT XXX - Mon Sep XXX XXX:XXX:XXX PDT XXX
	at deployment.pc.war//com.guidewire.pl.system.entity.proxy.EffDatedBeanProxy.checkForOverlaps(EffDatedBeanProxy.java:XXXSTRACERAW:-</t>
  </si>
  <si>
    <t>EMSG:Effective ranges overlap for PolicyDriverMVR with BranchID XXX and with FixedID XXXSTRACE:deployment.pc.war//com.guidewire.pl.system.entity.proxy.EffDatedBeanProxy.checkForOverlaps(EffDatedBeanProxy.java:XXXSTRACERAW:-</t>
  </si>
  <si>
    <t>EMSG:Enrique ChavezSTRACE:com.farmers.config.pa.validator.BrightlineValidator.validateQuoteBrightlineRules(BrightlineValidator.gs:XXXSTRACERAW:-</t>
  </si>
  <si>
    <t>EMSG:Enrique ChavezSTRACE:gw.job.QuoteProcess.requestQuote(QuoteProcess.gs:XXXSTRACERAW:-</t>
  </si>
  <si>
    <t>EMSG:Enrique GutierrezSTRACE:com.farmers.config.pa.validator.BrightlineValidator.validateQuoteBrightlineRules(BrightlineValidator.gs:XXXSTRACERAW:-</t>
  </si>
  <si>
    <t>EMSG:Enrique GutierrezSTRACE:gw.job.QuoteProcess.requestQuote(QuoteProcess.gs:XXXSTRACERAW:-</t>
  </si>
  <si>
    <t>EMSG:Enter Signal Phone number for Diane Murphy. A cell phone number is required for Signal enrollment.;STRACE:edge.capabilities.quote.submission.quoting.util.SubmissionUnderwritingIssuesUtil.checkVerifyRateExceptions(SubmissionUnderwritingIssuesUtil.gs:XXXSTRACERAW:-</t>
  </si>
  <si>
    <t>EMSG:Eric FloresSTRACE:com.farmers.config.pa.validator.BrightlineValidator.validateQuoteBrightlineRules(BrightlineValidator.gs:XXXSTRACERAW:-</t>
  </si>
  <si>
    <t>EMSG:Error occured with Child Job's canStartPolicyChange(): No period for this effective dateSTRACE:gw.acc.luw.perf.JobCreationHelper.useParentEffectiveDateOrNot(JobCreationHelper.gs:XXXSTRACERAW:-</t>
  </si>
  <si>
    <t>EMSG:Ewa OslavskayaSTRACE:com.farmers.config.pa.validator.BrightlineValidator.validateQuoteBrightlineRules(BrightlineValidator.gs:XXXSTRACERAW:-</t>
  </si>
  <si>
    <t>EMSG:Ewa OslavskayaSTRACE:gw.job.QuoteProcess.requestQuote(QuoteProcess.gs:XXXSTRACERAW:-</t>
  </si>
  <si>
    <t>EMSG:Exception during Rating ExecuteIterationsMultiThreaded : gw.api.rating.RatingException: Exception during Rating ExecuteIterationsMultiThreaded : gw.api.rating.RatingException: Exception during Rating JobNumber : XXX - FarmersPARatingEngine.runStepsByVehInParallel : java.util.concurrent.ExecutionException: gw.rating.CalcRoutineExecutionException: com.guidewire.pl.system.exception.DBException: Failed to close the connectionSTRACE:com.farmers.rating.common.flow.iteration.impl.IterationsExecutorImpl$block_XXX_.invoke(IterationsExecutorImpl.gs:XXXSTRACERAW:-</t>
  </si>
  <si>
    <t>EMSG:Exception during Rating ExecuteIterationsMultiThreaded : java.lang.IllegalArgumentException: Cannot re-add CreditResultParams_Ext:XXX since it has already been removed.  You must use bundle rollback to undo a remove.STRACE:com.farmers.rating.common.flow.iteration.impl.IterationsExecutorImpl$block_XXX_.invoke(IterationsExecutorImpl.gs:XXXSTRACERAW:-</t>
  </si>
  <si>
    <t>EMSG:Exception during Rating ExecuteIterationsMultiThreaded : java.lang.NumberFormatException: For input string: "XXX_XXX_XXX"STRACE:com.farmers.rating.common.flow.iteration.impl.IterationsExecutorImpl$block_XXX_.invoke(IterationsExecutorImpl.gs:XXXSTRACERAW:-</t>
  </si>
  <si>
    <t>EMSG:Expected only one PolicyLocation associated with the AccountLocation: XXX Maplewood LnSTRACE:gw.lob.pa.PersonalVehicleEnhancement.setAccountLocation(PersonalVehicleEnhancement.gsx:XXXSTRACERAW:-</t>
  </si>
  <si>
    <t>EMSG:Expected query to have at most one result.  Select statement causing error: Values=[Michigan (typekey)STRACE:most one result.  Select statement causing error: Values=[Michigan (typekeySTRACERAW:-</t>
  </si>
  <si>
    <t>EMSG:FRANCES BACCUSSTRACE:com.farmers.config.pa.validator.BrightlineValidator.validateQuoteBrightlineRules(BrightlineValidator.gs:XXXSTRACERAW:-</t>
  </si>
  <si>
    <t>EMSG:FRANCES BACCUSSTRACE:gw.job.QuoteProcess.requestQuote(QuoteProcess.gs:XXXSTRACERAW:-</t>
  </si>
  <si>
    <t>EMSG:Failed to execute a querySTRACE:com.farmers.config.pa.VIN.VINProcess.handleFailedResponse(VINProcess.gs:XXXSTRACERAW:-</t>
  </si>
  <si>
    <t>EMSG:For eligible contact Chandana Tarurveerabhadraiah credit score is null. Please make sure credit is orderedSTRACE:com.farmers.config.common.credit.CreditScoreHelper.populateRatingCreditDTO(CreditScoreHelper.gs:XXXSTRACERAW:-</t>
  </si>
  <si>
    <t>EMSG:For eligible contact Jane Weaver credit score is null. Please make sure credit is orderedSTRACE:com.farmers.config.common.credit.CreditScoreHelper.populateRatingCreditDTO(CreditScoreHelper.gs:XXXSTRACERAW:-</t>
  </si>
  <si>
    <t>EMSG:For eligible contact Johnny Brown credit score is null. Please make sure credit is orderedSTRACE:com.farmers.config.common.credit.CreditScoreHelper.populateRatingCreditDTO(CreditScoreHelper.gs:XXXSTRACERAW:-</t>
  </si>
  <si>
    <t>EMSG:For eligible contact Joseph Pecoraro credit score is null. Please make sure credit is orderedSTRACE:com.farmers.config.common.credit.CreditScoreHelper.populateRatingCreditDTO(CreditScoreHelper.gs:XXXSTRACERAW:-</t>
  </si>
  <si>
    <t>EMSG:For eligible contact KAREN LARSON credit score is null. Please make sure credit is orderedSTRACE:com.farmers.config.common.credit.CreditScoreHelper.populateRatingCreditDTO(CreditScoreHelper.gs:XXXSTRACERAW:-</t>
  </si>
  <si>
    <t>EMSG:For eligible contact Kevin Pritchett credit score is null. Please make sure credit is orderedSTRACE:com.farmers.config.common.credit.CreditScoreHelper.populateRatingCreditDTO(CreditScoreHelper.gs:XXXSTRACERAW:-</t>
  </si>
  <si>
    <t>EMSG:For eligible contact Steven Munoz credit score is null. Please make sure credit is orderedSTRACE:com.farmers.config.common.credit.CreditScoreHelper.populateRatingCreditDTO(CreditScoreHelper.gs:XXXSTRACERAW:-</t>
  </si>
  <si>
    <t>EMSG:Found more than one target of the property XXXSTRACE:XXX E XXXnd Ave, Aurora, CO': ['HOWindMitCredit_Ext:pc:XXX', 'HOWindMitCredit_Ext:pc:XXX']. This could be due to a concurrent data change, or a programming error.
	at deployment.pc.war//com.guidewire.pl.system.entity.proxy.AbstractKeyableBeanProxy.getOneToOneForeignKeyId(AbstractKeyableBeanProxy.java:XXXSTRACERAW:-</t>
  </si>
  <si>
    <t>EMSG:Francisco SilvaSTRACE:com.farmers.config.pa.validator.BrightlineValidator.validateQuoteBrightlineRules(BrightlineValidator.gs:XXXSTRACERAW:-</t>
  </si>
  <si>
    <t>EMSG:Francisco SilvaSTRACE:gw.job.QuoteProcess.requestQuote(QuoteProcess.gs:XXXSTRACERAW:-</t>
  </si>
  <si>
    <t>EMSG:GARY NICHOLSONSTRACE:com.farmers.config.pa.validator.BrightlineValidator.validateQuoteBrightlineRules(BrightlineValidator.gs:XXXSTRACERAW:-</t>
  </si>
  <si>
    <t>EMSG:Gene ShilingSTRACE:com.farmers.config.pa.validator.BrightlineValidator.validateQuoteBrightlineRules(BrightlineValidator.gs:XXXSTRACERAW:-</t>
  </si>
  <si>
    <t>EMSG:Gene ShilingSTRACE:gw.job.QuoteProcess.requestQuote(QuoteProcess.gs:XXXSTRACERAW:-</t>
  </si>
  <si>
    <t>EMSG:Households with XXX or more drivers per vehicle are ineligible for coverage.STRACE:com.farmers.config.pa.validator.PALineQuoteValidator_Ext.validateDriverToVehicleRatio(PALineQuoteValidator_Ext.gs:XXXSTRACERAW:-</t>
  </si>
  <si>
    <t>EMSG:Hudson WelshSTRACE:com.farmers.config.pa.validator.BrightlineValidator.validateQuoteBrightlineRules(BrightlineValidator.gs:XXXSTRACERAW:-</t>
  </si>
  <si>
    <t>EMSG:ISAAC WELLSSTRACE:com.farmers.config.pa.validator.BrightlineValidator.validateQuoteBrightlineRules(BrightlineValidator.gs:XXXSTRACERAW:-</t>
  </si>
  <si>
    <t>EMSG:ISAAC WELLSSTRACE:gw.job.QuoteProcess.requestQuote(QuoteProcess.gs:XXXSTRACERAW:-</t>
  </si>
  <si>
    <t>EMSG:IVAN YUNGSTRACE:com.farmers.config.pa.validator.BrightlineValidator.validateQuoteBrightlineRules(BrightlineValidator.gs:XXXSTRACERAW:-</t>
  </si>
  <si>
    <t>EMSG:Icilda EdwardsSTRACE:com.farmers.config.pa.validator.BrightlineValidator.validateQuoteBrightlineRules(BrightlineValidator.gs:XXXSTRACERAW:-</t>
  </si>
  <si>
    <t>EMSG:Icilda EdwardsSTRACE:gw.job.QuoteProcess.requestQuote(QuoteProcess.gs:XXXSTRACERAW:-</t>
  </si>
  <si>
    <t>EMSG:Internal error: bean entity.CreditResultParams_Ext:XXX was staged for edit.STRACE:deployment.pc.war//com.guidewire.pl.system.bundle.EntityBundleImpl.handleBeanChange(EntityBundleImpl.java:XXXSTRACERAW:-</t>
  </si>
  <si>
    <t>EMSG:Internal error: bean entity.HomeownersBaseCost_HOE:XXX was not staged for edit.STRACE:deployment.pc.war//com.guidewire.pl.system.bundle.EntityBundleImpl.handleBeanChange(EntityBundleImpl.java:XXXSTRACERAW:-</t>
  </si>
  <si>
    <t>EMSG:JADYN NELSONSTRACE:com.farmers.config.pa.validator.BrightlineValidator.validateQuoteBrightlineRules(BrightlineValidator.gs:XXXSTRACERAW:-</t>
  </si>
  <si>
    <t>EMSG:JADYN NELSONSTRACE:gw.job.QuoteProcess.requestQuote(QuoteProcess.gs:XXXSTRACERAW:-</t>
  </si>
  <si>
    <t>EMSG:JANELL GEHRKESTRACE:com.farmers.config.pa.validator.BrightlineValidator.validateQuoteBrightlineRules(BrightlineValidator.gs:XXXSTRACERAW:-</t>
  </si>
  <si>
    <t>EMSG:JANELL GEHRKESTRACE:gw.job.QuoteProcess.requestQuote(QuoteProcess.gs:XXXSTRACERAW:-</t>
  </si>
  <si>
    <t>EMSG:JANNA WILLISSTRACE:com.farmers.config.pa.validator.BrightlineValidator.validateQuoteBrightlineRules(BrightlineValidator.gs:XXXSTRACERAW:-</t>
  </si>
  <si>
    <t>EMSG:JANNA WILLISSTRACE:gw.job.QuoteProcess.requestQuote(QuoteProcess.gs:XXXSTRACERAW:-</t>
  </si>
  <si>
    <t>EMSG:JASMINE GRANTSTRACE:com.farmers.config.pa.validator.BrightlineValidator.validateQuoteBrightlineRules(BrightlineValidator.gs:XXXSTRACERAW:-</t>
  </si>
  <si>
    <t>EMSG:JASMINE GRANTSTRACE:gw.job.QuoteProcess.requestQuote(QuoteProcess.gs:XXXSTRACERAW:-</t>
  </si>
  <si>
    <t>EMSG:JESSICA ELIFRITZSTRACE:com.farmers.config.pa.validator.BrightlineValidator.validateQuoteBrightlineRules(BrightlineValidator.gs:XXXSTRACERAW:-</t>
  </si>
  <si>
    <t>EMSG:JESSICA ELIFRITZSTRACE:gw.job.QuoteProcess.requestQuote(QuoteProcess.gs:XXXSTRACERAW:-</t>
  </si>
  <si>
    <t>EMSG:JESSICA KOOSTRACE:com.farmers.config.pa.validator.BrightlineValidator.validateQuoteBrightlineRules(BrightlineValidator.gs:XXXSTRACERAW:-</t>
  </si>
  <si>
    <t>EMSG:JESSICA KOOSTRACE:gw.job.QuoteProcess.requestQuote(QuoteProcess.gs:XXXSTRACERAW:-</t>
  </si>
  <si>
    <t>EMSG:JOSE TOSCANOSTRACE:com.farmers.config.pa.validator.BrightlineValidator.validateQuoteBrightlineRules(BrightlineValidator.gs:XXXSTRACERAW:-</t>
  </si>
  <si>
    <t>EMSG:JOSE TOSCANOSTRACE:gw.job.QuoteProcess.requestQuote(QuoteProcess.gs:XXXSTRACERAW:-</t>
  </si>
  <si>
    <t>EMSG:JOSE VIZCAINOSTRACE:com.farmers.config.pa.validator.BrightlineValidator.validateQuoteBrightlineRules(BrightlineValidator.gs:XXXSTRACERAW:-</t>
  </si>
  <si>
    <t>EMSG:Jackson AveraSTRACE:com.farmers.config.pa.validator.BrightlineValidator.validateQuoteBrightlineRules(BrightlineValidator.gs:XXXSTRACERAW:-</t>
  </si>
  <si>
    <t>EMSG:Jackson AveraSTRACE:gw.job.QuoteProcess.requestQuote(QuoteProcess.gs:XXXSTRACERAW:-</t>
  </si>
  <si>
    <t>EMSG:Jeffrey MessingSTRACE:com.farmers.config.pa.validator.BrightlineValidator.validateQuoteBrightlineRules(BrightlineValidator.gs:XXXSTRACERAW:-</t>
  </si>
  <si>
    <t>EMSG:Jennifer TorresSTRACE:com.farmers.config.pa.validator.BrightlineValidator.validateQuoteBrightlineRules(BrightlineValidator.gs:XXXSTRACERAW:-</t>
  </si>
  <si>
    <t>EMSG:Jennifer TorresSTRACE:gw.job.QuoteProcess.requestQuote(QuoteProcess.gs:XXXSTRACERAW:-</t>
  </si>
  <si>
    <t>EMSG:Jovita Reyes DeamayaSTRACE:com.farmers.config.pa.validator.BrightlineValidator.validateQuoteBrightlineRules(BrightlineValidator.gs:XXXSTRACERAW:-</t>
  </si>
  <si>
    <t>EMSG:Jovita Reyes DeamayaSTRACE:gw.job.QuoteProcess.requestQuote(QuoteProcess.gs:XXXSTRACERAW:-</t>
  </si>
  <si>
    <t>EMSG:Juan SalinasSTRACE:com.farmers.config.pa.validator.BrightlineValidator.validateQuoteBrightlineRules(BrightlineValidator.gs:XXXSTRACERAW:-</t>
  </si>
  <si>
    <t>EMSG:Juan SalinasSTRACE:gw.job.QuoteProcess.requestQuote(QuoteProcess.gs:XXXSTRACERAW:-</t>
  </si>
  <si>
    <t>EMSG:KELEIGH RODRIGUEZSTRACE:com.farmers.config.pa.validator.BrightlineValidator.validateQuoteBrightlineRules(BrightlineValidator.gs:XXXSTRACERAW:-</t>
  </si>
  <si>
    <t>EMSG:KELEIGH RODRIGUEZSTRACE:gw.job.QuoteProcess.requestQuote(QuoteProcess.gs:XXXSTRACERAW:-</t>
  </si>
  <si>
    <t>EMSG:KYLIE GARCIASTRACE:com.farmers.config.pa.validator.BrightlineValidator.validateQuoteBrightlineRules(BrightlineValidator.gs:XXXSTRACERAW:-</t>
  </si>
  <si>
    <t>EMSG:Khanh MartinSTRACE:com.farmers.config.pa.validator.BrightlineValidator.validateQuoteBrightlineRules(BrightlineValidator.gs:XXXSTRACERAW:-</t>
  </si>
  <si>
    <t>EMSG:Khanh MartinSTRACE:gw.job.QuoteProcess.requestQuote(QuoteProcess.gs:XXXSTRACERAW:-</t>
  </si>
  <si>
    <t>EMSG:Kiana StylesSTRACE:com.farmers.config.pa.validator.BrightlineValidator.validateQuoteBrightlineRules(BrightlineValidator.gs:XXXSTRACERAW:-</t>
  </si>
  <si>
    <t>EMSG:LHPI Ordering Failed! - [Runtime Error]STRACE:java.base/jdk.internal.reflect.GeneratedConstructorAccessorXXX.newInstance(Unknown SourceSTRACERAW:-</t>
  </si>
  <si>
    <t>EMSG:LISA HERNANDEZSTRACE:com.farmers.config.pa.validator.BrightlineValidator.validateQuoteBrightlineRules(BrightlineValidator.gs:XXXSTRACERAW:-</t>
  </si>
  <si>
    <t>EMSG:LISA HERNANDEZSTRACE:gw.job.QuoteProcess.requestQuote(QuoteProcess.gs:XXXSTRACERAW:-</t>
  </si>
  <si>
    <t>EMSG:LORI CASTANEDASTRACE:gw.job.QuoteProcess.requestQuote(QuoteProcess.gs:XXXSTRACERAW:-</t>
  </si>
  <si>
    <t>EMSG:LUIS MARCIAL GUZMANSTRACE:gw.job.QuoteProcess.requestQuote(QuoteProcess.gs:XXXSTRACERAW:-</t>
  </si>
  <si>
    <t>EMSG:LUKE SIGLERSTRACE:com.farmers.config.pa.validator.BrightlineValidator.validateQuoteBrightlineRules(BrightlineValidator.gs:XXXSTRACERAW:-</t>
  </si>
  <si>
    <t>EMSG:LUKE SIGLERSTRACE:gw.job.QuoteProcess.requestQuote(QuoteProcess.gs:XXXSTRACERAW:-</t>
  </si>
  <si>
    <t>EMSG:Leon ShenfieldSTRACE:com.farmers.config.pa.validator.BrightlineValidator.validateQuoteBrightlineRules(BrightlineValidator.gs:XXXSTRACERAW:-</t>
  </si>
  <si>
    <t>EMSG:Leon ShenfieldSTRACE:gw.job.QuoteProcess.requestQuote(QuoteProcess.gs:XXXSTRACERAW:-</t>
  </si>
  <si>
    <t>EMSG:Lisa BergeronSTRACE:com.farmers.config.pa.validator.BrightlineValidator.validateQuoteBrightlineRules(BrightlineValidator.gs:XXXSTRACERAW:-</t>
  </si>
  <si>
    <t>EMSG:Lisa HarperSTRACE:com.farmers.config.pa.validator.BrightlineValidator.validateQuoteBrightlineRules(BrightlineValidator.gs:XXXSTRACERAW:-</t>
  </si>
  <si>
    <t>EMSG:Lisa HarperSTRACE:gw.job.QuoteProcess.requestQuote(QuoteProcess.gs:XXXSTRACERAW:-</t>
  </si>
  <si>
    <t>EMSG:MANUEL ALEJANDR ARTEAGASTRACE:com.farmers.config.pa.validator.BrightlineValidator.validateQuoteBrightlineRules(BrightlineValidator.gs:XXXSTRACERAW:-</t>
  </si>
  <si>
    <t>EMSG:MANUEL ALEJANDR ARTEAGASTRACE:gw.job.QuoteProcess.requestQuote(QuoteProcess.gs:XXXSTRACERAW:-</t>
  </si>
  <si>
    <t>EMSG:MARIA SOCORRO DURANSTRACE:com.farmers.config.pa.validator.BrightlineValidator.validateQuoteBrightlineRules(BrightlineValidator.gs:XXXSTRACERAW:-</t>
  </si>
  <si>
    <t>EMSG:MARIA SOCORRO DURANSTRACE:gw.job.QuoteProcess.requestQuote(QuoteProcess.gs:XXXSTRACERAW:-</t>
  </si>
  <si>
    <t>EMSG:MARIANA BECERRIL-MAGALLONSTRACE:com.farmers.config.pa.validator.BrightlineValidator.validateQuoteBrightlineRules(BrightlineValidator.gs:XXXSTRACERAW:-</t>
  </si>
  <si>
    <t>EMSG:MARIANA BECERRIL-MAGALLONSTRACE:gw.job.QuoteProcess.requestQuote(QuoteProcess.gs:XXXSTRACERAW:-</t>
  </si>
  <si>
    <t>EMSG:MATTHEW BURKETTSTRACE:com.farmers.config.pa.validator.BrightlineValidator.validateQuoteBrightlineRules(BrightlineValidator.gs:XXXSTRACERAW:-</t>
  </si>
  <si>
    <t>EMSG:MATTHEW BURKETTSTRACE:gw.job.QuoteProcess.requestQuote(QuoteProcess.gs:XXXSTRACERAW:-</t>
  </si>
  <si>
    <t>EMSG:MDMPolicyDetail_Ext:XXX deleted from databaseSTRACE:deployment.pc.war//com.guidewire.pl.system.database.entitywriter.DatabaseEntityWriterImpl.writeSingleBeanUpdate(DatabaseEntityWriterImpl.java:XXXSTRACERAW:-</t>
  </si>
  <si>
    <t>EMSG:MICHAELA BLAKESTADSTRACE:com.farmers.config.pa.validator.BrightlineValidator.validateQuoteBrightlineRules(BrightlineValidator.gs:XXXSTRACERAW:-</t>
  </si>
  <si>
    <t>EMSG:MICHAELA BLAKESTADSTRACE:gw.job.QuoteProcess.requestQuote(QuoteProcess.gs:XXXSTRACERAW:-</t>
  </si>
  <si>
    <t>EMSG:MICHELLE BRYANTSTRACE:com.farmers.config.pa.validator.BrightlineValidator.validateQuoteBrightlineRules(BrightlineValidator.gs:XXXSTRACERAW:-</t>
  </si>
  <si>
    <t>EMSG:MICHELLE BRYANTSTRACE:gw.job.QuoteProcess.requestQuote(QuoteProcess.gs:XXXSTRACERAW:-</t>
  </si>
  <si>
    <t>EMSG:Margarito LaraSTRACE:com.farmers.config.pa.validator.BrightlineValidator.validateQuoteBrightlineRules(BrightlineValidator.gs:XXXSTRACERAW:-</t>
  </si>
  <si>
    <t>EMSG:Margarito LaraSTRACE:gw.job.QuoteProcess.requestQuote(QuoteProcess.gs:XXXSTRACERAW:-</t>
  </si>
  <si>
    <t>EMSG:Mayra LopezSTRACE:com.farmers.config.pa.validator.BrightlineValidator.validateQuoteBrightlineRules(BrightlineValidator.gs:XXXSTRACERAW:-</t>
  </si>
  <si>
    <t>EMSG:Multiple onsetting costs with same cost key (BillGroup:nullSTRACE:Jan XXX XXX:XXX:XXX PST XXX
  Cost Base Premium - Fire NonWildfire (cost:XXXSTRACERAW:-</t>
  </si>
  <si>
    <t>EMSG:NASREEN MALIKSTRACE:com.farmers.config.pa.validator.BrightlineValidator.validateQuoteBrightlineRules(BrightlineValidator.gs:XXXSTRACERAW:-</t>
  </si>
  <si>
    <t>EMSG:NASREEN MALIKSTRACE:gw.job.QuoteProcess.requestQuote(QuoteProcess.gs:XXXSTRACERAW:-</t>
  </si>
  <si>
    <t>EMSG:No Policy foundSTRACE:edge.capabilities.helpers.PolicyUtil.getPolicyByPolicyNumber(PolicyUtil.gs:XXXSTRACERAW:-</t>
  </si>
  <si>
    <t>EMSG:OLGA PADALIAKA-SILVERSTRACE:com.farmers.config.pa.validator.BrightlineValidator.validateQuoteBrightlineRules(BrightlineValidator.gs:XXXSTRACERAW:-</t>
  </si>
  <si>
    <t>EMSG:OLGA PADALIAKA-SILVERSTRACE:gw.job.QuoteProcess.requestQuote(QuoteProcess.gs:XXXSTRACERAW:-</t>
  </si>
  <si>
    <t>EMSG:One or more null constraint violations detected for AccountLocationSTRACE:deployment.pc.war//com.guidewire.pl.system.database.entitywriter.DatabaseEntityWriterImpl.checkForNullConstraintViolation(DatabaseEntityWriterImpl.java:XXXSTRACERAW:-</t>
  </si>
  <si>
    <t>EMSG:Owen CorwinSTRACE:gw.job.QuoteProcess.requestQuote(QuoteProcess.gs:XXXSTRACERAW:-</t>
  </si>
  <si>
    <t>EMSG:PETER OSANOSTRACE:com.farmers.config.pa.validator.BrightlineValidator.validateQuoteBrightlineRules(BrightlineValidator.gs:XXXSTRACERAW:-</t>
  </si>
  <si>
    <t>EMSG:PETER OSANOSTRACE:gw.job.QuoteProcess.requestQuote(QuoteProcess.gs:XXXSTRACERAW:-</t>
  </si>
  <si>
    <t>EMSG:Pedro OrozcoSTRACE:com.farmers.config.pa.validator.BrightlineValidator.validateQuoteBrightlineRules(BrightlineValidator.gs:XXXSTRACERAW:-</t>
  </si>
  <si>
    <t>EMSG:Personal Auto Line: Coverage is on Accident Forgiveness is now available and its value must be verified by the user.; XXX ACURA RDX XXXD XXXWD in Colorado: Coverage is on Comprehensive is now available and its value must be verified by the user.; XXX ACURA RDX XXXD XXXWD in Colorado: Coverage is on Collision is now available and its value must be verified by the user.; XXX ACURA RDX XXXD XXXWD in Colorado: Coverage is on Roadside Assistance is now available and its value must be verified by the user.; XXX ACURA RDX XXXD XXXWD in Colorado: Coverage is on Rental Alternative is now available and its value must be verified by the user.; XXX ACURA RDX XXXD XXXWD in Colorado: Coverage is on $XXX Glass Deductible is now available and its value must be verified by the user.STRACE:gw.api.extension.PCExtensionInterfacesMapper$block_XXX_.invoke(PCExtensionInterfacesMapper.gs:XXXSTRACERAW:-</t>
  </si>
  <si>
    <t>EMSG:PersonalVehicleCovCost with FixedID:XXX and window XXXSTRACE:deployment.pc.war//com.guidewire.pl.system.entity.proxy.EffDatedVersionListImpl.lambda$isNonOverlapping$XXX(EffDatedVersionListImpl.java:XXXSTRACERAW:-</t>
  </si>
  <si>
    <t>EMSG:PolicyDriver with FixedID:XXX and window XXXSTRACE:deployment.pc.war//com.guidewire.pl.system.entity.proxy.EffDatedVersionListImpl.lambda$isNonOverlapping$XXX(EffDatedVersionListImpl.java:XXXSTRACERAW:-</t>
  </si>
  <si>
    <t>EMSG:PolicyPriNamedInsured with FixedID:XXX and window XXXSTRACE:Jul XXX XXX:XXX:XXX PDT XXX
	at deployment.pc.war//com.guidewire.pl.system.entity.proxy.EffDatedVersionListImpl.lambda$isNonOverlapping$XXX(EffDatedVersionListImpl.java:XXXSTRACERAW:-</t>
  </si>
  <si>
    <t>EMSG:ProducerCode doesnt' exist in PCSTRACE:com.farmers.edge.capabilities.conversion.ProductRewriteHandler.retrieveProducerCode(ProductRewriteHandler.gs:XXXSTRACERAW:-</t>
  </si>
  <si>
    <t>EMSG:Question Separate structures on the property are properly maintained and all repairs have been completed. already has an answer definedSTRACE:deployment.pc.war//com.guidewire.pc.domain.question.impl.AnswerContainerImpl.createAnswer(AnswerContainerImpl.java:XXXSTRACERAW:-</t>
  </si>
  <si>
    <t>EMSG:RACHEL HUDSONSTRACE:com.farmers.config.pa.validator.BrightlineValidator.validateQuoteBrightlineRules(BrightlineValidator.gs:XXXSTRACERAW:-</t>
  </si>
  <si>
    <t>EMSG:Raymond TruongSTRACE:com.farmers.config.pa.validator.BrightlineValidator.validateQuoteBrightlineRules(BrightlineValidator.gs:XXXSTRACERAW:-</t>
  </si>
  <si>
    <t>EMSG:Raymond TruongSTRACE:gw.job.QuoteProcess.requestQuote(QuoteProcess.gs:XXXSTRACERAW:-</t>
  </si>
  <si>
    <t>EMSG:Re-enter "License #". Duplicate License Number entered for the following Drivers JAMESE TANNERSTRACE:edge.capabilities.quote.submission.quoting.util.SubmissionUnderwritingIssuesUtil.checkVerifyRateExceptions(SubmissionUnderwritingIssuesUtil.gs:XXXSTRACERAW:-</t>
  </si>
  <si>
    <t>EMSG:Remove Jose Herrera Mendoza in order to add the contact as a driverSTRACE:edge.capabilities.policychange.lob.personalauto.coverables.DefaultPaCoverablePlugin.updateCoverables(DefaultPaCoverablePlugin.gs:XXXSTRACERAW:-</t>
  </si>
  <si>
    <t>EMSG:Remove Savana Floyd in order to add the contact as a driverSTRACE:edge.capabilities.policychange.lob.personalauto.coverables.DefaultPaCoverablePlugin.updateCoverables(DefaultPaCoverablePlugin.gs:XXXSTRACERAW:-</t>
  </si>
  <si>
    <t>EMSG:Remove duplicate driver Dawn Delvalle. Two or more drivers with the same information exist.STRACE:edge.capabilities.policychange.lob.personalauto.coverables.DefaultPaCoverablePlugin.updateCoverables(DefaultPaCoverablePlugin.gs:XXXSTRACERAW:-</t>
  </si>
  <si>
    <t>EMSG:Remove duplicate driver Dawn Lauretta Delvalle. Two or more drivers with the same information exist.STRACE:edge.capabilities.policychange.lob.personalauto.coverables.DefaultPaCoverablePlugin.updateCoverables(DefaultPaCoverablePlugin.gs:XXXSTRACERAW:-</t>
  </si>
  <si>
    <t>EMSG:Remove duplicate driver Donna Pierce. Two or more drivers with the same information exist.STRACE:edge.capabilities.policychange.lob.personalauto.coverables.DefaultPaCoverablePlugin.updateCoverables(DefaultPaCoverablePlugin.gs:XXXSTRACERAW:-</t>
  </si>
  <si>
    <t>EMSG:Remove duplicate driver Fernando Martinez Romero. Two or more drivers with the same information exist.STRACE:edge.capabilities.policychange.lob.personalauto.coverables.DefaultPaCoverablePlugin.updateCoverables(DefaultPaCoverablePlugin.gs:XXXSTRACERAW:-</t>
  </si>
  <si>
    <t>EMSG:Remove duplicate driver Jose Aldaz. Two or more non-drivers with the same information exist.STRACE:edge.capabilities.policychange.lob.personalauto.coverables.DefaultPaCoverablePlugin.updateCoverables(DefaultPaCoverablePlugin.gs:XXXSTRACERAW:-</t>
  </si>
  <si>
    <t>EMSG:Russell GraySTRACE:com.farmers.config.pa.validator.BrightlineValidator.validateQuoteBrightlineRules(BrightlineValidator.gs:XXXSTRACERAW:-</t>
  </si>
  <si>
    <t>EMSG:Russell GraySTRACE:gw.job.QuoteProcess.requestQuote(QuoteProcess.gs:XXXSTRACERAW:-</t>
  </si>
  <si>
    <t>EMSG:SHARON CORWINSTRACE:com.farmers.config.pa.validator.BrightlineValidator.validateQuoteBrightlineRules(BrightlineValidator.gs:XXXSTRACERAW:-</t>
  </si>
  <si>
    <t>EMSG:SHARRI SETTLESSTRACE:com.farmers.config.pa.validator.BrightlineValidator.validateQuoteBrightlineRules(BrightlineValidator.gs:XXXSTRACERAW:-</t>
  </si>
  <si>
    <t>EMSG:SHARRI SETTLESSTRACE:gw.job.QuoteProcess.requestQuote(QuoteProcess.gs:XXXSTRACERAW:-</t>
  </si>
  <si>
    <t>EMSG:Sabine FarrSTRACE:com.farmers.config.pa.validator.BrightlineValidator.validateQuoteBrightlineRules(BrightlineValidator.gs:XXXSTRACERAW:-</t>
  </si>
  <si>
    <t>EMSG:Samantha TomlinSTRACE:com.farmers.config.pa.validator.BrightlineValidator.validateQuoteBrightlineRules(BrightlineValidator.gs:XXXSTRACERAW:-</t>
  </si>
  <si>
    <t>EMSG:Seth WargoSTRACE:com.farmers.config.pa.validator.BrightlineValidator.validateQuoteBrightlineRules(BrightlineValidator.gs:XXXSTRACERAW:-</t>
  </si>
  <si>
    <t>EMSG:Seth WargoSTRACE:gw.job.QuoteProcess.requestQuote(QuoteProcess.gs:XXXSTRACERAW:-</t>
  </si>
  <si>
    <t>EMSG:Slice date XXX outside of range XXX for XXX XXX bean of type TerritoryCodeSTRACE:Jan XXX XXX:XXX:XXX PST XXX - Thu Mar XXX XXX:XXX:XXX PST XXX] for bean of type TerritoryCode
	at deployment.pc.war//com.guidewire.pl.system.entity.proxy.EffDatedBaseProxy.getSliceUntyped(EffDatedBaseProxy.java:XXXSTRACERAW:-</t>
  </si>
  <si>
    <t>EMSG:Slice date XXX outside of range XXX for XXX XXX bean of type TerritoryCodeSTRACE:Jan XXX XXX:XXX:XXX PST XXX - Tue Mar XXX XXX:XXX:XXX PDT XXX] for bean of type TerritoryCode
	at deployment.pc.war//com.guidewire.pl.system.entity.proxy.EffDatedBaseProxy.getSliceUntyped(EffDatedBaseProxy.java:XXXSTRACERAW:-</t>
  </si>
  <si>
    <t>EMSG:Slice date XXX outside of range XXX for XXX XXX bean of type TerritoryCodeSTRACE:Jan XXX XXX:XXX:XXX PST XXX - Wed Feb XXX XXX:XXX:XXX PST XXX] for bean of type TerritoryCode
	at deployment.pc.war//com.guidewire.pl.system.entity.proxy.EffDatedBaseProxy.getSliceUntyped(EffDatedBaseProxy.java:XXXSTRACERAW:-</t>
  </si>
  <si>
    <t>EMSG:Slice date XXX outside of range XXX for XXX XXX bean of type TerritoryCodeSTRACE:Jan XXX XXX:XXX:XXX PST XXX outside of range [Mon Feb XXX XXX:XXX:XXX PST XXX - Thu Mar XXX XXX:XXX:XXX PDT XXX] for bean of type TerritoryCode
	at deployment.pc.war//com.guidewire.pl.system.entity.proxy.EffDatedBaseProxy.getSliceUntyped(EffDatedBaseProxy.java:XXXSTRACERAW:-</t>
  </si>
  <si>
    <t>EMSG:Slice date XXX outside of range XXX for XXX XXX bean of type TerritoryCodeSTRACE:Jan XXX XXX:XXX:XXX PST XXX outside of range [Tue Jan XXX XXX:XXX:XXX PST XXX - Tue Mar XXX XXX:XXX:XXX PDT XXX] for bean of type TerritoryCode
	at deployment.pc.war//com.guidewire.pl.system.entity.proxy.EffDatedBaseProxy.getSliceUntyped(EffDatedBaseProxy.java:XXXSTRACERAW:-</t>
  </si>
  <si>
    <t>EMSG:Slice date XXX outside of range XXX for XXX XXX bean of type TerritoryCodeSTRACE:Jan XXX XXX:XXX:XXX PST XXX outside of range [Wed Jan XXX XXX:XXX:XXX PST XXX - Tue Mar XXX XXX:XXX:XXX PDT XXX] for bean of type TerritoryCode
	at deployment.pc.war//com.guidewire.pl.system.entity.proxy.EffDatedBaseProxy.getSliceUntyped(EffDatedBaseProxy.java:XXXSTRACERAW:-</t>
  </si>
  <si>
    <t>EMSG:Slice date XXX outside of range XXX for XXX XXX bean of type TerritoryCodeSTRACE:Jun XXX XXX:XXX:XXX PDT XXX] for bean of type TerritoryCode
	at deployment.pc.war//com.guidewire.pl.system.entity.proxy.EffDatedBaseProxy.getSliceUntyped(EffDatedBaseProxy.java:XXXSTRACERAW:-</t>
  </si>
  <si>
    <t>EMSG:Slice date XXX outside of range XXX for XXX XXX bean of type TerritoryCodeSTRACE:Mar XXX XXX:XXX:XXX PST XXX] for bean of type TerritoryCode
	at deployment.pc.war//com.guidewire.pl.system.entity.proxy.EffDatedBaseProxy.getSliceUntyped(EffDatedBaseProxy.java:XXXSTRACERAW:-</t>
  </si>
  <si>
    <t>EMSG:Sophia BramlettSTRACE:com.farmers.config.pa.validator.BrightlineValidator.validateQuoteBrightlineRules(BrightlineValidator.gs:XXXSTRACERAW:-</t>
  </si>
  <si>
    <t>EMSG:Stale Days is not defined in the system tables for state - HawaiiSTRACE:com.farmers.config.common.caching.dao.CustomerDAO.getReportStaleDays(CustomerDAO.gs:XXXSTRACERAW:-</t>
  </si>
  <si>
    <t>EMSG:Steven MarquezSTRACE:com.farmers.config.pa.validator.BrightlineValidator.validateQuoteBrightlineRules(BrightlineValidator.gs:XXXSTRACERAW:-</t>
  </si>
  <si>
    <t>EMSG:Steven MarquezSTRACE:gw.job.QuoteProcess.requestQuote(QuoteProcess.gs:XXXSTRACERAW:-</t>
  </si>
  <si>
    <t>EMSG:Susan ConstanceSTRACE:com.farmers.config.pa.validator.BrightlineValidator.validateQuoteBrightlineRules(BrightlineValidator.gs:XXXSTRACERAW:-</t>
  </si>
  <si>
    <t>EMSG:Susie GraySTRACE:com.farmers.config.pa.validator.BrightlineValidator.validateQuoteBrightlineRules(BrightlineValidator.gs:XXXSTRACERAW:-</t>
  </si>
  <si>
    <t>EMSG:Susie GraySTRACE:gw.job.QuoteProcess.requestQuote(QuoteProcess.gs:XXXSTRACERAW:-</t>
  </si>
  <si>
    <t>EMSG:THANH HA-RODRIGUEZSTRACE:com.farmers.config.pa.validator.BrightlineValidator.validateQuoteBrightlineRules(BrightlineValidator.gs:XXXSTRACERAW:-</t>
  </si>
  <si>
    <t>EMSG:The value "ANNIE E DENDER TRUSTEE OF THE ANNIE ETH TRUST DATED APRIL XXXSTRACE:deployment.pc.war//gw.datatype.impl.StringConstraintsHandlerBase.validateStringLength(StringConstraintsHandlerBase.java:XXXSTRACERAW:-</t>
  </si>
  <si>
    <t>EMSG:The value "ANNIE E. DENDER STRACE:deployment.pc.war//gw.datatype.impl.StringConstraintsHandlerBase.validateStringLength(StringConstraintsHandlerBase.java:XXXSTRACERAW:-</t>
  </si>
  <si>
    <t>EMSG:The value "DANA CHRISTINE KINDIGSTRACE:deployment.pc.war//gw.datatype.impl.StringConstraintsHandlerBase.validateStringLength(StringConstraintsHandlerBase.java:XXXSTRACERAW:-</t>
  </si>
  <si>
    <t>EMSG:The value "DAVID C.CARLSON AND JUDY S. TSOUSTRACE:deployment.pc.war//gw.datatype.impl.StringConstraintsHandlerBase.validateStringLength(StringConstraintsHandlerBase.java:XXXSTRACERAW:-</t>
  </si>
  <si>
    <t>EMSG:The value "DAVID TRANGSTRACE:deployment.pc.war//gw.datatype.impl.StringConstraintsHandlerBase.validateStringLength(StringConstraintsHandlerBase.java:XXXSTRACERAW:-</t>
  </si>
  <si>
    <t>EMSG:The value "EMMITT CHARLES CARROLL AND KATHY SUE CARROLLSTRACE:deployment.pc.war//gw.datatype.impl.StringConstraintsHandlerBase.validateStringLength(StringConstraintsHandlerBase.java:XXXSTRACERAW:-</t>
  </si>
  <si>
    <t>EMSG:The value "GLENN MORIMOTO AND KIM MORIMOTOSTRACE:deployment.pc.war//gw.datatype.impl.StringConstraintsHandlerBase.validateStringLength(StringConstraintsHandlerBase.java:XXXSTRACERAW:-</t>
  </si>
  <si>
    <t>EMSG:The value "HSU HONG FAMILY TRUST CHARLES HSU AND YANYI JENNIE HONGSTRACE:deployment.pc.war//gw.datatype.impl.StringConstraintsHandlerBase.validateStringLength(StringConstraintsHandlerBase.java:XXXSTRACERAW:-</t>
  </si>
  <si>
    <t>EMSG:The value "JOSEPH CHUNG SENG MENG AND LI YUEH WU M TRUSTEE OF THE MENG FAMILY XXX TRUSTSTRACE:deployment.pc.war//gw.datatype.impl.StringConstraintsHandlerBase.validateStringLength(StringConstraintsHandlerBase.java:XXXSTRACERAW:-</t>
  </si>
  <si>
    <t>EMSG:The value "JOSEPH CHUNG SENG MENG AND LI YUEH WU M TRUSTEES OF THE MENG FAMILY XXX TRUSTSTRACE:deployment.pc.war//gw.datatype.impl.StringConstraintsHandlerBase.validateStringLength(StringConstraintsHandlerBase.java:XXXSTRACERAW:-</t>
  </si>
  <si>
    <t>EMSG:The value "KEITH L ECKSTRACE:deployment.pc.war//gw.datatype.impl.StringConstraintsHandlerBase.validateStringLength(StringConstraintsHandlerBase.java:XXXSTRACERAW:-</t>
  </si>
  <si>
    <t>EMSG:The value "LANNERS SURFSIDE COLONY TRUST DATED MARCH XXXSTRACE:deployment.pc.war//gw.datatype.impl.StringConstraintsHandlerBase.validateStringLength(StringConstraintsHandlerBase.java:XXXSTRACERAW:-</t>
  </si>
  <si>
    <t>EMSG:The value "LOIS M. GRIEGSTRACE:deployment.pc.war//gw.datatype.impl.StringConstraintsHandlerBase.validateStringLength(StringConstraintsHandlerBase.java:XXXSTRACERAW:-</t>
  </si>
  <si>
    <t>EMSG:The value "MARILYN TORNEROSSTRACE:deployment.pc.war//gw.datatype.impl.StringConstraintsHandlerBase.validateStringLength(StringConstraintsHandlerBase.java:XXXSTRACERAW:-</t>
  </si>
  <si>
    <t>EMSG:The value "RYAN KIM AND JULIA KIMSTRACE:deployment.pc.war//gw.datatype.impl.StringConstraintsHandlerBase.validateStringLength(StringConstraintsHandlerBase.java:XXXSTRACERAW:-</t>
  </si>
  <si>
    <t>EMSG:The value "Stellantis Financial ServicesSTRACE:deployment.pc.war//com.guidewire.pl.metadata.datatypeXXX.fieldvalidator.FieldValidatorInfo.validateFormat(FieldValidatorInfo.java:XXXSTRACERAW:-</t>
  </si>
  <si>
    <t>EMSG:The value "THE CHERYL DIANE UNDERWOOD AND MARK ALLEN UNDERWOOD TRUST DATED JULY XXXSTRACE:deployment.pc.war//gw.datatype.impl.StringConstraintsHandlerBase.validateStringLength(StringConstraintsHandlerBase.java:XXXSTRACERAW:-</t>
  </si>
  <si>
    <t>EMSG:The value "THE XXX GREGORY SCOTT MARSOLAIS REVOCABLE TRUST DTD JULY XXXSTRACE:deployment.pc.war//gw.datatype.impl.StringConstraintsHandlerBase.validateStringLength(StringConstraintsHandlerBase.java:XXXSTRACERAW:-</t>
  </si>
  <si>
    <t>EMSG:The value "THINH TA VO AND SANDRA A. HARRISSTRACE:deployment.pc.war//gw.datatype.impl.StringConstraintsHandlerBase.validateStringLength(StringConstraintsHandlerBase.java:XXXSTRACERAW:-</t>
  </si>
  <si>
    <t>EMSG:The value "THOMAS C. PUTNAM AND LEILA P. SAEDISTRACE:deployment.pc.war//gw.datatype.impl.StringConstraintsHandlerBase.validateStringLength(StringConstraintsHandlerBase.java:XXXSTRACERAW:-</t>
  </si>
  <si>
    <t>EMSG:The value "TIMOTHY M STARKE AND ROSA M STARKESTRACE:deployment.pc.war//gw.datatype.impl.StringConstraintsHandlerBase.validateStringLength(StringConstraintsHandlerBase.java:XXXSTRACERAW:-</t>
  </si>
  <si>
    <t>EMSG:The value "TRUST NAME(IF ANY)SHANNON D. PETERSON TR UST UNDER AGREEMENT DATED AUGUST XXXSTRACE:deployment.pc.war//gw.datatype.impl.StringConstraintsHandlerBase.validateStringLength(StringConstraintsHandlerBase.java:XXXSTRACERAW:-</t>
  </si>
  <si>
    <t>EMSG:The value XXX is not formatted correctly for the field "HomePhone": Correct the Phone Number. Phone Number should be a ten digit numerical value in the format of XXX-XXX-XXXXSTRACE:of XXX-XXX-XXXX
	at deployment.pc.war//com.guidewire.pl.metadata.datatypeXXX.fieldvalidator.FieldValidatorInfo.validateFormat(FieldValidatorInfo.java:XXXSTRACERAW:-</t>
  </si>
  <si>
    <t>EMSG:There are out-of-sequence conflicts that must be resolved prior to quoting. Please visit the Change Summary step to resolve the conflicts.STRACE:must be resolved prior to quoting. Please visit the Change Summary step to resolve the conflicts.
	at gw.acc.luw.perf.JobQuoter.processQuoteIssues(JobQuoter.gs:XXXSTRACERAW:-</t>
  </si>
  <si>
    <t>EMSG:Tracy MontoyaSTRACE:com.farmers.config.pa.validator.BrightlineValidator.validateQuoteBrightlineRules(BrightlineValidator.gs:XXXSTRACERAW:-</t>
  </si>
  <si>
    <t>EMSG:Tracy MontoyaSTRACE:gw.job.QuoteProcess.requestQuote(QuoteProcess.gs:XXXSTRACERAW:-</t>
  </si>
  <si>
    <t>EMSG:Tremayne MartinSTRACE:com.farmers.config.pa.validator.BrightlineValidator.validateQuoteBrightlineRules(BrightlineValidator.gs:XXXSTRACERAW:-</t>
  </si>
  <si>
    <t>EMSG:Try again later. VIN service failed.STRACE:com.farmers.config.pa.enhancement.PersonalVehicleEnhancement.invokeVINLookup(PersonalVehicleEnhancement.gsx:XXXSTRACERAW:-</t>
  </si>
  <si>
    <t>EMSG:VANESSA NUNNERYSTRACE:com.farmers.config.pa.validator.BrightlineValidator.validateQuoteBrightlineRules(BrightlineValidator.gs:XXXSTRACERAW:-</t>
  </si>
  <si>
    <t>EMSG:VANESSA NUNNERYSTRACE:gw.job.QuoteProcess.requestQuote(QuoteProcess.gs:XXXSTRACERAW:-</t>
  </si>
  <si>
    <t>EMSG:WENDY PayneSTRACE:com.farmers.config.pa.validator.BrightlineValidator.validateQuoteBrightlineRules(BrightlineValidator.gs:XXXSTRACERAW:-</t>
  </si>
  <si>
    <t>EMSG:WENDY PayneSTRACE:gw.job.QuoteProcess.requestQuote(QuoteProcess.gs:XXXSTRACERAW:-</t>
  </si>
  <si>
    <t>EMSG:WYATT BURKETTSTRACE:com.farmers.config.pa.validator.BrightlineValidator.validateQuoteBrightlineRules(BrightlineValidator.gs:XXXSTRACERAW:-</t>
  </si>
  <si>
    <t>EMSG:WYATT BURKETTSTRACE:gw.job.QuoteProcess.requestQuote(QuoteProcess.gs:XXXSTRACERAW:-</t>
  </si>
  <si>
    <t>EMSG:Warren YungSTRACE:com.farmers.config.pa.validator.BrightlineValidator.validateQuoteBrightlineRules(BrightlineValidator.gs:XXXSTRACERAW:-</t>
  </si>
  <si>
    <t>EMSG:XXX BMW XXXX XXXD XXXWD XDRIVE XXXI in Colorado: Coverage is on Comprehensive is now available and its value must be verified by the user.; XXX BMW XXXX XXXD XXXWD XDRIVE XXXI in Colorado: Coverage is on Collision is now available and its value must be verified by the user.; XXX BMW XXXX XXXD XXXWD XDRIVE XXXI in Colorado: Coverage is on Roadside Assistance is now available and its value must be verified by the user.; XXX BMW XXXX XXXD XXXWD XDRIVE XXXI in Colorado: Coverage is on Rental Alternative is now available and its value must be verified by the user.; XXX BMW XXXX XXXD XXXWD XDRIVE XXXI in Colorado: Coverage is on $XXX Glass Deductible is now available and its value must be verified by the user.STRACE:gw.api.extension.PCExtensionInterfacesMapper$block_XXX_.invoke(PCExtensionInterfacesMapper.gs:XXXSTRACERAW:-</t>
  </si>
  <si>
    <t>EMSG:XXX CHEVROLET CAMARO XXXDOOR BERLINETTA in California: Comprehensive is required and must be added. XXXSTRACE:gw.api.extension.PCExtensionInterfacesMapper$block_XXX_.invoke(PCExtensionInterfacesMapper.gs:XXXSTRACERAW:-</t>
  </si>
  <si>
    <t>EMSG:XXX CHEVROLET TRAILBLAZER XXXDOOR XXXXXXX in Colorado: Coverage is on Comprehensive is now available and its value must be verified by the user.; XXX CHEVROLET TRAILBLAZER XXXDOOR XXXXXXX in Colorado: Coverage is on Collision is now available and its value must be verified by the user.; XXX CHEVROLET TRAILBLAZER XXXDOOR XXXXXXX in Colorado: Coverage is on Roadside Assistance is now available and its value must be verified by the user.; XXX CHEVROLET TRAILBLAZER XXXDOOR XXXXXXX in Colorado: Coverage is on Rental Alternative is now available and its value must be verified by the user.; XXX CHEVROLET TRAILBLAZER XXXDOOR XXXXXXX in Colorado: Coverage is on $XXX Glass Deductible is now available and its value must be verified by the user.; XXX PORSCHE CAYENNE XXXD XXXWD S in Colorado: Coverage is on Comprehensive is now available and its value must be verified by the user.; XXX PORSCHE CAYENNE XXXD XXXWD S in Colorado: Coverage is on Collision is now available and its value must be veâ€¦</t>
  </si>
  <si>
    <t>EMSG:XXX CHEVROLET TRUCK SILVERADO XXX CREW XXXXXXX LT in Colorado: Coverage is on Comprehensive is now available and its value must be verified by the user.; XXX CHEVROLET TRUCK SILVERADO XXX CREW XXXXXXX LT in Colorado: Coverage is on Collision is now available and its value must be verified by the user.; XXX CHEVROLET TRUCK SILVERADO XXX CREW XXXXXXX LT in Colorado: Coverage is on Roadside Assistance is now available and its value must be verified by the user.; XXX CHEVROLET TRUCK SILVERADO XXX CREW XXXXXXX LT in Colorado: Coverage is on Rental Alternative is now available and its value must be verified by the user.; XXX CHEVROLET TRUCK SILVERADO XXX CREW XXXXXXX LT in Colorado: No message configuredSTRACE:gw.api.extension.PCExtensionInterfacesMapper$block_XXX_.invoke(PCExtensionInterfacesMapper.gs:XXXSTRACERAW:-</t>
  </si>
  <si>
    <t>EMSG:XXX CHEVROLET TRUCK SUBURBAN XXX/XXXT XXXDOOR XXXXXXX LT in Colorado: Coverage is on Comprehensive is now available and its value must be verified by the user.; XXX CHEVROLET TRUCK SUBURBAN XXX/XXXT XXXDOOR XXXXXXX LT in Colorado: Coverage is on Collision is now available and its value must be verified by the user.; XXX CHEVROLET TRUCK SUBURBAN XXX/XXXT XXXDOOR XXXXXXX LT in Colorado: Coverage is on $XXX Glass Deductible is now available and its value must be verified by the user.; XXX JEEP WRANGLER XXXD XXXXXXX UNLTD RUBICON in Colorado: Coverage is on Comprehensive is now available and its value must be verified by the user.; XXX JEEP WRANGLER XXXD XXXXXXX UNLTD RUBICON in Colorado: Coverage is on Collision is now available and its value must be verified by the user.; XXX JEEP WRANGLER XXXD XXXXXXX UNLTD RUBICON in Colorado: Coverage is on $XXX Glass Deductible is now available and its value must be verified by the user.STRACE:gw.api.extension.PCExtensionInterfacesMapper$block_â€¦</t>
  </si>
  <si>
    <t>EMSG:XXX CHEVROLET TRUCK SXXX PICKUP XXXWD in Washington: Comprehensive is required and must be added. XXXSTRACE:gw.api.extension.PCExtensionInterfacesMapper$block_XXX_.invoke(PCExtensionInterfacesMapper.gs:XXXSTRACERAW:-</t>
  </si>
  <si>
    <t>EMSG:XXX CHEVROLET TRUCK TAHOE XXXDOOR XXXXXXX LT in Colorado: Coverage is on Comprehensive is now available and its value must be verified by the user.; XXX CHEVROLET TRUCK TAHOE XXXDOOR XXXXXXX LT in Colorado: Coverage is on Collision is now available and its value must be verified by the user.; XXX CHEVROLET TRUCK TAHOE XXXDOOR XXXXXXX LT in Colorado: Coverage is on Roadside Assistance is now available and its value must be verified by the user.; XXX CHEVROLET TRUCK TAHOE XXXDOOR XXXXXXX LT in Colorado: Coverage is on Rental Alternative is now available and its value must be verified by the user.; XXX CHEVROLET TRUCK TAHOE XXXDOOR XXXXXXX LT in Colorado: Coverage is on $XXX Glass Deductible is now available and its value must be verified by the user.; XXX GMC TRUCK SIERRA XXX CR PU XXXXXXX in Colorado: Coverage is on Comprehensive is now available and its value must be verified by the user.; XXX GMC TRUCK SIERRA XXX CR PU XXXXXXX in Colorado: Coverage is on Collision is now availabâ€¦</t>
  </si>
  <si>
    <t>EMSG:XXX CHEVROLET VOLT ELECTRIC XXXD LT in Colorado: Coverage is on Comprehensive is now available and its value must be verified by the user.; XXX CHEVROLET VOLT ELECTRIC XXXD LT in Colorado: Coverage is on Collision is now available and its value must be verified by the user.; XXX CHEVROLET VOLT ELECTRIC XXXD LT in Colorado: Coverage is on Roadside Assistance is now available and its value must be verified by the user.; XXX CHEVROLET VOLT ELECTRIC XXXD LT in Colorado: Coverage is on Rental Alternative is now available and its value must be verified by the user.; XXX CHEVROLET VOLT ELECTRIC XXXD LT in Colorado: Coverage is on $XXX Glass Deductible is now available and its value must be verified by the user.; XXX FORD TRUCK RANGER SUPER PU XXXXXXX SUPER CAB in Colorado: Coverage is on Comprehensive is now available and its value must be verified by the user.; XXX FORD TRUCK RANGER SUPER PU XXXXXXX SUPER CAB in Colorado: Coverage is on Collision is now available and its value must be â€¦</t>
  </si>
  <si>
    <t>EMSG:XXX CHRYSLER TRUCK PACIFICA VAN TOURING L in Colorado: Coverage is on Comprehensive is now available and its value must be verified by the user.; XXX CHRYSLER TRUCK PACIFICA VAN TOURING L in Colorado: Coverage is on Collision is now available and its value must be verified by the user.; XXX CHRYSLER TRUCK PACIFICA VAN TOURING L in Colorado: Coverage is on Roadside Assistance is now available and its value must be verified by the user.; XXX CHRYSLER TRUCK PACIFICA VAN TOURING L in Colorado: Coverage is on Rental Alternative is now available and its value must be verified by the user.; XXX CHRYSLER TRUCK PACIFICA VAN TOURING L in Colorado: Coverage is on $XXX Glass Deductible is now available and its value must be verified by the user.STRACE:gw.api.extension.PCExtensionInterfacesMapper$block_XXX_.invoke(PCExtensionInterfacesMapper.gs:XXXSTRACERAW:-</t>
  </si>
  <si>
    <t>EMSG:XXX CHRYSLER XXX XXXD XXXWD TOURING in Oregon: Uninsured Motorist - Property Damage is no longer available and has been removed.; XXX CHRYSLER XXX XXXD XXXWD TOURING in Oregon: Comprehensive is required and must be added. XXXSTRACE:gw.api.extension.PCExtensionInterfacesMapper$block_XXX_.invoke(PCExtensionInterfacesMapper.gs:XXXSTRACERAW:-</t>
  </si>
  <si>
    <t>EMSG:XXX DODGE CARAVAN VAN XXXWD SE in Colorado: Coverage is on Comprehensive is now available and its value must be verified by the user.; XXX DODGE CARAVAN VAN XXXWD SE in Colorado: Coverage is on Collision is now available and its value must be verified by the user.; XXX DODGE CARAVAN VAN XXXWD SE in Colorado: Coverage is on Roadside Assistance is now available and its value must be verified by the user.; XXX DODGE CARAVAN VAN XXXWD SE in Colorado: Coverage is on Rental Alternative is now available and its value must be verified by the user.; XXX DODGE CARAVAN VAN XXXWD SE in Colorado: Coverage is on $XXX Glass Deductible is now available and its value must be verified by the user.STRACE:gw.api.extension.PCExtensionInterfacesMapper$block_XXX_.invoke(PCExtensionInterfacesMapper.gs:XXXSTRACERAW:-</t>
  </si>
  <si>
    <t>EMSG:XXX FORD FOCUS XXXD ST in Colorado: Coverage is on Comprehensive is now available and its value must be verified by the user.; XXX FORD FOCUS XXXD ST in Colorado: Coverage is on Collision is now available and its value must be verified by the user.; XXX FORD FOCUS XXXD ST in Colorado: Coverage is on Roadside Assistance is now available and its value must be verified by the user.; XXX FORD FOCUS XXXD ST in Colorado: Coverage is on Rental Alternative is now available and its value must be verified by the user.; XXX FORD FOCUS XXXD ST in Colorado: Coverage is on $XXX Glass Deductible is now available and its value must be verified by the user.; XXX VOLKSWAGEN NEW JETTA XXXD XXX.XXXT S/SE/R-LINE in Colorado: Coverage is on Comprehensive is now available and its value must be verified by the user.; XXX VOLKSWAGEN NEW JETTA XXXD XXX.XXXT S/SE/R-LINE in Colorado: Coverage is on Collision is now available and its value must be verified by the user.; XXX VOLKSWAGEN NEW JETTA XXXD XXX.XXXTâ€¦</t>
  </si>
  <si>
    <t>EMSG:XXX FORD FXXX CREW C PU XXXXXXX SUPER CREW in Colorado: Coverage is on Comprehensive is now available and its value must be verified by the user.; XXX FORD FXXX CREW C PU XXXXXXX SUPER CREW in Colorado: Coverage is on Collision is now available and its value must be verified by the user.; XXX FORD FXXX CREW C PU XXXXXXX SUPER CREW in Colorado: Coverage is on Roadside Assistance is now available and its value must be verified by the user.; XXX FORD FXXX CREW C PU XXXXXXX SUPER CREW in Colorado: Coverage is on Rental Alternative is now available and its value must be verified by the user.; XXX FORD FXXX CREW C PU XXXXXXX SUPER CREW in Colorado: Coverage is on $XXX Glass Deductible is now available and its value must be verified by the user.STRACE:gw.api.extension.PCExtensionInterfacesMapper$block_XXX_.invoke(PCExtensionInterfacesMapper.gs:XXXSTRACERAW:-</t>
  </si>
  <si>
    <t>EMSG:XXX FORD TRUCK FXXX CREW C PU XXXXXXX CREW CAB in Texas: Comprehensive is required and must be added. XXXSTRACE:gw.api.extension.PCExtensionInterfacesMapper$block_XXX_.invoke(PCExtensionInterfacesMapper.gs:XXXSTRACERAW:-</t>
  </si>
  <si>
    <t>EMSG:XXX FORD TRUCK FXXX SUPER PU XXXXXXX  SUPER CAB in Colorado: Coverage is on Comprehensive is now available and its value must be verified by the user.; XXX FORD TRUCK FXXX SUPER PU XXXXXXX  SUPER CAB in Colorado: Coverage is on Collision is now available and its value must be verified by the user.; XXX FORD TRUCK FXXX SUPER PU XXXXXXX  SUPER CAB in Colorado: Coverage is on Roadside Assistance is now available and its value must be verified by the user.; XXX FORD TRUCK FXXX SUPER PU XXXXXXX  SUPER CAB in Colorado: Coverage is on Rental Alternative is now available and its value must be verified by the user.; XXX FORD TRUCK FXXX SUPER PU XXXXXXX  SUPER CAB in Colorado: Coverage is on $XXX Glass Deductible is now available and its value must be verified by the user.STRACE:gw.api.extension.PCExtensionInterfacesMapper$block_XXX_.invoke(PCExtensionInterfacesMapper.gs:XXXSTRACERAW:-</t>
  </si>
  <si>
    <t>EMSG:XXX GMC TRUCK SIERRA XXX CR XXXXXXX NEW SLT in Colorado: Coverage is on Comprehensive is now available and its value must be verified by the user.; XXX GMC TRUCK SIERRA XXX CR XXXXXXX NEW SLT in Colorado: Coverage is on Collision is now available and its value must be verified by the user.; XXX GMC TRUCK SIERRA XXX CR XXXXXXX NEW SLT in Colorado: Coverage is on Roadside Assistance is now available and its value must be verified by the user.; XXX GMC TRUCK SIERRA XXX CR XXXXXXX NEW SLT in Colorado: Coverage is on Rental Alternative is now available and its value must be verified by the user.; XXX GMC TRUCK SIERRA XXX CR XXXXXXX NEW SLT in Colorado: Coverage is on $XXX Glass Deductible is now available and its value must be verified by the user.; XXX HYUNDAI TUCSON XXXD XXXWD LIMITED in Colorado: Coverage is on Comprehensive is now available and its value must be verified by the user.; XXX HYUNDAI TUCSON XXXD XXXWD LIMITED in Colorado: Coverage is on Collision is now available and â€¦</t>
  </si>
  <si>
    <t>EMSG:XXX HONDA ACCORD XXXD EX in Colorado: Coverage is on Comprehensive is now available and its value must be verified by the user.; XXX HONDA ACCORD XXXD EX in Colorado: Coverage is on Collision is now available and its value must be verified by the user.; XXX HONDA ACCORD XXXD EX in Colorado: Coverage is on Roadside Assistance is now available and its value must be verified by the user.; XXX HONDA ACCORD XXXD EX in Colorado: Coverage is on Rental Alternative is now available and its value must be verified by the user.; XXX HONDA ACCORD XXXD EX in Colorado: Coverage is on $XXX Glass Deductible is now available and its value must be verified by the user.; XXX CHEVROLET CRUZE XXXD XXXLT in Colorado: Coverage is on Comprehensive is now available and its value must be verified by the user.; XXX CHEVROLET CRUZE XXXD XXXLT in Colorado: Coverage is on Collision is now available and its value must be verified by the user.; XXX CHEVROLET CRUZE XXXD XXXLT in Colorado: Coverage is on Roadside â€¦</t>
  </si>
  <si>
    <t>EMSG:XXX HONDA CIVIC XXXD EX in Colorado: Coverage is on Comprehensive is now available and its value must be verified by the user.; XXX HONDA CIVIC XXXD EX in Colorado: Coverage is on Collision is now available and its value must be verified by the user.; XXX HONDA CIVIC XXXD EX in Colorado: Coverage is on Roadside Assistance is now available and its value must be verified by the user.; XXX HONDA CIVIC XXXD EX in Colorado: Coverage is on Rental Alternative is now available and its value must be verified by the user.; XXX HONDA CIVIC XXXD EX in Colorado: Coverage is on $XXX Glass Deductible is now available and its value must be verified by the user.; XXX TOYOTA HIGHLANDER XXXD XXXWD LE PLUS VXXX in Colorado: Coverage is on Comprehensive is now available and its value must be verified by the user.; XXX TOYOTA HIGHLANDER XXXD XXXWD LE PLUS VXXX in Colorado: Coverage is on Collision is now available and its value must be verified by the user.; XXX TOYOTA HIGHLANDER XXXD XXXWD LE PLUS VXâ€¦</t>
  </si>
  <si>
    <t>EMSG:XXX HONDA CR-V XXXD XXXWD TOURING in Colorado: Coverage is on Comprehensive is now available and its value must be verified by the user.; XXX HONDA CR-V XXXD XXXWD TOURING in Colorado: Coverage is on Collision is now available and its value must be verified by the user.; XXX HONDA CR-V XXXD XXXWD TOURING in Colorado: Coverage is on Roadside Assistance is now available and its value must be verified by the user.; XXX HONDA CR-V XXXD XXXWD TOURING in Colorado: Coverage is on Rental Alternative is now available and its value must be verified by the user.; XXX HONDA CR-V XXXD XXXWD TOURING in Colorado: No message configuredSTRACE:gw.api.extension.PCExtensionInterfacesMapper$block_XXX_.invoke(PCExtensionInterfacesMapper.gs:XXXSTRACERAW:-</t>
  </si>
  <si>
    <t>EMSG:XXX HONDA ODYSSEY VAN EX-L RES in Colorado: Coverage is on Comprehensive is now available and its value must be verified by the user.; XXX HONDA ODYSSEY VAN EX-L RES in Colorado: Coverage is on Collision is now available and its value must be verified by the user.; XXX HONDA ODYSSEY VAN EX-L RES in Colorado: Coverage is on Roadside Assistance is now available and its value must be verified by the user.; XXX HONDA ODYSSEY VAN EX-L RES in Colorado: Coverage is on Rental Alternative is now available and its value must be verified by the user.; XXX HONDA ODYSSEY VAN EX-L RES in Colorado: Coverage is on $XXX Glass Deductible is now available and its value must be verified by the user.; XXX HONDA PILOT XXXD XXXWD EX-L WITH RES in Colorado: Coverage is on Comprehensive is now available and its value must be verified by the user.; XXX HONDA PILOT XXXD XXXWD EX-L WITH RES in Colorado: Coverage is on Collision is now available and its value must be verified by the user.; XXX HONDA PILOT XXâ€¦</t>
  </si>
  <si>
    <t>EMSG:XXX HONDA PILOT XXXD XXXWD BLACK EDITION in Colorado: Coverage is on Comprehensive is now available and its value must be verified by the user.; XXX HONDA PILOT XXXD XXXWD BLACK EDITION in Colorado: Coverage is on Collision is now available and its value must be verified by the user.; XXX HONDA PILOT XXXD XXXWD BLACK EDITION in Colorado: Coverage is on Roadside Assistance is now available and its value must be verified by the user.; XXX HONDA PILOT XXXD XXXWD BLACK EDITION in Colorado: Coverage is on Rental Alternative is now available and its value must be verified by the user.; XXX HONDA PILOT XXXD XXXWD BLACK EDITION in Colorado: Coverage is on $XXX Glass Deductible is now available and its value must be verified by the user.STRACE:gw.api.extension.PCExtensionInterfacesMapper$block_XXX_.invoke(PCExtensionInterfacesMapper.gs:XXXSTRACERAW:-</t>
  </si>
  <si>
    <t>EMSG:XXX HONDA PILOT XXXD XXXWD ELITE in Colorado: Coverage is on Comprehensive is now available and its value must be verified by the user.; XXX HONDA PILOT XXXD XXXWD ELITE in Colorado: Coverage is on Collision is now available and its value must be verified by the user.; XXX HONDA PILOT XXXD XXXWD ELITE in Colorado: Coverage is on Roadside Assistance is now available and its value must be verified by the user.; XXX HONDA PILOT XXXD XXXWD ELITE in Colorado: Coverage is on Rental Alternative is now available and its value must be verified by the user.; XXX HONDA PILOT XXXD XXXWD ELITE in Colorado: Coverage is on $XXX Glass Deductible is now available and its value must be verified by the user.STRACE:gw.api.extension.PCExtensionInterfacesMapper$block_XXX_.invoke(PCExtensionInterfacesMapper.gs:XXXSTRACERAW:-</t>
  </si>
  <si>
    <t>EMSG:XXX HONDA PILOT XXXD XXXWD EX-L in Colorado: Coverage is on Comprehensive is now available and its value must be verified by the user.; XXX HONDA PILOT XXXD XXXWD EX-L in Colorado: Coverage is on Collision is now available and its value must be verified by the user.; XXX HONDA PILOT XXXD XXXWD EX-L in Colorado: Coverage is on Roadside Assistance is now available and its value must be verified by the user.; XXX HONDA PILOT XXXD XXXWD EX-L in Colorado: Coverage is on Rental Alternative is now available and its value must be verified by the user.; XXX HONDA PILOT XXXD XXXWD EX-L in Colorado: Coverage is on $XXX Glass Deductible is now available and its value must be verified by the user.STRACE:gw.api.extension.PCExtensionInterfacesMapper$block_XXX_.invoke(PCExtensionInterfacesMapper.gs:XXXSTRACERAW:-</t>
  </si>
  <si>
    <t>EMSG:XXX HONDA PILOT XXXD XXXWD TOURING WITH RES in Texas: Comprehensive is required and must be added. XXXSTRACE:gw.api.extension.PCExtensionInterfacesMapper$block_XXX_.invoke(PCExtensionInterfacesMapper.gs:XXXSTRACERAW:-</t>
  </si>
  <si>
    <t>EMSG:XXX HYUNDAI KONA XXXD XXXWD SEL in Colorado: Coverage is on Comprehensive is now available and its value must be verified by the user.; XXX HYUNDAI KONA XXXD XXXWD SEL in Colorado: Coverage is on Collision is now available and its value must be verified by the user.; XXX HYUNDAI KONA XXXD XXXWD SEL in Colorado: Coverage is on Roadside Assistance is now available and its value must be verified by the user.; XXX HYUNDAI KONA XXXD XXXWD SEL in Colorado: Coverage is on Rental Alternative is now available and its value must be verified by the user.; XXX HYUNDAI KONA XXXD XXXWD SEL in Colorado: Coverage is on $XXX Glass Deductible is now available and its value must be verified by the user.STRACE:gw.api.extension.PCExtensionInterfacesMapper$block_XXX_.invoke(PCExtensionInterfacesMapper.gs:XXXSTRACERAW:-</t>
  </si>
  <si>
    <t>EMSG:XXX HYUNDAI SANTA FE SPORT XXXD XXXWD in Colorado: Coverage is on Comprehensive is now available and its value must be verified by the user.; XXX HYUNDAI SANTA FE SPORT XXXD XXXWD in Colorado: Coverage is on Collision is now available and its value must be verified by the user.; XXX HYUNDAI SANTA FE SPORT XXXD XXXWD in Colorado: Coverage is on Roadside Assistance is now available and its value must be verified by the user.; XXX HYUNDAI SANTA FE SPORT XXXD XXXWD in Colorado: Coverage is on Rental Alternative is now available and its value must be verified by the user.; XXX HYUNDAI SANTA FE SPORT XXXD XXXWD in Colorado: Coverage is on $XXX Glass Deductible is now available and its value must be verified by the user.STRACE:gw.api.extension.PCExtensionInterfacesMapper$block_XXX_.invoke(PCExtensionInterfacesMapper.gs:XXXSTRACERAW:-</t>
  </si>
  <si>
    <t>EMSG:XXX HYUNDAI TUCSON HYBRID XXXD XXXWD LIMITED in Colorado: Coverage is on Comprehensive is now available and its value must be verified by the user.; XXX HYUNDAI TUCSON HYBRID XXXD XXXWD LIMITED in Colorado: Coverage is on Collision is now available and its value must be verified by the user.; XXX HYUNDAI TUCSON HYBRID XXXD XXXWD LIMITED in Colorado: Coverage is on Roadside Assistance is now available and its value must be verified by the user.; XXX HYUNDAI TUCSON HYBRID XXXD XXXWD LIMITED in Colorado: Coverage is on $XXX Glass Deductible is now available and its value must be verified by the user.; XXX NISSAN MURANO XXXDOOR XXXWD in Colorado: Coverage is on Comprehensive is now available and its value must be verified by the user.; XXX NISSAN MURANO XXXDOOR XXXWD in Colorado: Coverage is on Collision is now available and its value must be verified by the user.; XXX NISSAN MURANO XXXDOOR XXXWD in Colorado: Coverage is on Roadside Assistance is now available and its value must be vâ€¦</t>
  </si>
  <si>
    <t>EMSG:XXX INFINITI QXXX XXXD XXXWD XXX.XXXT in Colorado: Coverage is on Comprehensive is now available and its value must be verified by the user.; XXX INFINITI QXXX XXXD XXXWD XXX.XXXT in Colorado: Coverage is on Collision is now available and its value must be verified by the user.; XXX INFINITI QXXX XXXD XXXWD XXX.XXXT in Colorado: Coverage is on Roadside Assistance is now available and its value must be verified by the user.; XXX INFINITI QXXX XXXD XXXWD XXX.XXXT in Colorado: Coverage is on Rental Alternative is now available and its value must be verified by the user.; XXX INFINITI QXXX XXXD XXXWD XXX.XXXT in Colorado: No message configuredSTRACE:gw.api.extension.PCExtensionInterfacesMapper$block_XXX_.invoke(PCExtensionInterfacesMapper.gs:XXXSTRACERAW:-</t>
  </si>
  <si>
    <t>EMSG:XXX JAGUAR S-TYPE XXXD XXX.XXX VXXX in Colorado: Comprehensive is required and must be added. XXXSTRACE:gw.api.extension.PCExtensionInterfacesMapper$block_XXX_.invoke(PCExtensionInterfacesMapper.gs:XXXSTRACERAW:-</t>
  </si>
  <si>
    <t>EMSG:XXX JEEP COMPASS XXXD XXXWD (NEW) TRAILHAWK in Colorado: Coverage is on Comprehensive is now available and its value must be verified by the user.; XXX JEEP COMPASS XXXD XXXWD (NEW) TRAILHAWK in Colorado: Coverage is on Collision is now available and its value must be verified by the user.; XXX JEEP COMPASS XXXD XXXWD (NEW) TRAILHAWK in Colorado: Coverage is on Roadside Assistance is now available and its value must be verified by the user.; XXX JEEP COMPASS XXXD XXXWD (NEW) TRAILHAWK in Colorado: Coverage is on Rental Alternative is now available and its value must be verified by the user.; XXX JEEP COMPASS XXXD XXXWD (NEW) TRAILHAWK in Colorado: No message configuredSTRACE:gw.api.extension.PCExtensionInterfacesMapper$block_XXX_.invoke(PCExtensionInterfacesMapper.gs:XXXSTRACERAW:-</t>
  </si>
  <si>
    <t>EMSG:XXX JEEP GRAND CHEROKEE XXXD XXXXXXX LIMITED in Colorado: Coverage is on Comprehensive is now available and its value must be verified by the user.; XXX JEEP GRAND CHEROKEE XXXD XXXXXXX LIMITED in Colorado: Coverage is on Collision is now available and its value must be verified by the user.; XXX JEEP GRAND CHEROKEE XXXD XXXXXXX LIMITED in Colorado: Coverage is on Roadside Assistance is now available and its value must be verified by the user.; XXX JEEP GRAND CHEROKEE XXXD XXXXXXX LIMITED in Colorado: Coverage is on Rental Alternative is now available and its value must be verified by the user.; XXX JEEP GRAND CHEROKEE XXXD XXXXXXX LIMITED in Colorado: Coverage is on $XXX Glass Deductible is now available and its value must be verified by the user.STRACE:gw.api.extension.PCExtensionInterfacesMapper$block_XXX_.invoke(PCExtensionInterfacesMapper.gs:XXXSTRACERAW:-</t>
  </si>
  <si>
    <t>EMSG:XXX JEEP LIBERTY XXXD XXXXXXX LIMITED in Colorado: Coverage is on Comprehensive is now available and its value must be verified by the user.; XXX JEEP LIBERTY XXXD XXXXXXX LIMITED in Colorado: Coverage is on Collision is now available and its value must be verified by the user.; XXX JEEP LIBERTY XXXD XXXXXXX LIMITED in Colorado: Coverage is on Roadside Assistance is now available and its value must be verified by the user.; XXX JEEP LIBERTY XXXD XXXXXXX LIMITED in Colorado: Coverage is on Rental Alternative is now available and its value must be verified by the user.; XXX JEEP LIBERTY XXXD XXXXXXX LIMITED in Colorado: Coverage is on $XXX Glass Deductible is now available and its value must be verified by the user.STRACE:gw.api.extension.PCExtensionInterfacesMapper$block_XXX_.invoke(PCExtensionInterfacesMapper.gs:XXXSTRACERAW:-</t>
  </si>
  <si>
    <t>EMSG:XXX KIA RIO XXXD S/LX in Texas: Comprehensive is required and must be added. XXXSTRACE:gw.api.extension.PCExtensionInterfacesMapper$block_XXX_.invoke(PCExtensionInterfacesMapper.gs:XXXSTRACERAW:-</t>
  </si>
  <si>
    <t>EMSG:XXX KIA SORENTO XXXD XXXXXXX LX in Colorado: Coverage is on Comprehensive is now available and its value must be verified by the user.; XXX KIA SORENTO XXXD XXXXXXX LX in Colorado: Coverage is on Collision is now available and its value must be verified by the user.; XXX KIA SORENTO XXXD XXXXXXX LX in Colorado: Coverage is on Roadside Assistance is now available and its value must be verified by the user.; XXX KIA SORENTO XXXD XXXXXXX LX in Colorado: Coverage is on Rental Alternative is now available and its value must be verified by the user.; XXX KIA SORENTO XXXD XXXXXXX LX in Colorado: Coverage is on $XXX Glass Deductible is now available and its value must be verified by the user.STRACE:gw.api.extension.PCExtensionInterfacesMapper$block_XXX_.invoke(PCExtensionInterfacesMapper.gs:XXXSTRACERAW:-</t>
  </si>
  <si>
    <t>EMSG:XXX KIA SORENTO XXXD XXXXXXX SX/SXP in Colorado: Coverage is on Comprehensive is now available and its value must be verified by the user.; XXX KIA SORENTO XXXD XXXXXXX SX/SXP in Colorado: Coverage is on Collision is now available and its value must be verified by the user.; XXX KIA SORENTO XXXD XXXXXXX SX/SXP in Colorado: Coverage is on Roadside Assistance is now available and its value must be verified by the user.; XXX KIA SORENTO XXXD XXXXXXX SX/SXP in Colorado: Coverage is on Rental Alternative is now available and its value must be verified by the user.; XXX KIA SORENTO XXXD XXXXXXX SX/SXP in Colorado: Coverage is on $XXX Glass Deductible is now available and its value must be verified by the user.STRACE:gw.api.extension.PCExtensionInterfacesMapper$block_XXX_.invoke(PCExtensionInterfacesMapper.gs:XXXSTRACERAW:-</t>
  </si>
  <si>
    <t>EMSG:XXX KIA SPECTRA XXX DOOR in Texas: Comprehensive is required and must be added. XXXSTRACE:gw.api.extension.PCExtensionInterfacesMapper$block_XXX_.invoke(PCExtensionInterfacesMapper.gs:XXXSTRACERAW:-</t>
  </si>
  <si>
    <t>EMSG:XXX LEXUS NX XXXH HYBRID XXXD XXXWD LUXURY in Colorado: Coverage is on Comprehensive is now available and its value must be verified by the user.; XXX LEXUS NX XXXH HYBRID XXXD XXXWD LUXURY in Colorado: Coverage is on Collision is now available and its value must be verified by the user.; XXX LEXUS NX XXXH HYBRID XXXD XXXWD LUXURY in Colorado: Coverage is on Roadside Assistance is now available and its value must be verified by the user.; XXX LEXUS NX XXXH HYBRID XXXD XXXWD LUXURY in Colorado: Coverage is on Rental Alternative is now available and its value must be verified by the user.; XXX LEXUS NX XXXH HYBRID XXXD XXXWD LUXURY in Colorado: Coverage is on $XXX Glass Deductible is now available and its value must be verified by the user.; XXX NISSAN XXXZ XXXDOOR in Colorado: Coverage is on Comprehensive is now available and its value must be verified by the user.; XXX NISSAN XXXZ XXXDOOR in Colorado: Coverage is on Collision is now available and its value must be verified by theâ€¦</t>
  </si>
  <si>
    <t>EMSG:XXX MAZDA B SER. STD PU XXXXXXX in Colorado: Coverage is on Comprehensive is now available and its value must be verified by the user.; XXX MAZDA B SER. STD PU XXXXXXX in Colorado: Coverage is on Collision is now available and its value must be verified by the user.; XXX MAZDA B SER. STD PU XXXXXXX in Colorado: Coverage is on Roadside Assistance is now available and its value must be verified by the user.; XXX MAZDA B SER. STD PU XXXXXXX in Colorado: Coverage is on Rental Alternative is now available and its value must be verified by the user.; XXX MAZDA B SER. STD PU XXXXXXX in Colorado: No message configuredSTRACE:gw.api.extension.PCExtensionInterfacesMapper$block_XXX_.invoke(PCExtensionInterfacesMapper.gs:XXXSTRACERAW:-</t>
  </si>
  <si>
    <t>EMSG:XXX MAZDA CXXXX XXXD XXXWD GRAND TOURING in Colorado: Coverage is on Comprehensive is now available and its value must be verified by the user.; XXX MAZDA CXXXX XXXD XXXWD GRAND TOURING in Colorado: Coverage is on Collision is now available and its value must be verified by the user.; XXX MAZDA CXXXX XXXD XXXWD GRAND TOURING in Colorado: Coverage is on Roadside Assistance is now available and its value must be verified by the user.; XXX MAZDA CXXXX XXXD XXXWD GRAND TOURING in Colorado: Coverage is on Rental Alternative is now available and its value must be verified by the user.; XXX MAZDA CXXXX XXXD XXXWD GRAND TOURING in Colorado: Coverage is on $XXX Glass Deductible is now available and its value must be verified by the user.STRACE:gw.api.extension.PCExtensionInterfacesMapper$block_XXX_.invoke(PCExtensionInterfacesMapper.gs:XXXSTRACERAW:-</t>
  </si>
  <si>
    <t>EMSG:XXX NISSAN ROGUE SPORT XXXD XXXWD S/SV/SL in Colorado: Coverage is on Comprehensive is now available and its value must be verified by the user.; XXX NISSAN ROGUE SPORT XXXD XXXWD S/SV/SL in Colorado: Coverage is on Collision is now available and its value must be verified by the user.; XXX NISSAN ROGUE SPORT XXXD XXXWD S/SV/SL in Colorado: Coverage is on Roadside Assistance is now available and its value must be verified by the user.; XXX NISSAN ROGUE SPORT XXXD XXXWD S/SV/SL in Colorado: Coverage is on Rental Alternative is now available and its value must be verified by the user.; XXX NISSAN ROGUE SPORT XXXD XXXWD S/SV/SL in Colorado: Coverage is on $XXX Glass Deductible is now available and its value must be verified by the user.STRACE:gw.api.extension.PCExtensionInterfacesMapper$block_XXX_.invoke(PCExtensionInterfacesMapper.gs:XXXSTRACERAW:-</t>
  </si>
  <si>
    <t>EMSG:XXX NISSAN VERSA NOTE SW XXX.XXX S/S PL/SV in Kansas: Comprehensive is required and must be added. XXXSTRACE:gw.api.extension.PCExtensionInterfacesMapper$block_XXX_.invoke(PCExtensionInterfacesMapper.gs:XXXSTRACERAW:-</t>
  </si>
  <si>
    <t>EMSG:XXX PLYMOUTH PROWLER CONV in Michigan: Comprehensive is required and must be added. XXXSTRACE:gw.api.extension.PCExtensionInterfacesMapper$block_XXX_.invoke(PCExtensionInterfacesMapper.gs:XXXSTRACERAW:-</t>
  </si>
  <si>
    <t>EMSG:XXX RAM XXX CREW SHORT XXXXXXX REBEL in Colorado: Coverage is on Comprehensive is now available and its value must be verified by the user.; XXX RAM XXX CREW SHORT XXXXXXX REBEL in Colorado: Coverage is on Collision is now available and its value must be verified by the user.; XXX RAM XXX CREW SHORT XXXXXXX REBEL in Colorado: Coverage is on Roadside Assistance is now available and its value must be verified by the user.; XXX RAM XXX CREW SHORT XXXXXXX REBEL in Colorado: Coverage is on Rental Alternative is now available and its value must be verified by the user.; XXX RAM XXX CREW SHORT XXXXXXX REBEL in Colorado: Coverage is on $XXX Glass Deductible is now available and its value must be verified by the user.; XXX LEXUS RX XXX XXXD XXXWD in Colorado: Coverage is on Comprehensive is now available and its value must be verified by the user.; XXX LEXUS RX XXX XXXD XXXWD in Colorado: Coverage is on Collision is now available and its value must be verified by the user.; XXX LEXUS RX Xâ€¦</t>
  </si>
  <si>
    <t>EMSG:XXX SUBARU CRSSTREK EYESGHT XXX.XXXI PRM VDC in Colorado: Coverage is on Comprehensive is now available and its value must be verified by the user.; XXX SUBARU CRSSTREK EYESGHT XXX.XXXI PRM VDC in Colorado: Coverage is on Collision is now available and its value must be verified by the user.; XXX SUBARU CRSSTREK EYESGHT XXX.XXXI PRM VDC in Colorado: Coverage is on Roadside Assistance is now available and its value must be verified by the user.; XXX SUBARU CRSSTREK EYESGHT XXX.XXXI PRM VDC in Colorado: Coverage is on Rental Alternative is now available and its value must be verified by the user.; XXX SUBARU CRSSTREK EYESGHT XXX.XXXI PRM VDC in Colorado: Coverage is on $XXX Glass Deductible is now available and its value must be verified by the user.STRACE:gw.api.extension.PCExtensionInterfacesMapper$block_XXX_.invoke(PCExtensionInterfacesMapper.gs:XXXSTRACERAW:-</t>
  </si>
  <si>
    <t>EMSG:XXX SUBARU FORSTR XXXD XXXWD EYEST WILDERXXXNAV in Colorado: Coverage is on Comprehensive is now available and its value must be verified by the user.; XXX SUBARU FORSTR XXXD XXXWD EYEST WILDERXXXNAV in Colorado: Coverage is on Collision is now available and its value must be verified by the user.; XXX SUBARU FORSTR XXXD XXXWD EYEST WILDERXXXNAV in Colorado: Coverage is on Roadside Assistance is now available and its value must be verified by the user.; XXX SUBARU FORSTR XXXD XXXWD EYEST WILDERXXXNAV in Colorado: Coverage is on Rental Alternative is now available and its value must be verified by the user.; XXX SUBARU FORSTR XXXD XXXWD EYEST WILDERXXXNAV in Colorado: Coverage is on $XXX Glass Deductible is now available and its value must be verified by the user.STRACE:gw.api.extension.PCExtensionInterfacesMapper$block_XXX_.invoke(PCExtensionInterfacesMapper.gs:XXXSTRACERAW:-</t>
  </si>
  <si>
    <t>EMSG:XXX SUBARU FORSTR XXXD XXXWD W/EYE XXX.XXXI SPT in Colorado: Coverage is on Comprehensive is now available and its value must be verified by the user.; XXX SUBARU FORSTR XXXD XXXWD W/EYE XXX.XXXI SPT in Colorado: Coverage is on Collision is now available and its value must be verified by the user.; XXX SUBARU FORSTR XXXD XXXWD W/EYE XXX.XXXI SPT in Colorado: Coverage is on Roadside Assistance is now available and its value must be verified by the user.; XXX SUBARU FORSTR XXXD XXXWD W/EYE XXX.XXXI SPT in Colorado: Coverage is on Rental Alternative is now available and its value must be verified by the user.; XXX SUBARU FORSTR XXXD XXXWD W/EYE XXX.XXXI SPT in Colorado: Coverage is on $XXX Glass Deductible is now available and its value must be verified by the user.; XXX KIA FORTE XXXD GT in Colorado: Coverage is on Comprehensive is now available and its value must be verified by the user.; XXX KIA FORTE XXXD GT in Colorado: Coverage is on Collision is now available and its value muâ€¦</t>
  </si>
  <si>
    <t>EMSG:XXX SUBARU OUTBCK SW XXXWD EYE XXX.XXXI PRM VDC in Colorado: Coverage is on Rideshare and Food Delivery Coverage is now available and its value must be verified by the user.; XXX SUBARU OUTBCK SW XXXWD EYE XXX.XXXI PRM VDC in Colorado: Coverage is on Comprehensive is now available and its value must be verified by the user.; XXX SUBARU OUTBCK SW XXXWD EYE XXX.XXXI PRM VDC in Colorado: Coverage is on Collision is now available and its value must be verified by the user.; XXX SUBARU OUTBCK SW XXXWD EYE XXX.XXXI PRM VDC in Colorado: Coverage is on Roadside Assistance is now available and its value must be verified by the user.; XXX SUBARU OUTBCK SW XXXWD EYE XXX.XXXI PRM VDC in Colorado: Coverage is on Rental Alternative is now available and its value must be verified by the user.; XXX SUBARU OUTBCK SW XXXWD EYE XXX.XXXI PRM VDC in Colorado: Coverage is on $XXX Glass Deductible is now available and its value must be verified by the user.STRACE:gw.api.extension.PCExtensionInterfacesMâ€¦</t>
  </si>
  <si>
    <t>EMSG:XXX TESLA MODEL Y EV XXXD XXXWD in Colorado: Coverage is on Comprehensive is now available and its value must be verified by the user.; XXX TESLA MODEL Y EV XXXD XXXWD in Colorado: Coverage is on Collision is now available and its value must be verified by the user.; XXX TESLA MODEL Y EV XXXD XXXWD in Colorado: Coverage is on Roadside Assistance is now available and its value must be verified by the user.; XXX TESLA MODEL Y EV XXXD XXXWD in Colorado: Coverage is on Rental Alternative is now available and its value must be verified by the user.; XXX TESLA MODEL Y EV XXXD XXXWD in Colorado: Coverage is on $XXX Glass Deductible is now available and its value must be verified by the user.; XXX HONDA CR-V HYBR XXXD XXXWD SPORT TOURING in Colorado: Coverage is on Comprehensive is now available and its value must be verified by the user.; XXX HONDA CR-V HYBR XXXD XXXWD SPORT TOURING in Colorado: Coverage is on Collision is now available and its value must be verified by the user.; XXX Hâ€¦</t>
  </si>
  <si>
    <t>EMSG:XXX TOYOTA COROLLA SEDAN XXXWD L/LE/S in Colorado: Coverage is on Comprehensive is now available and its value must be verified by the user.; XXX TOYOTA COROLLA SEDAN XXXWD L/LE/S in Colorado: Coverage is on Collision is now available and its value must be verified by the user.; XXX TOYOTA COROLLA SEDAN XXXWD L/LE/S in Colorado: Coverage is on Roadside Assistance is now available and its value must be verified by the user.; XXX TOYOTA COROLLA SEDAN XXXWD L/LE/S in Colorado: Coverage is on Rental Alternative is now available and its value must be verified by the user.; XXX TOYOTA COROLLA SEDAN XXXWD L/LE/S in Colorado: Coverage is on $XXX Glass Deductible is now available and its value must be verified by the user.STRACE:gw.api.extension.PCExtensionInterfacesMapper$block_XXX_.invoke(PCExtensionInterfacesMapper.gs:XXXSTRACERAW:-</t>
  </si>
  <si>
    <t>EMSG:XXX TOYOTA MATRIX SW XXXWD STD/XR in Oregon: Comprehensive is required and must be added. XXXSTRACE:gw.api.extension.PCExtensionInterfacesMapper$block_XXX_.invoke(PCExtensionInterfacesMapper.gs:XXXSTRACERAW:-</t>
  </si>
  <si>
    <t>EMSG:XXX TOYOTA RAVXXX XXXD XXXWD XLE in New Mexico: UM/UIM - Bodily Injury is required and must be added. XXXSTRACE:gw.api.extension.PCExtensionInterfacesMapper$block_XXX_.invoke(PCExtensionInterfacesMapper.gs:XXXSTRACERAW:-</t>
  </si>
  <si>
    <t>EMSG:XXX TOYOTA XXXRUNNER XXXD XXXXXXX SRXXX/LTD/TRL VXXX in Colorado: Coverage is on Comprehensive is now available and its value must be verified by the user.; XXX TOYOTA XXXRUNNER XXXD XXXXXXX SRXXX/LTD/TRL VXXX in Colorado: Coverage is on Collision is now available and its value must be verified by the user.; XXX TOYOTA XXXRUNNER XXXD XXXXXXX SRXXX/LTD/TRL VXXX in Colorado: Coverage is on Roadside Assistance is now available and its value must be verified by the user.; XXX TOYOTA XXXRUNNER XXXD XXXXXXX SRXXX/LTD/TRL VXXX in Colorado: Coverage is on Rental Alternative is now available and its value must be verified by the user.; XXX TOYOTA XXXRUNNER XXXD XXXXXXX SRXXX/LTD/TRL VXXX in Colorado: Coverage is on $XXX Glass Deductible is now available and its value must be verified by the user.STRACE:gw.api.extension.PCExtensionInterfacesMapper$block_XXX_.invoke(PCExtensionInterfacesMapper.gs:XXXSTRACERAW:-</t>
  </si>
  <si>
    <t>EMSG:XXX VOLKSWAGEN ID.XXX EV XXXD XXXWD PRO in Colorado: Coverage is on Comprehensive is now available and its value must be verified by the user.; XXX VOLKSWAGEN ID.XXX EV XXXD XXXWD PRO in Colorado: Coverage is on Collision is now available and its value must be verified by the user.; XXX VOLKSWAGEN ID.XXX EV XXXD XXXWD PRO in Colorado: Coverage is on Roadside Assistance is now available and its value must be verified by the user.; XXX VOLKSWAGEN ID.XXX EV XXXD XXXWD PRO in Colorado: Coverage is on Rental Alternative is now available and its value must be verified by the user.; XXX VOLKSWAGEN ID.XXX EV XXXD XXXWD PRO in Colorado: Coverage is on $XXX Glass Deductible is now available and its value must be verified by the user.STRACE:gw.api.extension.PCExtensionInterfacesMapper$block_XXX_.invoke(PCExtensionInterfacesMapper.gs:XXXSTRACERAW:-</t>
  </si>
  <si>
    <t>EMSG:XXX has exceeded the accident and/or violation threshold for eligibility in this program.STRACE:Khafaga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</si>
  <si>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program.STRACE:Khafaga has exceeded the accident and/or violation threshold for eligibility in this program.
	at gw.job.QuoteProcess.requestQuote(QuoteProcess.gs:XXXSTRACERAW:-</t>
  </si>
  <si>
    <t>EMSG:XXX has exceeded the accident and/or violation threshold for eligibility in this program.STRACE:Kurban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</si>
  <si>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program.STRACE:Kurban has exceeded the accident and/or violation threshold for eligibility in this program.
	at gw.job.QuoteProcess.requestQuote(QuoteProcess.gs:XXXSTRACERAW:-</t>
  </si>
  <si>
    <t>EMSG:XXX has exceeded the accident and/or violation threshold for eligibility in this program.STRACE:Raiymov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</si>
  <si>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program.STRACE:Wright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</si>
  <si>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program.STRACE:Wright has exceeded the accident and/or violation threshold for eligibility in this program.
	at gw.job.QuoteProcess.requestQuote(QuoteProcess.gs:XXXSTRACERAW:-</t>
  </si>
  <si>
    <t>EMSG:ZOE SMILEYSTRACE:gw.job.QuoteProcess.requestQuote(QuoteProcess.gs:XXXSTRACERAW:-</t>
  </si>
  <si>
    <t>EMSG:[BUSINESS_ERROR::Agent not available clarXXXl]STRACE:com.farmers.edge.capabilities.communitymodel.checkgrantaccess.processor.CheckGrantAccessProcessor.processGrantAccess(CheckGrantAccessProcessor.gs:XXXSTRACERAW:-</t>
  </si>
  <si>
    <t>EMSG:[BUSINESS_ERROR::Agent not available gabbXXX]STRACE:com.farmers.edge.capabilities.communitymodel.checkgrantaccess.processor.CheckGrantAccessProcessor.processGrantAccess(CheckGrantAccessProcessor.gs:XXXSTRACERAW:-</t>
  </si>
  <si>
    <t>EMSG:[BUSINESS_ERROR::Agent not available sellXXXf]STRACE:com.farmers.edge.capabilities.communitymodel.checkgrantaccess.processor.CheckGrantAccessProcessor.processGrantAccess(CheckGrantAccessProcessor.gs:XXXSTRACERAW:-</t>
  </si>
  <si>
    <t>EMSG:class gw.lang.parser.EvaluationException cannot be cast to class edge.validation.EdgeValidationException (gw.lang.parser.EvaluationException is in unnamed module of loader 'deployment.pc.war' @XXX;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</si>
  <si>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@XXXaXXXfXXX;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</si>
  <si>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@XXXaedbXXXb;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</si>
  <si>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@XXXcddbad;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</si>
  <si>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@XXXfXXXaXXXeXXX;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</si>
  <si>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@XXXfXXXcf;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</si>
  <si>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@cdXXXefc; edge.validation.EdgeValidationException is in unnamed module of loader com.guidewire.pl.system.gosu.GosuPluginContainer @XXXSTRACE:edge.capabilities.policychange.GatewayPolicyChangeHandler$block_XXX_.invoke(GatewayPolicyChangeHandler.gs:XXXSTRACERAW:-</t>
  </si>
  <si>
    <t>EMSG:class java.lang.RuntimeException cannot be cast to class edge.validation.EdgeValidationException (java.lang.RuntimeException is in module java.base of loader 'bootstrap'; edge.validation.EdgeValidationException is in unnamed module of loader com.guidewire.pl.system.gosu.GosuPluginContainer @XXXSTRACE:edge.capabilities.policychange.GatewayPolicyChangeHandler$block_XXX_.invoke(GatewayPolicyChangeHandler.gs:XXXSTRACERAW:-</t>
  </si>
  <si>
    <t>EMSG:com.guidewire.pl.system.exception.DBException: Failed to execute a querySTRACE:com.farmers.integ.erti.riskanalysis.creditreport.delegate.RetrieveCreditScoreServiceDelegate.retrieveEnterpriseCreditScore(RetrieveCreditScoreServiceDelegate.gs:XXXSTRACERAW:-</t>
  </si>
  <si>
    <t>EMSG:error trying to execute query of type entity.DiscountDetail_ExtSTRACE:deployment.pc.war//com.guidewire.pl.system.database.entitysource.DatabaseEntitySource.executeQueryAndPopulateBeans(DatabaseEntitySource.java:XXXSTRACERAW:-</t>
  </si>
  <si>
    <t>EMSG:java.lang.IllegalStateException: Attempt to access bean of type "HOTransaction_HOE" id=XXX with a null bundleSTRACE:com.farmers.integ.documentmgmt.ondemand.api.transformer.GetPolicyDetailsRestRequestTransformer.transform(GetPolicyDetailsRestRequestTransformer.gs:XXXSTRACERAW:-</t>
  </si>
  <si>
    <t>EMSG:java.lang.NullPointerExceptionSTRACE:com.farmers.config.ho.fortifiedhome.FortifiedHomeReportOrderProcess.invokeFortifiedHomeService(FortifiedHomeReportOrderProcess.gs:XXXSTRACERAW:-</t>
  </si>
  <si>
    <t>EMSG:JMSWMQXXX: Failed to send a message to destination 'FIG.INF.FROM.PC.OPRA.PROCESS'.STRACE:deployment.wmq.jmsra.rar//com.ibm.msg.client.wmq.common.internal.Reason.reasonToException(Reason.java:XXXSTRACERAW:-</t>
  </si>
  <si>
    <t>EMSG:-STRACE:-STRACERAW:com.farmers.integ.distribution.opra.batch.OpraBatchImpl.processWorkItem(OpraBatchImpl.gs:XXX</t>
  </si>
  <si>
    <t>EMSG:-STRACE:-STRACERAW:com.farmers.integ.framework.job.automatejob.AutomatedJobAPIExecutor.execute(AutomatedJobAPIExecutor.gs:XXX</t>
  </si>
  <si>
    <t>EMSG:java.lang.RuntimeException: java.net.NoRouteToHostException: No route to host (Host unreachable)STRACE:deployment.pc.war//gw.internal.xml.ws.WsdlPortImpl.invoke(WsdlPortImpl.java:XXXSTRACERAW:-</t>
  </si>
  <si>
    <t>EMSG:-STRACE:-STRACERAW:program_.__Program__XXX.evaluate(Unknown Source</t>
  </si>
  <si>
    <t>EMSG:Could not parse XML file /jboss/pcprodXXX/jboss-eapXXX.XXX/standalone/tmp/vfs/temp/tempfXXXedXXXeXXX/contentXXXbXXXce/modules/configuration/config/datatypes/key.dtiSTRACE:deployment.pc.war//gw.xml.XMLParserBase.makeParseException(XMLParserBase.java:XXXSTRACERAW:-</t>
  </si>
  <si>
    <t>EMSG:-STRACE:-STRACERAW:deployment.pc.war//gw.pl.util.ArgCheck.nonNull(ArgCheck.java:XXX</t>
  </si>
  <si>
    <t>EMSG:Enter XXX-month Estimated mileage for XXX BUICK ENCORE GX XXXD XXXWD PREFERRED on Vehicles screen. Annual Miles is required for Quote.;STRACE:edge.capabilities.quote.submission.quoting.util.SubmissionUnderwritingIssuesUtil.checkVerifyRateExceptions(SubmissionUnderwritingIssuesUtil.gs:XXXSTRACERAW:-</t>
  </si>
  <si>
    <t>EMSG:-STRACE:-STRACERAW:com.farmers.credit.pa.address.mismatch.AddressMismatchService.&lt;init&gt;(AddressMismatchService.gs:XXX</t>
  </si>
  <si>
    <t>EMSG:Cannot update address mismatch information; the policy period has no credit scoring informationSTRACE:com.farmers.credit.pa.address.mismatch.AddressMismatchService.&lt;init&gt;(AddressMismatchService.gs:XXXSTRACERAW:-</t>
  </si>
  <si>
    <t>EMSG:There is no period in force for policy pc:XXX at date Feb XXXSTRACE:date Feb XXX, XXX.
	at deployment.pc.war//com.guidewire.pc.domain.job.impl.JobImpl.getBasedOnPeriod(JobImpl.java:XXXSTRACERAW:-</t>
  </si>
  <si>
    <t>EMSG:-STRACE:-STRACERAW:gw.wsi.pl.DataChangeAPI$block_XXX_.invoke(DataChangeAPI.gs:XXX</t>
  </si>
  <si>
    <t>EMSG:-STRACE:-STRACERAW:gw.acc.luw.plugin.policyperiod.impl.LUWJobProcessCreationPlugin.createJobProcess(LUWJobProcessCreationPlugin.gs:XXX</t>
  </si>
  <si>
    <t>EMSG:Cannot start a Reinstatement with on policy XXX: There would be an overlap between the reinstatement period and a previously bound periodSTRACE:deployment.pc.war//com.guidewire.pc.domain.job.impl.JobImpl.checkCanStartJob(JobImpl.java:XXXSTRACERAW:-</t>
  </si>
  <si>
    <t>EMSG:-STRACE:-STRACERAW:com.farmers.config.commonutil.FarmersDateUtil.differenceInYears(FarmersDateUtil.gs:XXX</t>
  </si>
  <si>
    <t>EMSG:Re-enter "License #". Duplicate License Number entered for the following Drivers Donna KubischtaSTRACE:edge.capabilities.quote.submission.quoting.util.SubmissionUnderwritingIssuesUtil.checkVerifyRateExceptions(SubmissionUnderwritingIssuesUtil.gs:XXXSTRACERAW:-</t>
  </si>
  <si>
    <t>EMSG:Update Signal Phone number for JOSHUA Shuttleworth. Each driver enrolled in the Signal program needs a unique cell phone number.;Update Signal Phone number for Alison Shuttleworth. Each driver enrolled in the Signal program needs a unique cell phone number.;STRACE:edge.capabilities.quote.submission.quoting.util.SubmissionUnderwritingIssuesUtil.checkVerifyRateExceptions(SubmissionUnderwritingIssuesUtil.gs:XXXSTRACERAW:-</t>
  </si>
  <si>
    <t>EMSG:Correct VIN on XXX.  VIN failed verification.;Update XXX for Driver XXXSTRACE:edge.capabilities.quote.submission.quoting.util.SubmissionUnderwritingIssuesUtil.checkVerifyRateExceptions(SubmissionUnderwritingIssuesUtil.gs:XXXSTRACERAW:-</t>
  </si>
  <si>
    <t>EMSG:Cannot calculate years between two dates when one of the dates is nullSTRACE:com.farmers.config.commonutil.FarmersDateUtil.differenceInYears(FarmersDateUtil.gs:XXXSTRACERAW:-</t>
  </si>
  <si>
    <t>EMSG:-STRACE:-STRACERAW:gw.account.AccountFileMLIUIController.getPolicyType(AccountFileMLIUIController.gs:XXX</t>
  </si>
  <si>
    <t>EMSG:-STRACE:-STRACERAW:Jan XXX XXX:XXX:XXX PST XXX, MSG=Error(s</t>
  </si>
  <si>
    <t>EMSG:For eligible contact John Swanson credit score is null. Please make sure credit is orderedSTRACE:com.farmers.config.common.credit.CreditScoreHelper.populateRatingCreditDTO(CreditScoreHelper.gs:XXXSTRACERAW:-</t>
  </si>
  <si>
    <t>EMSG:Update Signal Phone number for Alison Shuttleworth. Each driver enrolled in the Signal program needs a unique cell phone number.;Update Signal Phone number for JOSHUA Shuttleworth. Each driver enrolled in the Signal program needs a unique cell phone number.;STRACE:edge.capabilities.quote.submission.quoting.util.SubmissionUnderwritingIssuesUtil.checkVerifyRateExceptions(SubmissionUnderwritingIssuesUtil.gs:XXXSTRACERAW:-</t>
  </si>
  <si>
    <t>EMSG:java.lang.ClassCastException: class java.lang.IllegalStateException cannot be cast to class gw.acc.luw.perf.ChildJobException (java.lang.IllegalStateException is in module java.base of loader 'bootstrap'; gw.acc.luw.perf.ChildJobException is in unnamed module of loader com.guidewire.pl.system.gosu.GosuPluginContainer @XXXSTRACE:java.base/java.util.concurrent.FutureTask.report(FutureTask.java:XXXSTRACERAW:-</t>
  </si>
  <si>
    <t>EMSG:Dwelling at XXXSTRACE:XXX S XXXth St, Girard, KS: Perils on Personal Property is now available and its value must be verified by the user.; XXX, XXX/XXX/XXX, XXX/XXX/XXX, XXX: No message configured for MissingQuestionIssue; XXX, XXX/XXX/XXX, XXX/XXX/XXX, XXX: No message configured for MissingQuestionIssue; XXX, XXX/XXX/XXX, XXX/XXX/XXX, XXX: No message configured for MissingQuestionIssue; XXX, XXX/XXX/XXX, XXX/XXX/XXX, XXX: No message configured for MissingQuestionIssue
	at gw.api.extension.PCExtensionInterfacesMapper$block_XXX_.invoke(PCExtensionInterfacesMapper.gs:XXXSTRACERAW:-</t>
  </si>
  <si>
    <t>EMSG:Invalid or unpopulated credit report returned for job 'XXX'STRACE:com.farmers.credit.common.provider.impl.LiveCreditReportProvider.retrieveCreditReport(LiveCreditReportProvider.gs:XXXSTRACERAW:-</t>
  </si>
  <si>
    <t>EMSG:, AOR=XXXSTRACE:com.farmers.integ.productrewrite.prefill.HHInquiryAutoHelper.createAddressFromPolicyAddress(HHInquiryAutoHelper.gs:XXXSTRACERAW:-</t>
  </si>
  <si>
    <t>EMSG:For eligible contact Coltan Lawson credit score is null. Please make sure credit is orderedSTRACE:com.farmers.config.common.credit.CreditScoreHelper.populateRatingCreditDTO(CreditScoreHelper.gs:XXXSTRACERAW:-</t>
  </si>
  <si>
    <t>EMSG:HouseHold Inquiry Service failedSTRACE:com.farmers.integ.productrewrite.prefill.HHInquiryHelper.prefillPolicyFromHHInquiry(HHInquiryHelper.gs:XXXSTRACERAW:-</t>
  </si>
  <si>
    <t>EMSG:No route to host (Host unreachable)STRACE:java.base/java.net.PlainSocketImpl.socketConnect(Native MethodSTRACERAW:-</t>
  </si>
  <si>
    <t>EMSG:Policy Effective Date must be on or after XXX/XXX/XXX. Please change the Policy Effective Date to proceed further.;STRACE:edge.capabilities.quote.submission.quoting.util.SubmissionUnderwritingIssuesUtil.checkVerifyRateExceptions(SubmissionUnderwritingIssuesUtil.gs:XXXSTRACERAW:-</t>
  </si>
  <si>
    <t>EMSG:, AOR=XXXSTRACE:com.farmers.integ.fwsConversion.prefill.FWSConversionAutoPoliciesProcessor.handleWaivedCoverages(FWSConversionAutoPoliciesProcessor.gs:XXXSTRACERAW:-</t>
  </si>
  <si>
    <t>EMSG:, AOR=XXXSTRACE:java.base/java.util.Calendar.setTime(Calendar.java:XXXSTRACERAW:-</t>
  </si>
  <si>
    <t>EMSG:-STRACE:-STRACERAW:java.util.Calendar.setTime(Calendar.java:XXX</t>
  </si>
  <si>
    <t>EMSG:Effective ranges overlap for DriverSignal_Ext with BranchID XXX and with FixedID XXXSTRACE:Mar XXX XXX:XXX:XXX PDT XXX - Mon Sep XXX XXX:XXX:XXX PDT XXX, Sat Mar XXX XXX:XXX:XXX PDT XXX - Mon Sep XXX XXX:XXX:XXX PDT XXX
	at deployment.pc.war//com.guidewire.pl.system.entity.proxy.EffDatedBeanProxy.checkForOverlaps(EffDatedBeanProxy.java:XXXSTRACERAW:-</t>
  </si>
  <si>
    <t>EMSG:Exception during Rating ExecuteIterationsMultiThreaded : java.lang.NullPointerExceptionSTRACE:com.farmers.rating.common.flow.iteration.impl.IterationsExecutorImpl$block_XXX_.invoke(IterationsExecutorImpl.gs:XXXSTRACERAW:-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</si>
  <si>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CHEVROLET TRUCK SLVRDO XXX CR XXXXXXX LT. Primary Driver should be an Active Driver.
	at com.farmers.lob.pa.driverassignment.DriverAssignment.validateData(DriverAssignment.gs:XXXSTRACERAW:-</t>
  </si>
  <si>
    <t>EMSG:-STRACE:gw.pcf.job.PolicyInfoHelper.addSpouseToHomePolicy_Ext(PolicyInfoHelper.gs:XXXSTRACERAW:-</t>
  </si>
  <si>
    <t>EMSG:, AOR=XXXSTRACE:com.farmers.config.pa.adpf.ADPFDriverdupingProcess.prefillDrivers(ADPFDriverdupingProcess.gs:XXXSTRACERAW:-</t>
  </si>
  <si>
    <t>EMSG:Exception during Rating ExecuteIterationsMultiThreaded : gw.api.rating.RatingException: There is no bi code in the table 'pa_pi_no_prior_codes' for carrier group INNOCENTNOPRIORSURPLTSTRACE:com.farmers.rating.common.flow.iteration.impl.IterationsExecutorImpl$block_XXX_.invoke(IterationsExecutorImpl.gs:XXXSTRACERAW:-</t>
  </si>
  <si>
    <t>EMSG:The value "ELAINE PEASE TRUSTEE OF THE ELAINE PEAS TRUST DATED DECEMBER XXXSTRACE:deployment.pc.war//gw.datatype.impl.StringConstraintsHandlerBase.validateStringLength(StringConstraintsHandlerBase.java:XXXSTRACERAW:-</t>
  </si>
  <si>
    <t>EMSG:for policy: XXX canStartPolicyChange() has returned error: User does not have permission to change this periodSTRACE:gw.acc.luw.perf.JobCreationHelper.useParentEffectiveDateOrNot(JobCreationHelper.gs:XXXSTRACERAW:-</t>
  </si>
  <si>
    <t>EMSG:-STRACE:-STRACERAW:deployment.pc.war//gw.xml.date.AbstractXmlDateType.parseString(AbstractXmlDateType.java:XXX</t>
  </si>
  <si>
    <t>EMSG:-STRACE:-STRACERAW:java.net.PlainSocketImpl.socketConnect(Native Method</t>
  </si>
  <si>
    <t>EMSG:-STRACE:-STRACERAW:program_.__Program__XXX.setPolicyChangeDetails(Unknown Source</t>
  </si>
  <si>
    <t>EMSG:-STRACE:com.farmers.config.pa.helper.RiskAnalysisUIHelper$block_XXX_.invoke(RiskAnalysisUIHelper.gs:XXXSTRACERAW:-</t>
  </si>
  <si>
    <t>EMSG:-STRACE:edge.capabilities.policyjob.lob.homeowners.coverables.DefaultHoCoverablePlugin$block_XXX_.invoke(DefaultHoCoverablePlugin.gs:XXXSTRACERAW:-</t>
  </si>
  <si>
    <t>EMSG:A report shows that the XXXSTRACE:the  XXX BMW XXX I/IS/CI XXXD has been flagged as having Vehicle History activity.;
	at edge.capabilities.quote.submission.quoting.util.SubmissionUnderwritingIssuesUtil.checkVerifyRateExceptions(SubmissionUnderwritingIssuesUtil.gs:XXXSTRACERAW:-</t>
  </si>
  <si>
    <t>EMSG:A report shows that the XXXSTRACE:the  XXX BMW XXXX XXXD XXXWD SDRIVE XXXI has been flagged as having Vehicle History activity.
	at edge.capabilities.quote.submission.quoting.util.SubmissionUnderwritingIssuesUtil.checkSideBySideProcessExceptions(SubmissionUnderwritingIssuesUtil.gs:XXXSTRACERAW:-</t>
  </si>
  <si>
    <t>EMSG:A report shows that the XXXSTRACE:the  XXX HONDA CIVIC XXXD COUPE LX has been flagged as having Vehicle History activity.;
	at edge.capabilities.quote.submission.quoting.util.SubmissionUnderwritingIssuesUtil.checkVerifyRateExceptions(SubmissionUnderwritingIssuesUtil.gs:XXXSTRACERAW:-</t>
  </si>
  <si>
    <t>EMSG:A report shows that the XXXSTRACE:the  XXX MITSUBISHI LANCER XXXD XXXWD ES has been flagged as having Vehicle History activity.
	at edge.capabilities.quote.submission.quoting.util.SubmissionUnderwritingIssuesUtil.checkSideBySideProcessExceptions(SubmissionUnderwritingIssuesUtil.gs:XXXSTRACERAW:-</t>
  </si>
  <si>
    <t>EMSG:Access the quote again later and revalidate the policy. Driver VALERIE SHODINSTRACE:may take XXX days to retrieve.
	at com.farmers.config.pa.mvr.validator.MVRDriverValidator.validateOnlineState(MVRDriverValidator.gs:XXXSTRACERAW:-</t>
  </si>
  <si>
    <t>EMSG:ConcurrentDataChangeException XXXSTRACE:XXX/XXX/XXX XXX:XXX PM. Please cancel and retry your change.
	at com.farmers.edge.capabilities.documerge.DocuMergeUploadHandler.uploadViaEmail(DocuMergeUploadHandler.gs:XXXSTRACERAW:-</t>
  </si>
  <si>
    <t>EMSG:Dwelling at XXXSTRACE:XXX Amber Dr, Galax, VA: Standard Limit on Special Limits on Personal Property is no longer available and has been removed. Please enter a new value.
	at gw.api.extension.PCExtensionInterfacesMapper$block_XXX_.invoke(PCExtensionInterfacesMapper.gs:XXXSTRACERAW:-</t>
  </si>
  <si>
    <t>EMSG:Dwelling at XXXSTRACE:XXX Hillcrest Rd, Berkeley, CA: XXX% Limit on Loss of Use is no longer available and has been removed. Please enter a new value.
	at gw.api.extension.PCExtensionInterfacesMapper$block_XXX_.invoke(PCExtensionInterfacesMapper.gs:XXXSTRACERAW:-</t>
  </si>
  <si>
    <t>EMSG:Dwelling at XXXSTRACE:XXX Johnson Rd, Lynchburg, VA: Standard Limit on Special Limits on Personal Property is no longer available and has been removed. Please enter a new value.
	at gw.api.extension.PCExtensionInterfacesMapper$block_XXX_.invoke(PCExtensionInterfacesMapper.gs:XXXSTRACERAW:-</t>
  </si>
  <si>
    <t>EMSG:Dwelling at XXXSTRACE:XXX Royal Oak Dr, El Dorado, AR: XXX% Limit on Extended Replacement Cost is no longer available and has been removed. Please enter a new value.
	at gw.api.extension.PCExtensionInterfacesMapper$block_XXX_.invoke(PCExtensionInterfacesMapper.gs:XXXSTRACERAW:-</t>
  </si>
  <si>
    <t>EMSG:Dwelling at XXXSTRACE:XXX XXXth St N, Birmingham, AL: Perils on Personal Property is now available and its value must be verified by the user.
	at gw.api.extension.PCExtensionInterfacesMapper$block_XXX_.invoke(PCExtensionInterfacesMapper.gs:XXXSTRACERAW:-</t>
  </si>
  <si>
    <t>EMSG:For eligible contact Anthony Maddox credit score is null. Please make sure credit is orderedSTRACE:com.farmers.config.common.credit.CreditScoreHelper.populateRatingCreditDTO(CreditScoreHelper.gs:XXXSTRACERAW:-</t>
  </si>
  <si>
    <t>EMSG:For eligible contact Brooklynn Allen credit score is null. Please make sure credit is orderedSTRACE:com.farmers.config.common.credit.CreditScoreHelper.populateRatingCreditDTO(CreditScoreHelper.gs:XXXSTRACERAW:-</t>
  </si>
  <si>
    <t>EMSG:For eligible contact Delcina Woodson credit score is null. Please make sure credit is orderedSTRACE:com.farmers.config.common.credit.CreditScoreHelper.populateRatingCreditDTO(CreditScoreHelper.gs:XXXSTRACERAW:-</t>
  </si>
  <si>
    <t>EMSG:For eligible contact Evan Ffqtest credit score is null. Please make sure credit is orderedSTRACE:com.farmers.config.common.credit.CreditScoreHelper.populateRatingCreditDTO(CreditScoreHelper.gs:XXXSTRACERAW:-</t>
  </si>
  <si>
    <t>EMSG:For eligible contact Jacob Weiss credit score is null. Please make sure credit is orderedSTRACE:com.farmers.config.common.credit.CreditScoreHelper.populateRatingCreditDTO(CreditScoreHelper.gs:XXXSTRACERAW:-</t>
  </si>
  <si>
    <t>EMSG:For eligible contact Kevin Vance credit score is null. Please make sure credit is orderedSTRACE:com.farmers.config.common.credit.CreditScoreHelper.populateRatingCreditDTO(CreditScoreHelper.gs:XXXSTRACERAW:-</t>
  </si>
  <si>
    <t>EMSG:For eligible contact Khondaker Ahmed credit score is null. Please make sure credit is orderedSTRACE:com.farmers.config.common.credit.CreditScoreHelper.populateRatingCreditDTO(CreditScoreHelper.gs:XXXSTRACERAW:-</t>
  </si>
  <si>
    <t>EMSG:Found more than one target of the property XXXSTRACE:XXX Chester Ave, Saint Louis, MO':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</si>
  <si>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EMSG:Re-enter "License #". Duplicate License Number entered for the following Drivers Michael ThompsonSTRACE:edge.capabilities.quote.submission.quoting.util.SubmissionUnderwritingIssuesUtil.checkVerifyRateExceptions(SubmissionUnderwritingIssuesUtil.gs:XXXSTRACERAW:-</t>
  </si>
  <si>
    <t>EMSG:Re-enter "License #". Duplicate License Number entered for the following Drivers William KubischtaSTRACE:edge.capabilities.quote.submission.quoting.util.SubmissionUnderwritingIssuesUtil.checkVerifyRateExceptions(SubmissionUnderwritingIssuesUtil.gs:XXXSTRACERAW:-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</si>
  <si>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TOYOTA CAMRY HYBRID XXXD.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</si>
  <si>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TOYOTA COROLLA SEDAN XXXWD SE/NHTSHADE. Primary Driver should be an Active Driver.
	at com.farmers.lob.pa.driverassignment.DriverAssignment.validateData(DriverAssignment.gs:XXXSTRACERAW:-</t>
  </si>
  <si>
    <t>EMSG:The value "CAROL ANN COLLINS TRUSTEESTRACE:deployment.pc.war//gw.datatype.impl.StringConstraintsHandlerBase.validateStringLength(StringConstraintsHandlerBase.java:XXXSTRACERAW:-</t>
  </si>
  <si>
    <t>EMSG:The value "THE TAKVORIAN AND JENABIAN FAMILY TRUST DATED OCTOBER XXXSTRACE:deployment.pc.war//gw.datatype.impl.StringConstraintsHandlerBase.validateStringLength(StringConstraintsHandlerBase.java:XXXSTRACERAW:-</t>
  </si>
  <si>
    <t>EMSG:The value "XXX acres vacant land e SWXXX/XXX of SWXXX/XXX of Section XXXSTRACE:deployment.pc.war//gw.datatype.impl.StringConstraintsHandlerBase.validateStringLength(StringConstraintsHandlerBase.java:XXXSTRACERAW:-</t>
  </si>
  <si>
    <t>EMSG:Update the missing required field. Garaged ZIP Town for vehicle XXX TOYOTA AVALON XXXD VXXX/VXXX LIMITED needs to be selected when Garaging location ZIP code is associated with multiple town names.;STRACE:edge.capabilities.quote.submission.quoting.util.SubmissionUnderwritingIssuesUtil.checkVerifyRateExceptions(SubmissionUnderwritingIssuesUtil.gs:XXXSTRACERAW:-</t>
  </si>
  <si>
    <t>EMSG:for policy: XXX canStartPolicyChange() has returned error: The policy is not issuedSTRACE:gw.acc.luw.perf.JobCreationHelper.useParentEffectiveDateOrNot(JobCreationHelper.gs:XXXSTRACERAW:-</t>
  </si>
  <si>
    <t>EMSG:Change Location Type. An Umbrella policy can contain at most XXX of each: Incidental FarmSTRACE:most XXX of each: Incidental Farm, Farmland Leased to Others, and Vacant Land exposure.
	at gw.lob.pup.PUPLocationValidation_PUE.validateLocationMatch_Ext(PUPLocationValidation_PUE.gs:XXXSTRACERAW:-</t>
  </si>
  <si>
    <t>EMSG:DANIELA PASKARSTRACE:com.farmers.config.pa.validator.BrightlineValidator.validateQuoteBrightlineRules(BrightlineValidator.gs:XXXSTRACERAW:-</t>
  </si>
  <si>
    <t>EMSG:DANIELA PASKARSTRACE:gw.job.QuoteProcess.requestQuote(QuoteProcess.gs:XXXSTRACERAW:-</t>
  </si>
  <si>
    <t>EMSG:For eligible contact Darren Cupery credit score is null. Please make sure credit is orderedSTRACE:com.farmers.config.common.credit.CreditScoreHelper.populateRatingCreditDTO(CreditScoreHelper.gs:XXXSTRACERAW:-</t>
  </si>
  <si>
    <t>EMSG:For eligible contact Robin Secor credit score is null. Please make sure credit is orderedSTRACE:com.farmers.config.common.credit.CreditScoreHelper.populateRatingCreditDTO(CreditScoreHelper.gs:XXXSTRACERAW:-</t>
  </si>
  <si>
    <t>EMSG:XXX has exceeded the accident and/or violation threshold for eligibility in this program.STRACE:Prieto has exceeded the accident and/or violation threshold for eligibility in this program.
	at com.farmers.config.pa.validator.BrightlineValidator.validateQuoteBrightlineRules(BrightlineValidator.gs:XXXSTRACERAW:-</t>
  </si>
  <si>
    <t>EMSG:, AOR=XXXSTRACE:program_.__Program__XXX.evaluate(Unknown SourceSTRACERAW:-</t>
  </si>
  <si>
    <t>EMSG:-STRACE:-STRACERAW:Jan XXX XXX:XXX:XXX PST XXX, MSG=Transaction Failed. Failed to parse response : Cannot deserialize value of type `java.util.ArrayList&lt;com.farmers.integ.erti.riskanalysis.riskreports.vo.restdto.Remark&gt;` from Object value (token `JsonToken.START_OBJECT`</t>
  </si>
  <si>
    <t>EMSG:-STRACE:-STRACERAW:gw.lob.pa.PersonalVehicleEnhancement.latestVehicleLevelFeeAmount_Ext(PersonalVehicleEnhancement.gsx:XXX</t>
  </si>
  <si>
    <t>EMSG:-STRACE:-STRACERAW:java.base/java.net.PlainSocketImpl.socketConnect(Native Method</t>
  </si>
  <si>
    <t>EMSG:A report shows that the XXXSTRACE:the  XXX HONDA ODYSSEY VAN  EX, XXX HONDA CR-V HYBRID XXXD XXXWD SPORT has been flagged as having Vehicle History activity.
	at edge.capabilities.quote.submission.quoting.util.SubmissionUnderwritingIssuesUtil.checkSideBySideProcessExceptions(SubmissionUnderwritingIssuesUtil.gs:XXXSTRACERAW:-</t>
  </si>
  <si>
    <t>EMSG:A report shows that the XXXSTRACE:the  XXX HYUNDAI SONATA XXXD SEL/LIMITED ULTIMATE has been flagged as having Vehicle History activity.
	at edge.capabilities.quote.submission.quoting.util.SubmissionUnderwritingIssuesUtil.checkSideBySideProcessExceptions(SubmissionUnderwritingIssuesUtil.gs:XXXSTRACERAW:-</t>
  </si>
  <si>
    <t>EMSG:A report shows that the XXXSTRACE:the  XXX HYUNDAI VENUE XXXD XXXWD SEL/LIMITED has been flagged as having Vehicle History activity.
	at edge.capabilities.quote.submission.quoting.util.SubmissionUnderwritingIssuesUtil.checkSideBySideProcessExceptions(SubmissionUnderwritingIssuesUtil.gs:XXXSTRACERAW:-</t>
  </si>
  <si>
    <t>EMSG:A report shows that the XXXSTRACE:the  XXX MERCEDES BENZ E CLASS XXXD XXXWD XXX has been flagged as having Vehicle History activity.
	at edge.capabilities.quote.submission.quoting.util.SubmissionUnderwritingIssuesUtil.checkSideBySideProcessExceptions(SubmissionUnderwritingIssuesUtil.gs:XXXSTRACERAW:-</t>
  </si>
  <si>
    <t>EMSG:For eligible contact Bobby Greene credit score is null. Please make sure credit is orderedSTRACE:com.farmers.config.common.credit.CreditScoreHelper.populateRatingCreditDTO(CreditScoreHelper.gs:XXXSTRACERAW:-</t>
  </si>
  <si>
    <t>EMSG:For eligible contact Cornelia Budnick credit score is null. Please make sure credit is orderedSTRACE:com.farmers.config.common.credit.CreditScoreHelper.populateRatingCreditDTO(CreditScoreHelper.gs:XXXSTRACERAW:-</t>
  </si>
  <si>
    <t>EMSG:For eligible contact Evan Ellison credit score is null. Please make sure credit is orderedSTRACE:com.farmers.config.common.credit.CreditScoreHelper.populateRatingCreditDTO(CreditScoreHelper.gs:XXXSTRACERAW:-</t>
  </si>
  <si>
    <t>EMSG:For eligible contact Lucas Pickett credit score is null. Please make sure credit is orderedSTRACE:com.farmers.config.common.credit.CreditScoreHelper.populateRatingCreditDTO(CreditScoreHelper.gs:XXXSTRACERAW:-</t>
  </si>
  <si>
    <t>EMSG:For eligible contact Mingcong Zhang credit score is null. Please make sure credit is orderedSTRACE:com.farmers.config.common.credit.CreditScoreHelper.populateRatingCreditDTO(CreditScoreHelper.gs:XXXSTRACERAW:-</t>
  </si>
  <si>
    <t>EMSG:For eligible contact Teresa Miller credit score is null. Please make sure credit is orderedSTRACE:com.farmers.config.common.credit.CreditScoreHelper.populateRatingCreditDTO(CreditScoreHelper.gs:XXXSTRACERAW:-</t>
  </si>
  <si>
    <t>EMSG:For input string: "FW"STRACE:java.base/java.lang.NumberFormatException.forInputString(NumberFormatException.java:XXXSTRACERAW:-</t>
  </si>
  <si>
    <t>EMSG:Found more than one target of the property XXXSTRACE:# XXX, San Diego,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</si>
  <si>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Avenida Las Palmas, Rancho Mirage,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</si>
  <si>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Espirit Cir, Hemet,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</si>
  <si>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Highway XXX, Alturas,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</si>
  <si>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EMSG:Illegal character in path at index XXX: https://apis-mgeisg.farmersinsurance.com/plcyms/vXXX/policies/ XXX/policyDetails?operation=searchByCriteriaSTRACE:index XXX: https://apis-mgeisg.farmersinsurance.com/plcyms/vXXX/policies/ XXX/policyDetails?operation=searchByCriteria
	at java.base/java.net.URI.create(URI.java:XXXSTRACERAW:-</t>
  </si>
  <si>
    <t>EMSG:Ineligible Condition - The roof material is not acceptable in this county.STRACE:edge.capabilities.quote.submission.quoting.util.SubmissionUnderwritingIssuesUtil.checkSideBySideProcessExceptions(SubmissionUnderwritingIssuesUtil.gs:XXXSTRACERAW:-</t>
  </si>
  <si>
    <t>EMSG:Missing/Invalid Mandatory Fields - FROMAGENTIDSTRACE:com.farmers.integ.distribution.opra.batch.validator.OpraValidator.validate(OpraValidator.gs:XXXSTRACERAW:-</t>
  </si>
  <si>
    <t>EMSG:Prebind Contingency must satisfy before bind. Please complete them and try binding again  Home Eligibility - Auto RequiredSTRACE:edge.capabilities.quote.submission.GatewayQuoteHandler$block_XXX_.invoke(GatewayQuoteHandler.gs:XXXSTRACERAW:-</t>
  </si>
  <si>
    <t>EMSG:Re-enter "License #". Duplicate License Number entered for the following Drivers DAVID NARVAEZ ALVAREZSTRACE:edge.capabilities.quote.submission.quoting.util.SubmissionUnderwritingIssuesUtil.checkVerifyRateExceptions(SubmissionUnderwritingIssuesUtil.gs:XXXSTRACERAW:-</t>
  </si>
  <si>
    <t>EMSG:Re-enter "License #". Duplicate License Number entered for the following Drivers DAVID NARVAEZSTRACE:edge.capabilities.quote.submission.quoting.util.SubmissionUnderwritingIssuesUtil.checkVerifyRateExceptions(SubmissionUnderwritingIssuesUtil.gs:XXXSTRACERAW:-</t>
  </si>
  <si>
    <t>EMSG:Re-enter "License #". Duplicate License Number entered for the following Drivers DONALD LOVELACESTRACE:edge.capabilities.quote.submission.quoting.util.SubmissionUnderwritingIssuesUtil.checkVerifyRateExceptions(SubmissionUnderwritingIssuesUtil.gs:XXXSTRACERAW:-</t>
  </si>
  <si>
    <t>EMSG:The value "XXX Circle J Trl ProsperSTRACE:deployment.pc.war//gw.datatype.impl.StringConstraintsHandlerBase.validateStringLength(StringConstraintsHandlerBase.java:XXXSTRACERAW:-</t>
  </si>
  <si>
    <t>EMSG:Transition Premium can not be XXXSTRACE:com.farmers.rating.pa.scenario.transitionpremium.PATransitionPremiumIterationResult.getTransitionPremiumOnVehicle(PATransitionPremiumIterationResult.gs:XXXSTRACERAW:-</t>
  </si>
  <si>
    <t>EMSG:Uninsured Motorist - Bodily Injury coverage cannot be added to this quote. Please remove it and re-rateSTRACE:edge.capabilities.policycommon.coverage.util.CoverageUtil.updateFrom XXXSTRACERAW:-</t>
  </si>
  <si>
    <t>EMSG:Update 'What vehicle do you customarily drive?' for Landon Martin. This is required for active drivers.STRACE:vehicle do you customarily drive?' for Landon Martin. This is required for active drivers.
	at edge.capabilities.quote.submission.quoting.util.SubmissionUnderwritingIssuesUtil.checkSideBySideProcessExceptions(SubmissionUnderwritingIssuesUtil.gs:XXXSTRACERAW:-</t>
  </si>
  <si>
    <t>EMSG:Update PNI/SNI/Spouse Information. A PNI/SNI/Spouse cannot be a PNI/SNI/Spouse on another policySTRACE:edge.capabilities.quote.submission.quoting.util.SubmissionUnderwritingIssuesUtil.checkVerifyRateExceptions(SubmissionUnderwritingIssuesUtil.gs:XXXSTRACERAW:-</t>
  </si>
  <si>
    <t>EMSG:XXX FORD TRUCK FXXX SUPER PU XXXXXXX    SUPERCAB in Colorado: Coverage is on Comprehensive is now available and its value must be verified by the user.; XXX FORD TRUCK FXXX SUPER PU XXXXXXX    SUPERCAB in Colorado: Coverage is on Collision is now available and its value must be verified by the user.; XXX FORD TRUCK FXXX SUPER PU XXXXXXX    SUPERCAB in Colorado: Coverage is on Roadside Assistance is now available and its value must be verified by the user.; XXX FORD TRUCK FXXX SUPER PU XXXXXXX    SUPERCAB in Colorado: Coverage is on Rental Alternative is now available and its value must be verified by the user.; XXX FORD TRUCK FXXX SUPER PU XXXXXXX    SUPERCAB in Colorado: Coverage is on $XXX Glass Deductible is now available and its value must be verified by the user.; XXX TOYOTA XXXRUNNER XXXD XXXXXXX SRXXX/PM/LTD/TRD in Colorado: Coverage is on Comprehensive is now available and its value must be verified by the user.; XXX TOYOTA XXXRUNNER XXXD XXXXXXX SRXXX/PM/LTD/TRD in Colorâ€¦</t>
  </si>
  <si>
    <t>EMSG:java.lang.IllegalStateException: Attempt to access bean of type "PAPriorLoss_Ext" id=XXX with a null bundleSTRACE:deployment.pc.war//com.guidewire.pl.web.widget.Widget.getVisibleValue(Widget.java:XXXSTRACERAW:-</t>
  </si>
  <si>
    <t>EMSG:java.lang.RuntimeException: java.net.UnknownHostException: formsdatint.farmersinsurance.comSTRACE:deployment.pc.war//gw.internal.xml.ws.WsdlPortImpl.invoke(WsdlPortImpl.java:XXXSTRACERAW:-</t>
  </si>
  <si>
    <t>EMSG:, AOR=XXXSTRACE:com.farmers.config.pa.adpf.ADPFReportHelper.updateResidenceTypeAndPNIDetailsFromADPF(ADPFReportHelper.gs:XXXSTRACERAW:-</t>
  </si>
  <si>
    <t>EMSG:-STRACE:-STRACERAW:com.guidewire.pc.domain.personaldata.purge.PersonalDataPurgeHandler.doPurge(PersonalDataPurgeHandler.java:XXX</t>
  </si>
  <si>
    <t>EMSG:-STRACE:com.farmers.integ.billing.batch.AutoPayEnroll.plugin.AutoPayEnrollmentInboundBatchImpl$block_XXX_.invoke(AutoPayEnrollmentInboundBatchImpl.gs:XXXSTRACERAW:-</t>
  </si>
  <si>
    <t>EMSG:-STRACE:least one vehicle. Since the number of vehicles is greater than the number of drivers, each driver must be a Primary Driver on at least one vehicle.
Update Primary Driver on the Vehicle XXX CHEVROLET TRUCK SLVRDO XXX PU EXT CAB XXXWD. Primary Driver not found on the policy.
Change Primary Driver on the Vehicle XXX HYUNDAI ELANTRA XXXD SE/LIMITED. Primary Driver should be an Active Driver.
	at com.farmers.lob.pa.driverassignment.DriverAssignment.validateData(DriverAssignment.gs:XXXSTRACERAW:-</t>
  </si>
  <si>
    <t>EMSG:-STRACE:least one vehicle. Since the number of vehicles is greater than the number of drivers, each driver must be a Primary Driver on at least one vehicle.
Update Primary Driver on the Vehicle XXX TOYOTA SIENNA VAN XXXWD LE VXXX XXXD. Primary Driver not found on the policy.
	at com.farmers.lob.pa.driverassignment.DriverAssignment.validateData(DriverAssignment.gs:XXXSTRACERAW:-</t>
  </si>
  <si>
    <t>EMSG:ALICE PACHECOSTRACE:com.farmers.config.pa.validator.BrightlineValidator.validateQuoteBrightlineRules(BrightlineValidator.gs:XXXSTRACERAW:-</t>
  </si>
  <si>
    <t>EMSG:Cannot re-add LegacySpillOverPolicy_Ext:XXX since it has already been removed.  You must use bundle rollback to undo a remove.STRACE:deployment.pc.war//com.guidewire.pl.system.bundle.EntityBundleImpl.add(EntityBundleImpl.java:XXXSTRACERAW:-</t>
  </si>
  <si>
    <t>EMSG:Dwelling at XXXSTRACE:XXX Athena Hill Ct, Henderson, NV: XXX% Limit on Extended Replacement Cost is no longer available and has been removed. Please enter a new value.
	at gw.api.extension.PCExtensionInterfacesMapper$block_XXX_.invoke(PCExtensionInterfacesMapper.gs:XXXSTRACERAW:-</t>
  </si>
  <si>
    <t>EMSG:Dwelling at XXXSTRACE:XXX Autumn Point Trail Fancy Gap Va, Fancy Gap, VA: No message configured; Dwelling at XXX Autumn Point Trail Fancy Gap Va, Fancy Gap, VA: Standard Limit on Special Limits on Personal Property is no longer available and has been removed. Please enter a new value.
	at gw.api.extension.PCExtensionInterfacesMapper$block_XXX_.invoke(PCExtensionInterfacesMapper.gs:XXXSTRACERAW:-</t>
  </si>
  <si>
    <t>EMSG:Dwelling at XXXSTRACE:XXX Carriage Rd, Poway, CA: XXX% Limit on Loss of Use is no longer available and has been removed. Please enter a new value.
	at gw.api.extension.PCExtensionInterfacesMapper$block_XXX_.invoke(PCExtensionInterfacesMapper.gs:XXXSTRACERAW:-</t>
  </si>
  <si>
    <t>EMSG:Dwelling at XXXSTRACE:XXX Delta Rd, San Jose, CA: XXX% Limit on Loss of Use is no longer available and has been removed. Please enter a new value.
	at gw.api.extension.PCExtensionInterfacesMapper$block_XXX_.invoke(PCExtensionInterfacesMapper.gs:XXXSTRACERAW:-</t>
  </si>
  <si>
    <t>EMSG:Dwelling at XXXSTRACE:XXX Dwight Way, Berkeley, CA: XXX% Limit on Loss of Use is no longer available and has been removed. Please enter a new value.
	at gw.api.extension.PCExtensionInterfacesMapper$block_XXX_.invoke(PCExtensionInterfacesMapper.gs:XXXSTRACERAW:-</t>
  </si>
  <si>
    <t>EMSG:Dwelling at XXXSTRACE:XXX Eagle Canyon Rd, San Diego, CA: XXX% Limit on Loss of Use is no longer available and has been removed. Please enter a new value.
	at gw.api.extension.PCExtensionInterfacesMapper$block_XXX_.invoke(PCExtensionInterfacesMapper.gs:XXXSTRACERAW:-</t>
  </si>
  <si>
    <t>EMSG:Dwelling at XXXSTRACE:XXX Haddon Dr, Hoover, AL: Perils on Personal Property is now available and its value must be verified by the user.; Dwelling at XXX Haddon Dr, Hoover, AL: No message configured
	at gw.api.extension.PCExtensionInterfacesMapper$block_XXX_.invoke(PCExtensionInterfacesMapper.gs:XXXSTRACERAW:-</t>
  </si>
  <si>
    <t>EMSG:Dwelling at XXXSTRACE:XXX Luke Rivers Rd, Mc Intosh, AL: Perils on Personal Property is now available and its value must be verified by the user.
	at gw.api.extension.PCExtensionInterfacesMapper$block_XXX_.invoke(PCExtensionInterfacesMapper.gs:XXXSTRACERAW:-</t>
  </si>
  <si>
    <t>EMSG:Dwelling at XXXSTRACE:XXX N Westchester Dr, Petersburg, VA: Standard Limit on Special Limits on Personal Property is no longer available and has been removed. Please enter a new value.
	at gw.api.extension.PCExtensionInterfacesMapper$block_XXX_.invoke(PCExtensionInterfacesMapper.gs:XXXSTRACERAW:-</t>
  </si>
  <si>
    <t>EMSG:Dwelling at XXXSTRACE:XXX Paul Duncan Rd, Cottondale, AL: Perils on Personal Property is now available and its value must be verified by the user.
	at gw.api.extension.PCExtensionInterfacesMapper$block_XXX_.invoke(PCExtensionInterfacesMapper.gs:XXXSTRACERAW:-</t>
  </si>
  <si>
    <t>EMSG:Dwelling at XXXSTRACE:XXX Reynolds Dr, Morgan Hill, CA: XXX% Limit on Loss of Use is no longer available and has been removed. Please enter a new value.
	at gw.api.extension.PCExtensionInterfacesMapper$block_XXX_.invoke(PCExtensionInterfacesMapper.gs:XXXSTRACERAW:-</t>
  </si>
  <si>
    <t>EMSG:Dwelling at XXXSTRACE:XXX S XXX W, Hurricane, UT: No message configured; Dwelling at XXX S XXX W, Hurricane, UT: XXX% Limit on Extended Replacement Cost is no longer available and has been removed. Please enter a new value.
	at gw.api.extension.PCExtensionInterfacesMapper$block_XXX_.invoke(PCExtensionInterfacesMapper.gs:XXXSTRACERAW:-</t>
  </si>
  <si>
    <t>EMSG:Dwelling at XXXSTRACE:XXX Teal Ln, Alameda, CA: XXX% Limit on Loss of Use is no longer available and has been removed. Please enter a new value.
	at gw.api.extension.PCExtensionInterfacesMapper$block_XXX_.invoke(PCExtensionInterfacesMapper.gs:XXXSTRACERAW:-</t>
  </si>
  <si>
    <t>EMSG:Dwelling at XXXSTRACE:XXX Terrace View Ave, Antioch, CA: XXX% Limit on Loss of Use is no longer available and has been removed. Please enter a new value.
	at gw.api.extension.PCExtensionInterfacesMapper$block_XXX_.invoke(PCExtensionInterfacesMapper.gs:XXXSTRACERAW:-</t>
  </si>
  <si>
    <t>EMSG:Effective ranges overlap for HomeownersModifier_HOE with BranchID XXX and with FixedID XXXSTRACE:deployment.pc.war//com.guidewire.pl.system.entity.proxy.EffDatedBeanProxy.checkForOverlaps(EffDatedBeanProxy.java:XXXSTRACERAW:-</t>
  </si>
  <si>
    <t>EMSG:Failed to find Driver Order Class Code for SIERRA READINGSTRACE:com.farmers.lob.pa.driverassignment.DriverAssignmentDriver.setDriverOrderData(DriverAssignmentDriver.gs:XXXSTRACERAW:-</t>
  </si>
  <si>
    <t>EMSG:For eligible contact Mesfin Mekonnen credit score is null. Please make sure credit is orderedSTRACE:com.farmers.config.common.credit.CreditScoreHelper.populateRatingCreditDTO(CreditScoreHelper.gs:XXXSTRACERAW:-</t>
  </si>
  <si>
    <t>EMSG:For eligible contact Sairamchandra Veerasaiva credit score is null. Please make sure credit is orderedSTRACE:com.farmers.config.common.credit.CreditScoreHelper.populateRatingCreditDTO(CreditScoreHelper.gs:XXXSTRACERAW:-</t>
  </si>
  <si>
    <t>EMSG:For eligible contact Scott Smith credit score is null. Please make sure credit is orderedSTRACE:com.farmers.config.common.credit.CreditScoreHelper.populateRatingCreditDTO(CreditScoreHelper.gs:XXXSTRACERAW:-</t>
  </si>
  <si>
    <t>EMSG:LUW Policy Change Job XXX: Enter a Carrier Name. It is required for an underlying policy.STRACE:com.farmers.integ.framework.job.automatejob.AutomatedJob.executeJob(AutomatedJob.gs:XXXSTRACERAW:-</t>
  </si>
  <si>
    <t>EMSG:LUW Policy Change Job XXX: Failed to close the connectionSTRACE:com.farmers.integ.framework.job.automatejob.AutomatedJob.executeJob(AutomatedJob.gs:XXXSTRACERAW:-</t>
  </si>
  <si>
    <t>EMSG:LUW Policy Change Job XXX: The object you are trying to update was XXXSTRACE:XXX/XXX/XXX XXX:XXX AM. Please cancel and retry your change.
LUW Policy Change Job XXX: The object you are trying to update was 'Policy:CN:017798853008467550800705XXX - CN:017798853008467550800705XXX', and it was changed by Tony Frausto at XXX/XXX/XXX XXX:XXX AM. Please cancel and retry your change.
The object you are trying to update was 'Policy:CN:017798853008467550800705XXX - CN:017798853008467550800705XXX', and it was changed by Tony Frausto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</si>
  <si>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LUW Policy Change Job XXX: The object you are trying to update was 'Policy:CN:055357822107783375510636XXX - CN:055357822107783375510636XXX', and it was changed by Tammy Yin Kwong at XXX/XXX/XXX XXX:XXX AM. Please cancel and retry your change.
The object you are trying to update was 'Policy:CN:055357822107783375510636XXX - CN:055357822107783375510636XXX', and it was changed by Tammy Yin Kwong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</si>
  <si>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LUW Policy Change Job XXX: The object you are trying to update was 'Policy:CN:19464780380326132277019XXX - CN:19464780380326132277019XXX', and it was changed by Marty Valde at XXX/XXX/XXX XXX:XXX AM. Please cancel and retry your change.
The object you are trying to update was 'Policy:CN:19464780380326132277019XXX - CN:19464780380326132277019XXX', and it was changed by Marty Valde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</si>
  <si>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'Policy:CN:05893194510056XXX - CN:05893194510056XXX', and it was changed by System at XXX/XXX/XXX XXX:XXX AM.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</si>
  <si>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'Policy:CN:018649178608131161380012XXX - CN:018649178608131161380012XXX', and it was changed by Luis Alberto Echeveste at XXX/XXX/XXX XXX:XXX PM. Please cancel and retry your change.
The object you are trying to update was 'Policy:CN:018649178608131161380012XXX - CN:018649178608131161380012XXX', and it was changed by Luis Alberto Echeveste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</si>
  <si>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'Policy:CN:19899545360694941904019XXX - CN:19899545360694941904019XXX', and it was changed by Beatrice Eve Alvarez at XXX/XXX/XXX XXX:XXX PM. Please cancel and retry your change.
The object you are trying to update was 'Policy:CN:19899545360694941904019XXX - CN:19899545360694941904019XXX', and it was changed by Beatrice Eve Alvarez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</si>
  <si>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'Policy:CN:083447842XXX - CN:083447842XXX', and it was changed by System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</si>
  <si>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'Policy:CN:0969905962009XXX - CN:0969905962009XXX', and it was changed by LUW u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</si>
  <si>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'Policy:pc:XXX - pc:XXX', and it was changed by Miguel Angel Melgoza at XXX/XXX/XXX XXX:XXX PM. Please cancel and retry your change.
	at gw.acc.luw.LUWExceptionHelper.processUserDisplayableException(LUWExceptionHelper.gs:XXXSTRACERAW:-</t>
  </si>
  <si>
    <t>EMSG:No record for this criteria in System tableSTRACE:com.farmers.integ.common.utils.InvReportsMetadataHelper.fetchInvestigativeReportDetails(InvReportsMetadataHelper.gs:XXXSTRACERAW:-</t>
  </si>
  <si>
    <t>EMSG:One or more null constraint violations detected for ReportOrderedPerson_ExtSTRACE:deployment.pc.war//com.guidewire.pl.system.database.entitywriter.DatabaseEntityWriterImpl.checkForNullConstraintViolation(DatabaseEntityWriterImpl.java:XXXSTRACERAW:-</t>
  </si>
  <si>
    <t>EMSG:PUPLine_PUE with FixedID:XXX and window XXXSTRACE:Jan XXX XXX:XXX:XXX PST XXX - Fri Jul XXX XXX:XXX:XXX PDT XXX overlaps with Sat Jan XXX XXX:XXX:XXX PST XXX - Fri Jan XXX XXX:XXX:XXX PST XXX
	at deployment.pc.war//com.guidewire.pl.system.entity.proxy.EffDatedVersionListImpl.lambda$isNonOverlapping$XXX(EffDatedVersionListImpl.java:XXXSTRACERAW:-</t>
  </si>
  <si>
    <t>EMSG:Paul YastrabSTRACE:com.farmers.config.pa.validator.BrightlineValidator.validateQuoteBrightlineRules(BrightlineValidator.gs:XXXSTRACERAW:-</t>
  </si>
  <si>
    <t>EMSG:Remove duplicate driver Denis Nemchitskiy. Two or more non-drivers with the same information exist.STRACE:edge.capabilities.policychange.lob.personalauto.coverables.DefaultPaCoverablePlugin.updateCoverables(DefaultPaCoverablePlugin.gs:XXXSTRACERAW:-</t>
  </si>
  <si>
    <t>EMSG:Select XXX as the Primary Driver on at least one vehicle. Since the number of vehicles is greater than the number of driversSTRACE:Syed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</si>
  <si>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CHEVROLET TRUCK SLVRDO XXX E C XXXWD.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</si>
  <si>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HONDA ACCORD XXXD SE.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</si>
  <si>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RAM XXX CREW SHORT XXXXXXX POWER WAG. Primary Driver should be an Active Driver.
Change Primary Driver on the Vehicle XXX TESLA MODEL Y EV XXXD XXXWD.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</si>
  <si>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SUBARU FORESTER XXXD XXXWD XXX.XXXX LTD VDC. Primary Driver should be an Active Driver.
Change Primary Driver on the Vehicle XXX ACURA TLX XXXD XXXWD VXXX ADVANCE PACKAGE.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</si>
  <si>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SUZUKI SXXXX XXXD XXXWD TOURING. Primary Driver should be an Active Driver.
Change Primary Driver on the Vehicle XXX HONDA CIVIC XXXD SPORT. Primary Driver should be an Active Driver.
Change Primary Driver on the Vehicle XXX DODGE TRUCK GRAND CARAVAN XXXWD GT.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</si>
  <si>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TOYOTA CAMRY XXXD XXXWD SE/SE NIGHTSHADE.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</si>
  <si>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TOYOTA COROLLA SEDAN XXXWD LE.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</si>
  <si>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TOYOTA SIENNA HYBRID VAN XXXWD XLE XXXD.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</si>
  <si>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ALVARO CONTRERAS ORTIZ as the Primary Driver on at least one vehicle. Since the number of vehicles is greater than the number of drivers, each driver must be a Primary Driver on at least one vehicle.
Select MARIO CALDERON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</si>
  <si>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ANTHONY RITHY as the Primary Driver on at least one vehicle. Since the number of vehicles is greater than the number of drivers, each driver must be a Primary Driver on at least one vehicle.
Select Sarah Kim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</si>
  <si>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ARTHUR MOURADYAN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</si>
  <si>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CLARISSA SWIRIDOFF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</si>
  <si>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JOEL DE LA CRUZ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</si>
  <si>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JORGE MAGANA PADILLA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</si>
  <si>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Jose Lazo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</si>
  <si>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LAURA THRASHER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</si>
  <si>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LETICIA CANEZ-MORENO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</si>
  <si>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MORGAN ISAAC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</si>
  <si>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NAOMI FEDOR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</si>
  <si>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YVETTE AMAVISCA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</si>
  <si>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EMSG:Stacey EinertsonSTRACE:com.farmers.config.pa.validator.BrightlineValidator.validateQuoteBrightlineRules(BrightlineValidator.gs:XXXSTRACERAW:-</t>
  </si>
  <si>
    <t>EMSG:The value "MASON &amp; ROYA PARI XXX TRUST DATED MARC MASON &amp; ROYA PARISTRACE:deployment.pc.war//gw.datatype.impl.StringConstraintsHandlerBase.validateStringLength(StringConstraintsHandlerBase.java:XXXSTRACERAW:-</t>
  </si>
  <si>
    <t>EMSG:The value "TIM PHILLIPSSTRACE:deployment.pc.war//gw.datatype.impl.StringConstraintsHandlerBase.validateStringLength(StringConstraintsHandlerBase.java:XXXSTRACERAW:-</t>
  </si>
  <si>
    <t>EMSG:Update the Primary Driver selection for XXXSTRACE:Nayak. Since the number of drivers is equal to or greater than the number of vehicles, a driver can only be selected as Primary Driver for one vehicle.
	at com.farmers.lob.pa.driverassignment.DriverAssignment.validateData(DriverAssignment.gs:XXXSTRACERAW:-</t>
  </si>
  <si>
    <t>EMSG:XXX FORD TRUCK ESCAPE HYBRID XXXD XXXWD PLATINUM in Colorado: Coverage is on Comprehensive is now available and its value must be verified by the user.; XXX FORD TRUCK ESCAPE HYBRID XXXD XXXWD PLATINUM in Colorado: Coverage is on Collision is now available and its value must be verified by the user.; XXX FORD TRUCK ESCAPE HYBRID XXXD XXXWD PLATINUM in Colorado: Coverage is on Roadside Assistance is now available and its value must be verified by the user.; XXX FORD TRUCK ESCAPE HYBRID XXXD XXXWD PLATINUM in Colorado: Coverage is on Rental Alternative is now available and its value must be verified by the user.; XXX FORD TRUCK ESCAPE HYBRID XXXD XXXWD PLATINUM in Colorado: Coverage is on $XXX Glass Deductible is now available and its value must be verified by the user.STRACE:gw.api.extension.PCExtensionInterfacesMapper$block_XXX_.invoke(PCExtensionInterfacesMapper.gs:XXXSTRACERAW:-</t>
  </si>
  <si>
    <t>EMSG:XXX JEEP GRAND CHEROKEE XXXD XXXXXXX OVERLAND in Colorado: Coverage is on Comprehensive is now available and its value must be verified by the user.; XXX JEEP GRAND CHEROKEE XXXD XXXXXXX OVERLAND in Colorado: Coverage is on Collision is now available and its value must be verified by the user.; XXX JEEP GRAND CHEROKEE XXXD XXXXXXX OVERLAND in Colorado: Coverage is on Roadside Assistance is now available and its value must be verified by the user.; XXX JEEP GRAND CHEROKEE XXXD XXXXXXX OVERLAND in Colorado: Coverage is on Rental Alternative is now available and its value must be verified by the user.; XXX JEEP GRAND CHEROKEE XXXD XXXXXXX OVERLAND in Colorado: Coverage is on $XXX Glass Deductible is now available and its value must be verified by the user.; XXX JEEP GRAND WAGONEER XXXD XXXXXXX SER II in Colorado: Coverage is on Comprehensive is now available and its value must be verified by the user.; XXX JEEP GRAND WAGONEER XXXD XXXXXXX SER II in Colorado: Coverage is on Collisionâ€¦</t>
  </si>
  <si>
    <t>EMSG:XXX has exceeded the accident and/or violation threshold for eligibility in this program.STRACE:Prieto has exceeded the accident and/or violation threshold for eligibility in this program.
	at gw.job.QuoteProcess.requestQuote(QuoteProcess.gs:XXXSTRACERAW:-</t>
  </si>
  <si>
    <t>EMSG:com.guidewire.pl.system.exception.TransactionException: Transaction aborted by exception:Failed to execute an updateSTRACE:deployment.pc.war//com.guidewire.pl.system.database.sequence.SequenceGenerator.incrementSequence(SequenceGenerator.java:XXXSTRACERAW:-</t>
  </si>
  <si>
    <t>EMSG:'Unable to parse XML from xml string using schemas [com.farmers.integ.householding.mdm.retrieveecn.xsd.mdmnotification_vXXX] and schema root com.farmers.integ.householding.mdm.retrieveecn.xsd.mdmnotification_vXXX.MDMPublish at line XXX column XXX'STRACE:line XXX column XXX'
	at deployment.pc.war//gw.xml.XmlElementInternalsImpl.parse(XmlElementInternalsImpl.java:XXXSTRACERAW:-</t>
  </si>
  <si>
    <t>EMSG:, AOR=XXXSTRACE:com.farmers.integ.framework.job.automatejob.policyrewrite.AutomatedPolicyRewriteJobAPI.finishJob(AutomatedPolicyRewriteJobAPI.gs:XXXSTRACERAW:-</t>
  </si>
  <si>
    <t>EMSG:, AOR=XXXSTRACE:com.farmers.integ.fwsConversion.prefill.ResponseToMapHOInboundCoverages.fortifiedRoofUpgradeALCheck(ResponseToMapHOInboundCoverages.gs:XXXSTRACERAW:-</t>
  </si>
  <si>
    <t>EMSG:-STRACE:-STRACERAW:Apr XXX XXX:XXX:XXX PDT XXX (attempted merging values XXX BMW XXXX PHEV XXXD XXXWD XDRIVE XXXE in Illinois and XXX BMW XXXX PHEV XXXD XXXWD XDRIVE XXXE in Illinois</t>
  </si>
  <si>
    <t>EMSG:-STRACE:-STRACERAW:XXX Adobe Ave, Palmdale, CA and Dwelling at XXX Adobe Ave, Palmdale, CA</t>
  </si>
  <si>
    <t>EMSG:-STRACE:-STRACERAW:gw.api.webservice.exception.LoginException.FailedLoginException(LoginException.java:XXX</t>
  </si>
  <si>
    <t>EMSG:-STRACE:-STRACERAW:gw.web.job.HandlePreemptionPopupUIHelper.getPreemptionsLabelList(HandlePreemptionPopupUIHelper.gs:XXX</t>
  </si>
  <si>
    <t>EMSG:-STRACE:-STRACERAW:pcfc.expressions.AccountFile_Locations_PolicyTermsLVExpressions$IteratorEntryExpressionsImpl.value_XXX(AccountFile_Locations_PolicyTermsLVExpressions.gs:XXX</t>
  </si>
  <si>
    <t>EMSG:-STRACE:-STRACERAW:pcfc.expressions.AccountFile_Summary_Pending_PlcyTrans_ExtCVExpressions$IteratorEntryExpressionsImpl.initializeVariables_XXX(AccountFile_Summary_Pending_PlcyTrans_ExtCVExpressions.gs:XXX</t>
  </si>
  <si>
    <t>EMSG:-STRACE:-STRACERAW:program_.__Program__XXX.processRecord(Unknown Source</t>
  </si>
  <si>
    <t>EMSG:-STRACE:com.farmers.config.common.mdm.MDMProcess.saveHODiscountsMDM(MDMProcess.gs:XXXSTRACERAW:-</t>
  </si>
  <si>
    <t>EMSG:-STRACE:com.farmers.integ.productrewrite.pctopc.AutoPoliciesProcessor$block_XXX_.invoke(AutoPoliciesProcessor.gs:XXXSTRACERAW:-</t>
  </si>
  <si>
    <t>EMSG:-STRACE:com.farmers.integ.security.community.ace.agent.profile.processor.updator.StaleProducerCodeStaffUserUpdateProcessor.update(StaleProducerCodeStaffUserUpdateProcessor.gs:XXXSTRACERAW:-</t>
  </si>
  <si>
    <t>EMSG:-STRACE:java.base/java.lang.String._dt_replace(String.javaSTRACERAW:-</t>
  </si>
  <si>
    <t>EMSG:A report shows that the XXXSTRACE:the  XXX ACURA RDX XXXD XXXWD has been flagged as having Vehicle History activity.
	at edge.capabilities.quote.submission.quoting.util.SubmissionUnderwritingIssuesUtil.checkSideBySideProcessExceptions(SubmissionUnderwritingIssuesUtil.gs:XXXSTRACERAW:-</t>
  </si>
  <si>
    <t>EMSG:A report shows that the XXXSTRACE:the  XXX AUDI SXXX QUATTRO XXXD   XXX.XXXT PRESTIGE has been flagged as having Vehicle History activity.
	at edge.capabilities.quote.submission.quoting.util.SubmissionUnderwritingIssuesUtil.checkSideBySideProcessExceptions(SubmissionUnderwritingIssuesUtil.gs:XXXSTRACERAW:-</t>
  </si>
  <si>
    <t>EMSG:A report shows that the XXXSTRACE:the  XXX BMW MXXX XXXD has been flagged as having Vehicle History activity.
	at edge.capabilities.quote.submission.quoting.util.SubmissionUnderwritingIssuesUtil.checkSideBySideProcessExceptions(SubmissionUnderwritingIssuesUtil.gs:XXXSTRACERAW:-</t>
  </si>
  <si>
    <t>EMSG:A report shows that the XXXSTRACE:the  XXX CHEVROLET CORVETTE XXXDOOR, XXX TOYOTA PRIUS PLUG IN HYBRID XXXD has been flagged as having Vehicle History activity.
	at edge.capabilities.quote.submission.quoting.util.SubmissionUnderwritingIssuesUtil.checkSideBySideProcessExceptions(SubmissionUnderwritingIssuesUtil.gs:XXXSTRACERAW:-</t>
  </si>
  <si>
    <t>EMSG:A report shows that the XXXSTRACE:the  XXX DODGE TRUCK DURANGO XXXD XXXXXXX SLT has been flagged as having Vehicle History activity.
	at edge.capabilities.quote.submission.quoting.util.SubmissionUnderwritingIssuesUtil.checkSideBySideProcessExceptions(SubmissionUnderwritingIssuesUtil.gs:XXXSTRACERAW:-</t>
  </si>
  <si>
    <t>EMSG:A report shows that the XXXSTRACE:the  XXX DODGE TRUCK RAM XXX CREW PU XXXXXXX QUAD CAB has been flagged as having Vehicle History activity.
	at edge.capabilities.quote.submission.quoting.util.SubmissionUnderwritingIssuesUtil.checkSideBySideProcessExceptions(SubmissionUnderwritingIssuesUtil.gs:XXXSTRACERAW:-</t>
  </si>
  <si>
    <t>EMSG:A report shows that the XXXSTRACE:the  XXX FORD TRUCK ESCAPE XXXD XXXWD S has been flagged as having Vehicle History activity.
	at edge.capabilities.quote.submission.quoting.util.SubmissionUnderwritingIssuesUtil.checkSideBySideProcessExceptions(SubmissionUnderwritingIssuesUtil.gs:XXXSTRACERAW:-</t>
  </si>
  <si>
    <t>EMSG:A report shows that the XXXSTRACE:the  XXX HONDA ACCORD XXXD SPORT has been flagged as having Vehicle History activity.
	at edge.capabilities.quote.submission.quoting.util.SubmissionUnderwritingIssuesUtil.checkSideBySideProcessExceptions(SubmissionUnderwritingIssuesUtil.gs:XXXSTRACERAW:-</t>
  </si>
  <si>
    <t>EMSG:A report shows that the XXXSTRACE:the  XXX HYUNDAI SONATA XXXD SEL/LIMITED ULTIMATE has been flagged as having Vehicle History activity.;
	at edge.capabilities.quote.submission.quoting.util.SubmissionUnderwritingIssuesUtil.checkVerifyRateExceptions(SubmissionUnderwritingIssuesUtil.gs:XXXSTRACERAW:-</t>
  </si>
  <si>
    <t>EMSG:A report shows that the XXXSTRACE:the  XXX JEEP COMMANDER XXXD XXXXXXX has been flagged as having Vehicle History activity.
	at edge.capabilities.quote.submission.quoting.util.SubmissionUnderwritingIssuesUtil.checkSideBySideProcessExceptions(SubmissionUnderwritingIssuesUtil.gs:XXXSTRACERAW:-</t>
  </si>
  <si>
    <t>EMSG:A report shows that the XXXSTRACE:the  XXX KIA SOUL SW has been flagged as having Vehicle History activity.
	at edge.capabilities.quote.submission.quoting.util.SubmissionUnderwritingIssuesUtil.checkSideBySideProcessExceptions(SubmissionUnderwritingIssuesUtil.gs:XXXSTRACERAW:-</t>
  </si>
  <si>
    <t>EMSG:A report shows that the XXXSTRACE:the  XXX KIA STINGER XXXD XXXWD/XXXWD has been flagged as having Vehicle History activity.
	at edge.capabilities.quote.submission.quoting.util.SubmissionUnderwritingIssuesUtil.checkSideBySideProcessExceptions(SubmissionUnderwritingIssuesUtil.gs:XXXSTRACERAW:-</t>
  </si>
  <si>
    <t>EMSG:A report shows that the XXXSTRACE:the  XXX LEXUS SC XXX CONV has been flagged as having Vehicle History activity.
	at edge.capabilities.quote.submission.quoting.util.SubmissionUnderwritingIssuesUtil.checkSideBySideProcessExceptions(SubmissionUnderwritingIssuesUtil.gs:XXXSTRACERAW:-</t>
  </si>
  <si>
    <t>EMSG:A report shows that the XXXSTRACE:the  XXX NISSAN TITAN CR PU SH XXXWD has been flagged as having Vehicle History activity.
	at edge.capabilities.quote.submission.quoting.util.SubmissionUnderwritingIssuesUtil.checkSideBySideProcessExceptions(SubmissionUnderwritingIssuesUtil.gs:XXXSTRACERAW:-</t>
  </si>
  <si>
    <t>EMSG:A report shows that the XXXSTRACE:the  XXX RAM XXX QUAD PU XXXXXXX ST has been flagged as having Vehicle History activity.
	at edge.capabilities.quote.submission.quoting.util.SubmissionUnderwritingIssuesUtil.checkSideBySideProcessExceptions(SubmissionUnderwritingIssuesUtil.gs:XXXSTRACERAW:-</t>
  </si>
  <si>
    <t>EMSG:A report shows that the XXXSTRACE:the  XXX VOLKSWAGEN GOLF XXXD GTI XXX.XXXT has been flagged as having Vehicle History activity.
	at edge.capabilities.quote.submission.quoting.util.SubmissionUnderwritingIssuesUtil.checkSideBySideProcessExceptions(SubmissionUnderwritingIssuesUtil.gs:XXXSTRACERAW:-</t>
  </si>
  <si>
    <t>EMSG:A report shows that the XXXSTRACE:the  XXX VOLKSWAGEN NEW JETTA XXXD XXX.XXXT S has been flagged as having Vehicle History activity.
	at edge.capabilities.quote.submission.quoting.util.SubmissionUnderwritingIssuesUtil.checkSideBySideProcessExceptions(SubmissionUnderwritingIssuesUtil.gs:XXXSTRACERAW:-</t>
  </si>
  <si>
    <t>EMSG:Abdulmalik NooraniSTRACE:com.farmers.config.pa.validator.BrightlineValidator.validateQuoteBrightlineRules(BrightlineValidator.gs:XXXSTRACERAW:-</t>
  </si>
  <si>
    <t>EMSG:Christina MurilloSTRACE:com.farmers.config.pa.validator.BrightlineValidator.validateQuoteBrightlineRules(BrightlineValidator.gs:XXXSTRACERAW:-</t>
  </si>
  <si>
    <t>EMSG:Christina MurilloSTRACE:gw.job.QuoteProcess.requestQuote(QuoteProcess.gs:XXXSTRACERAW:-</t>
  </si>
  <si>
    <t>EMSG:Connect to apis-pceisg.farmersinsurance.com:XXX [apis-pceisg.farmersinsurance.com/XXX.XXX.XXX.XXX] failed: connect timed outSTRACE:deployment.pc.war//org.apache.http.impl.conn.DefaultHttpClientConnectionOperator.connect(DefaultHttpClientConnectionOperator.java:XXXSTRACERAW:-</t>
  </si>
  <si>
    <t>EMSG:Correct the VIN XXXSTRACE:edge.capabilities.quote.submission.quoting.util.SubmissionUnderwritingIssuesUtil.checkSideBySideProcessExceptions(SubmissionUnderwritingIssuesUtil.gs:XXXSTRACERAW:-</t>
  </si>
  <si>
    <t>EMSG:DAVID PASKARSTRACE:gw.job.QuoteProcess.requestQuote(QuoteProcess.gs:XXXSTRACERAW:-</t>
  </si>
  <si>
    <t>EMSG:Donna TaylorSTRACE:com.farmers.config.pa.validator.BrightlineValidator.validateQuoteBrightlineRules(BrightlineValidator.gs:XXXSTRACERAW:-</t>
  </si>
  <si>
    <t>EMSG:Donna TaylorSTRACE:gw.job.QuoteProcess.requestQuote(QuoteProcess.gs:XXXSTRACERAW:-</t>
  </si>
  <si>
    <t>EMSG:Dwelling at XXXSTRACE:XXX Benson Ct, Suffolk, VA: Standard Limit on Special Limits on Personal Property is no longer available and has been removed. Please enter a new value.
	at gw.api.extension.PCExtensionInterfacesMapper$block_XXX_.invoke(PCExtensionInterfacesMapper.gs:XXXSTRACERAW:-</t>
  </si>
  <si>
    <t>EMSG:Dwelling at XXXSTRACE:XXX Lawrence Ave, Albertville, AL: Perils on Personal Property is now available and its value must be verified by the user.
	at gw.api.extension.PCExtensionInterfacesMapper$block_XXX_.invoke(PCExtensionInterfacesMapper.gs:XXXSTRACERAW:-</t>
  </si>
  <si>
    <t>EMSG:Dwelling at XXXSTRACE:XXX S XXXth St, Girard, KS: Perils on Personal Property is now available and its value must be verified by the user.
	at gw.api.extension.PCExtensionInterfacesMapper$block_XXX_.invoke(PCExtensionInterfacesMapper.gs:XXXSTRACERAW:-</t>
  </si>
  <si>
    <t>EMSG:Earthquake: The coverage term 'Limited or Full' is required. Enter a value.STRACE:edge.capabilities.quote.submission.quoting.util.SubmissionUnderwritingIssuesUtil.checkSideBySideProcessExceptions(SubmissionUnderwritingIssuesUtil.gs:XXXSTRACERAW:-</t>
  </si>
  <si>
    <t>EMSG:Effective ranges overlap for PAVehicleModifier with BranchID XXX and with FixedID XXXSTRACE:Oct XXX XXX:XXX:XXX PDT XXX, Fri Apr XXX XXX:XXX:XXX PDT XXX - Sat Oct XXX XXX:XXX:XXX PDT XXX
	at deployment.pc.war//com.guidewire.pl.system.entity.proxy.EffDatedBeanProxy.checkForOverlaps(EffDatedBeanProxy.java:XXXSTRACERAW:-</t>
  </si>
  <si>
    <t>EMSG:Enter Signal Phone number for SHERYL JURGENSEN. A cell phone number is required for Signal enrollment.;STRACE:edge.capabilities.quote.submission.quoting.util.SubmissionUnderwritingIssuesUtil.checkVerifyRateExceptions(SubmissionUnderwritingIssuesUtil.gs:XXXSTRACERAW:-</t>
  </si>
  <si>
    <t>EMSG:For eligible contact AIMEE LANCASTER credit score is null. Please make sure credit is orderedSTRACE:com.farmers.config.common.credit.CreditScoreHelper.populateRatingCreditDTO(CreditScoreHelper.gs:XXXSTRACERAW:-</t>
  </si>
  <si>
    <t>EMSG:For eligible contact Alan Garcia credit score is null. Please make sure credit is orderedSTRACE:com.farmers.config.common.credit.CreditScoreHelper.populateRatingCreditDTO(CreditScoreHelper.gs:XXXSTRACERAW:-</t>
  </si>
  <si>
    <t>EMSG:For eligible contact Alan Gundlach credit score is null. Please make sure credit is orderedSTRACE:com.farmers.config.common.credit.CreditScoreHelper.populateRatingCreditDTO(CreditScoreHelper.gs:XXXSTRACERAW:-</t>
  </si>
  <si>
    <t>EMSG:For eligible contact Andrea Himes credit score is null. Please make sure credit is orderedSTRACE:com.farmers.config.common.credit.CreditScoreHelper.populateRatingCreditDTO(CreditScoreHelper.gs:XXXSTRACERAW:-</t>
  </si>
  <si>
    <t>EMSG:For eligible contact Angel Trujillo-palacios credit score is null. Please make sure credit is orderedSTRACE:com.farmers.config.common.credit.CreditScoreHelper.populateRatingCreditDTO(CreditScoreHelper.gs:XXXSTRACERAW:-</t>
  </si>
  <si>
    <t>EMSG:For eligible contact Boyington Parks credit score is null. Please make sure credit is orderedSTRACE:com.farmers.config.common.credit.CreditScoreHelper.populateRatingCreditDTO(CreditScoreHelper.gs:XXXSTRACERAW:-</t>
  </si>
  <si>
    <t>EMSG:For eligible contact Brandon Quinonez credit score is null. Please make sure credit is orderedSTRACE:com.farmers.config.common.credit.CreditScoreHelper.populateRatingCreditDTO(CreditScoreHelper.gs:XXXSTRACERAW:-</t>
  </si>
  <si>
    <t>EMSG:For eligible contact Brittani Pouewells credit score is null. Please make sure credit is orderedSTRACE:com.farmers.config.common.credit.CreditScoreHelper.populateRatingCreditDTO(CreditScoreHelper.gs:XXXSTRACERAW:-</t>
  </si>
  <si>
    <t>EMSG:For eligible contact Bruce Kim credit score is null. Please make sure credit is orderedSTRACE:com.farmers.config.common.credit.CreditScoreHelper.populateRatingCreditDTO(CreditScoreHelper.gs:XXXSTRACERAW:-</t>
  </si>
  <si>
    <t>EMSG:For eligible contact Bryson Sims credit score is null. Please make sure credit is orderedSTRACE:com.farmers.config.common.credit.CreditScoreHelper.populateRatingCreditDTO(CreditScoreHelper.gs:XXXSTRACERAW:-</t>
  </si>
  <si>
    <t>EMSG:For eligible contact Catlynn Serfass credit score is null. Please make sure credit is orderedSTRACE:com.farmers.config.common.credit.CreditScoreHelper.populateRatingCreditDTO(CreditScoreHelper.gs:XXXSTRACERAW:-</t>
  </si>
  <si>
    <t>EMSG:For eligible contact Chakradhararao Tallam credit score is null. Please make sure credit is orderedSTRACE:com.farmers.config.common.credit.CreditScoreHelper.populateRatingCreditDTO(CreditScoreHelper.gs:XXXSTRACERAW:-</t>
  </si>
  <si>
    <t>EMSG:For eligible contact Clarence Thomas credit score is null. Please make sure credit is orderedSTRACE:com.farmers.config.common.credit.CreditScoreHelper.populateRatingCreditDTO(CreditScoreHelper.gs:XXXSTRACERAW:-</t>
  </si>
  <si>
    <t>EMSG:For eligible contact DREW WEIDEMAN credit score is null. Please make sure credit is orderedSTRACE:com.farmers.config.common.credit.CreditScoreHelper.populateRatingCreditDTO(CreditScoreHelper.gs:XXXSTRACERAW:-</t>
  </si>
  <si>
    <t>EMSG:For eligible contact Daniel Jenkins credit score is null. Please make sure credit is orderedSTRACE:com.farmers.config.common.credit.CreditScoreHelper.populateRatingCreditDTO(CreditScoreHelper.gs:XXXSTRACERAW:-</t>
  </si>
  <si>
    <t>EMSG:For eligible contact Daniela Murillo credit score is null. Please make sure credit is orderedSTRACE:com.farmers.config.common.credit.CreditScoreHelper.populateRatingCreditDTO(CreditScoreHelper.gs:XXXSTRACERAW:-</t>
  </si>
  <si>
    <t>EMSG:For eligible contact David Standridge credit score is null. Please make sure credit is orderedSTRACE:com.farmers.config.common.credit.CreditScoreHelper.populateRatingCreditDTO(CreditScoreHelper.gs:XXXSTRACERAW:-</t>
  </si>
  <si>
    <t>EMSG:For eligible contact Diana Groelle credit score is null. Please make sure credit is orderedSTRACE:com.farmers.config.common.credit.CreditScoreHelper.populateRatingCreditDTO(CreditScoreHelper.gs:XXXSTRACERAW:-</t>
  </si>
  <si>
    <t>EMSG:For eligible contact Dustin Moody credit score is null. Please make sure credit is orderedSTRACE:com.farmers.config.common.credit.CreditScoreHelper.populateRatingCreditDTO(CreditScoreHelper.gs:XXXSTRACERAW:-</t>
  </si>
  <si>
    <t>EMSG:For eligible contact Hyrum Heward credit score is null. Please make sure credit is orderedSTRACE:com.farmers.config.common.credit.CreditScoreHelper.populateRatingCreditDTO(CreditScoreHelper.gs:XXXSTRACERAW:-</t>
  </si>
  <si>
    <t>EMSG:For eligible contact Iose Lopez credit score is null. Please make sure credit is orderedSTRACE:com.farmers.config.common.credit.CreditScoreHelper.populateRatingCreditDTO(CreditScoreHelper.gs:XXXSTRACERAW:-</t>
  </si>
  <si>
    <t>EMSG:For eligible contact Jade Welsford credit score is null. Please make sure credit is orderedSTRACE:com.farmers.config.common.credit.CreditScoreHelper.populateRatingCreditDTO(CreditScoreHelper.gs:XXXSTRACERAW:-</t>
  </si>
  <si>
    <t>EMSG:For eligible contact Jaison Scott credit score is null. Please make sure credit is orderedSTRACE:com.farmers.config.common.credit.CreditScoreHelper.populateRatingCreditDTO(CreditScoreHelper.gs:XXXSTRACERAW:-</t>
  </si>
  <si>
    <t>EMSG:For eligible contact Jayme Mckey credit score is null. Please make sure credit is orderedSTRACE:com.farmers.config.common.credit.CreditScoreHelper.populateRatingCreditDTO(CreditScoreHelper.gs:XXXSTRACERAW:-</t>
  </si>
  <si>
    <t>EMSG:For eligible contact Jennifer Taylor credit score is null. Please make sure credit is orderedSTRACE:com.farmers.config.common.credit.CreditScoreHelper.populateRatingCreditDTO(CreditScoreHelper.gs:XXXSTRACERAW:-</t>
  </si>
  <si>
    <t>EMSG:For eligible contact Jerri Payne credit score is null. Please make sure credit is orderedSTRACE:com.farmers.config.common.credit.CreditScoreHelper.populateRatingCreditDTO(CreditScoreHelper.gs:XXXSTRACERAW:-</t>
  </si>
  <si>
    <t>EMSG:For eligible contact John Terrell credit score is null. Please make sure credit is orderedSTRACE:com.farmers.config.common.credit.CreditScoreHelper.populateRatingCreditDTO(CreditScoreHelper.gs:XXXSTRACERAW:-</t>
  </si>
  <si>
    <t>EMSG:For eligible contact Katie Kottwitz credit score is null. Please make sure credit is orderedSTRACE:com.farmers.config.common.credit.CreditScoreHelper.populateRatingCreditDTO(CreditScoreHelper.gs:XXXSTRACERAW:-</t>
  </si>
  <si>
    <t>EMSG:For eligible contact Kimberly Bryant credit score is null. Please make sure credit is orderedSTRACE:com.farmers.config.common.credit.CreditScoreHelper.populateRatingCreditDTO(CreditScoreHelper.gs:XXXSTRACERAW:-</t>
  </si>
  <si>
    <t>EMSG:For eligible contact Kurt Woodburn credit score is null. Please make sure credit is orderedSTRACE:com.farmers.config.common.credit.CreditScoreHelper.populateRatingCreditDTO(CreditScoreHelper.gs:XXXSTRACERAW:-</t>
  </si>
  <si>
    <t>EMSG:For eligible contact Lashoyne Brown credit score is null. Please make sure credit is orderedSTRACE:com.farmers.config.common.credit.CreditScoreHelper.populateRatingCreditDTO(CreditScoreHelper.gs:XXXSTRACERAW:-</t>
  </si>
  <si>
    <t>EMSG:For eligible contact Louis Riep credit score is null. Please make sure credit is orderedSTRACE:com.farmers.config.common.credit.CreditScoreHelper.populateRatingCreditDTO(CreditScoreHelper.gs:XXXSTRACERAW:-</t>
  </si>
  <si>
    <t>EMSG:For eligible contact MICHELLE ESPOSITO credit score is null. Please make sure credit is orderedSTRACE:com.farmers.config.common.credit.CreditScoreHelper.populateRatingCreditDTO(CreditScoreHelper.gs:XXXSTRACERAW:-</t>
  </si>
  <si>
    <t>EMSG:For eligible contact Mai Menchaca credit score is null. Please make sure credit is orderedSTRACE:com.farmers.config.common.credit.CreditScoreHelper.populateRatingCreditDTO(CreditScoreHelper.gs:XXXSTRACERAW:-</t>
  </si>
  <si>
    <t>EMSG:For eligible contact Makayla Fullmore credit score is null. Please make sure credit is orderedSTRACE:com.farmers.config.common.credit.CreditScoreHelper.populateRatingCreditDTO(CreditScoreHelper.gs:XXXSTRACERAW:-</t>
  </si>
  <si>
    <t>EMSG:For eligible contact Mercedez Morrow credit score is null. Please make sure credit is orderedSTRACE:com.farmers.config.common.credit.CreditScoreHelper.populateRatingCreditDTO(CreditScoreHelper.gs:XXXSTRACERAW:-</t>
  </si>
  <si>
    <t>EMSG:For eligible contact Michael Diaz credit score is null. Please make sure credit is orderedSTRACE:com.farmers.config.common.credit.CreditScoreHelper.populateRatingCreditDTO(CreditScoreHelper.gs:XXXSTRACERAW:-</t>
  </si>
  <si>
    <t>EMSG:For eligible contact Miguel Zamora credit score is null. Please make sure credit is orderedSTRACE:com.farmers.config.common.credit.CreditScoreHelper.populateRatingCreditDTO(CreditScoreHelper.gs:XXXSTRACERAW:-</t>
  </si>
  <si>
    <t>EMSG:For eligible contact Rebecca Hays credit score is null. Please make sure credit is orderedSTRACE:com.farmers.config.common.credit.CreditScoreHelper.populateRatingCreditDTO(CreditScoreHelper.gs:XXXSTRACERAW:-</t>
  </si>
  <si>
    <t>EMSG:For eligible contact Renee Clark credit score is null. Please make sure credit is orderedSTRACE:com.farmers.config.common.credit.CreditScoreHelper.populateRatingCreditDTO(CreditScoreHelper.gs:XXXSTRACERAW:-</t>
  </si>
  <si>
    <t>EMSG:For eligible contact Rosalinda Saldana credit score is null. Please make sure credit is orderedSTRACE:com.farmers.config.common.credit.CreditScoreHelper.populateRatingCreditDTO(CreditScoreHelper.gs:XXXSTRACERAW:-</t>
  </si>
  <si>
    <t>EMSG:For eligible contact Ruby Allen credit score is null. Please make sure credit is orderedSTRACE:com.farmers.config.common.credit.CreditScoreHelper.populateRatingCreditDTO(CreditScoreHelper.gs:XXXSTRACERAW:-</t>
  </si>
  <si>
    <t>EMSG:For eligible contact Ryan Donoghue credit score is null. Please make sure credit is orderedSTRACE:com.farmers.config.common.credit.CreditScoreHelper.populateRatingCreditDTO(CreditScoreHelper.gs:XXXSTRACERAW:-</t>
  </si>
  <si>
    <t>EMSG:For eligible contact Sarah Blaszczyk credit score is null. Please make sure credit is orderedSTRACE:com.farmers.config.common.credit.CreditScoreHelper.populateRatingCreditDTO(CreditScoreHelper.gs:XXXSTRACERAW:-</t>
  </si>
  <si>
    <t>EMSG:For eligible contact Saren Sum credit score is null. Please make sure credit is orderedSTRACE:com.farmers.config.common.credit.CreditScoreHelper.populateRatingCreditDTO(CreditScoreHelper.gs:XXXSTRACERAW:-</t>
  </si>
  <si>
    <t>EMSG:For eligible contact Shakendria Bodiford credit score is null. Please make sure credit is orderedSTRACE:com.farmers.config.common.credit.CreditScoreHelper.populateRatingCreditDTO(CreditScoreHelper.gs:XXXSTRACERAW:-</t>
  </si>
  <si>
    <t>EMSG:For eligible contact Shankar Myilswamy credit score is null. Please make sure credit is orderedSTRACE:com.farmers.config.common.credit.CreditScoreHelper.populateRatingCreditDTO(CreditScoreHelper.gs:XXXSTRACERAW:-</t>
  </si>
  <si>
    <t>EMSG:For eligible contact Sierra Bradfield credit score is null. Please make sure credit is orderedSTRACE:com.farmers.config.common.credit.CreditScoreHelper.populateRatingCreditDTO(CreditScoreHelper.gs:XXXSTRACERAW:-</t>
  </si>
  <si>
    <t>EMSG:For eligible contact Tania N Byler credit score is null. Please make sure credit is orderedSTRACE:com.farmers.config.common.credit.CreditScoreHelper.populateRatingCreditDTO(CreditScoreHelper.gs:XXXSTRACERAW:-</t>
  </si>
  <si>
    <t>EMSG:For eligible contact Thomas Applegate credit score is null. Please make sure credit is orderedSTRACE:com.farmers.config.common.credit.CreditScoreHelper.populateRatingCreditDTO(CreditScoreHelper.gs:XXXSTRACERAW:-</t>
  </si>
  <si>
    <t>EMSG:For eligible contact Thomas Wilhelm credit score is null. Please make sure credit is orderedSTRACE:com.farmers.config.common.credit.CreditScoreHelper.populateRatingCreditDTO(CreditScoreHelper.gs:XXXSTRACERAW:-</t>
  </si>
  <si>
    <t>EMSG:For eligible contact Vaughn Quern credit score is null. Please make sure credit is orderedSTRACE:com.farmers.config.common.credit.CreditScoreHelper.populateRatingCreditDTO(CreditScoreHelper.gs:XXXSTRACERAW:-</t>
  </si>
  <si>
    <t>EMSG:For eligible contact Victor Reyes credit score is null. Please make sure credit is orderedSTRACE:com.farmers.config.common.credit.CreditScoreHelper.populateRatingCreditDTO(CreditScoreHelper.gs:XXXSTRACERAW:-</t>
  </si>
  <si>
    <t>EMSG:For eligible contact Yuchen Hu credit score is null. Please make sure credit is orderedSTRACE:com.farmers.config.common.credit.CreditScoreHelper.populateRatingCreditDTO(CreditScoreHelper.gs:XXXSTRACERAW:-</t>
  </si>
  <si>
    <t>EMSG:For eligible contact Zorayda Gracia Mancilla credit score is null. Please make sure credit is orderedSTRACE:com.farmers.config.common.credit.CreditScoreHelper.populateRatingCreditDTO(CreditScoreHelper.gs:XXXSTRACERAW:-</t>
  </si>
  <si>
    <t>EMSG:Found more than one target of the property XXXSTRACE:Jordan Ave, San Francisco,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</si>
  <si>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XXXSTRACE:Ramona Valley Ln, Antioch,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</si>
  <si>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XXXSTRACE:Rialto Ave, Colton,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</si>
  <si>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XXXSTRACE:Romero Cyn Rd Castaic Ca XXX, Castaic,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</si>
  <si>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Acacia Ln, Newbury Park,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</si>
  <si>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Baja Panorama, Santa Ana,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</si>
  <si>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Briar Meadow Cir, Auburn,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</si>
  <si>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Canyon Crest Ln, Lake Arrowhead,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</si>
  <si>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Carinda Ct, Palm Desert,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</si>
  <si>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Cormorant Dr, Folsom,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</si>
  <si>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Countryside Ln, San Luis Obispo,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</si>
  <si>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DAnton St, San Francisco,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</si>
  <si>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Del Mar Ave, Rosemead,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</si>
  <si>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Del Valle Ave, LA Puente,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</si>
  <si>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Dragonfly St, Glendale,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</si>
  <si>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 McKenzie Ave, Fresno,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</si>
  <si>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Encelia Pl, Carlsbad,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</si>
  <si>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Falcon St, Pomona,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</si>
  <si>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Fathom Ct, Atwater,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</si>
  <si>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Forest Dr, Stockton,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</si>
  <si>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HAYDEN WAY, MARINA,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</si>
  <si>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Headlands Dr, Bakersfield,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</si>
  <si>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Helianthus, Rancho Santa Margarita,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</si>
  <si>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Lingo Cir, Reedley,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</si>
  <si>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Lodge Rd, Auberry,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</si>
  <si>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Lorimer Way, Roseville,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</si>
  <si>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Malaga St, Fontana,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</si>
  <si>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Mathews St # A, Riverside,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</si>
  <si>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Maynard Ave, West Hills,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</si>
  <si>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Monterey Pine Dr, Newport Beach,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</si>
  <si>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Moonstone Beach Dr, Cambria,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</si>
  <si>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N Ardmore Ave, Los Angeles,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</si>
  <si>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N Iris Ave, Rialto,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</si>
  <si>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N XXXth Ave, Phoenix, AZ':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</si>
  <si>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Nord Hwy Apt XXX, Chico,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</si>
  <si>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Nova Ln, Menifee,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</si>
  <si>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Oak Dr Spc XXX, Vista,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</si>
  <si>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Pacific Breeze Dr, Santa Rosa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</si>
  <si>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Primoak Way, Elk Grove,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</si>
  <si>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RAND ST, BUENA PARK,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</si>
  <si>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Ravenna Ln, Stockton,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</si>
  <si>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Richard St # XXX, Lucerne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</si>
  <si>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San Mateo Cir, Hemet,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</si>
  <si>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Savona Ct, Vista,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</si>
  <si>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Sea Breeze Way, Menifee,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</si>
  <si>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Stonesgate St, Westlake Village,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</si>
  <si>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Sutter Rd, Lucerne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</si>
  <si>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Trail Rock Ct, Simi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</si>
  <si>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Treeline Dr Unit XXX, Corona,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</si>
  <si>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Vista Grande, Greenbrae,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</si>
  <si>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 Las Positas Blvd, Pleasanton,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</si>
  <si>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EMSG:GALO PALACIOS GUAYASAMINSTRACE:com.farmers.config.pa.validator.BrightlineValidator.validateQuoteBrightlineRules(BrightlineValidator.gs:XXXSTRACERAW:-</t>
  </si>
  <si>
    <t>EMSG:GAVIN RICHARDSONSTRACE:com.farmers.config.pa.validator.BrightlineValidator.validateQuoteBrightlineRules(BrightlineValidator.gs:XXXSTRACERAW:-</t>
  </si>
  <si>
    <t>EMSG:GAVIN RICHARDSONSTRACE:gw.job.QuoteProcess.requestQuote(QuoteProcess.gs:XXXSTRACERAW:-</t>
  </si>
  <si>
    <t>EMSG:Gene ShillingSTRACE:com.farmers.config.pa.validator.BrightlineValidator.validateQuoteBrightlineRules(BrightlineValidator.gs:XXXSTRACERAW:-</t>
  </si>
  <si>
    <t>EMSG:Gene ShillingSTRACE:gw.job.QuoteProcess.requestQuote(QuoteProcess.gs:XXXSTRACERAW:-</t>
  </si>
  <si>
    <t>EMSG:Genesis MoraSTRACE:com.farmers.config.pa.validator.BrightlineValidator.validateQuoteBrightlineRules(BrightlineValidator.gs:XXXSTRACERAW:-</t>
  </si>
  <si>
    <t>EMSG:Genesis MoraSTRACE:gw.job.QuoteProcess.requestQuote(QuoteProcess.gs:XXXSTRACERAW:-</t>
  </si>
  <si>
    <t>EMSG:Illegal character in path at index XXX: https://apis-mgeisg.farmersinsurance.com/plcyms/vXXX/policies/XXX XXXTH AVE/policyDetails?operation=searchByCriteriaSTRACE:index XXX: https://apis-mgeisg.farmersinsurance.com/plcyms/vXXX/policies/XXX XXXTH AVE/policyDetails?operation=searchByCriteria
	at java.base/java.net.URI.create(URI.java:XXXSTRACERAW:-</t>
  </si>
  <si>
    <t>EMSG:Illegal character in path at index XXX: https://apis-pceisg.farmersinsurance.com/productrewritems/vXXX/policies/HXXX	/policyDetails?operation=searchByCriteriaSTRACE:index XXX: https://apis-pceisg.farmersinsurance.com/productrewritems/vXXX/policies/HXXX	/policyDetails?operation=searchByCriteria
	at java.base/java.net.URI.create(URI.java:XXXSTRACERAW:-</t>
  </si>
  <si>
    <t>EMSG:Ivan ChaconSTRACE:com.farmers.config.pa.validator.BrightlineValidator.validateQuoteBrightlineRules(BrightlineValidator.gs:XXXSTRACERAW:-</t>
  </si>
  <si>
    <t>EMSG:Jadi GibbsSTRACE:com.farmers.config.pa.validator.BrightlineValidator.validateQuoteBrightlineRules(BrightlineValidator.gs:XXXSTRACERAW:-</t>
  </si>
  <si>
    <t>EMSG:Jennifer GonzalezSTRACE:com.farmers.config.pa.validator.BrightlineValidator.validateQuoteBrightlineRules(BrightlineValidator.gs:XXXSTRACERAW:-</t>
  </si>
  <si>
    <t>EMSG:Jennifer GonzalezSTRACE:gw.job.QuoteProcess.requestQuote(QuoteProcess.gs:XXXSTRACERAW:-</t>
  </si>
  <si>
    <t>EMSG:Jesus BahenaSTRACE:com.farmers.config.pa.validator.BrightlineValidator.validateQuoteBrightlineRules(BrightlineValidator.gs:XXXSTRACERAW:-</t>
  </si>
  <si>
    <t>EMSG:Jesus BahenaSTRACE:gw.job.QuoteProcess.requestQuote(QuoteProcess.gs:XXXSTRACERAW:-</t>
  </si>
  <si>
    <t>EMSG:Joshua EinertsonSTRACE:com.farmers.config.pa.validator.BrightlineValidator.validateQuoteBrightlineRules(BrightlineValidator.gs:XXXSTRACERAW:-</t>
  </si>
  <si>
    <t>EMSG:Joshua EinertsonSTRACE:gw.job.QuoteProcess.requestQuote(QuoteProcess.gs:XXXSTRACERAW:-</t>
  </si>
  <si>
    <t>EMSG:Kayla MaySTRACE:com.farmers.config.pa.validator.BrightlineValidator.validateQuoteBrightlineRules(BrightlineValidator.gs:XXXSTRACERAW:-</t>
  </si>
  <si>
    <t>EMSG:LHPI Ordering Failed due to TimeOut! - [java.lang.RuntimeException: java.net.NoRouteToHostException: No route to host (Host unreachable)]STRACE:java.base/jdk.internal.reflect.NativeConstructorAccessorImpl.newInstanceXXX(Native MethodSTRACERAW:-</t>
  </si>
  <si>
    <t>EMSG:LHPI Ordering Failed! - [Validation action failed for Mandatory Elements  Validation Exception - Mandatory Field "Street Address" in Address Section does not exists or empty ESBXXX]STRACE:java.base/jdk.internal.reflect.NativeConstructorAccessorImpl.newInstanceXXX(Native MethodSTRACERAW:-</t>
  </si>
  <si>
    <t>EMSG:LUW Policy Change Job XXX: The object you are trying to update was XXXSTRACE:XXX/XXX/XXX XXX:XXX AM. Please cancel and retry your change.
The object you are trying to update was 'Policy:pc:XXX - pc:XXX', and it was changed by LUW u at XXX/XXX/XXX XXX:XXX PM.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</si>
  <si>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'Policy:pc:XXX - pc:XXX', and it was changed by System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</si>
  <si>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'Policy:CN:14450538490165109522XXX - CN:14450538490165109522XXX', and it was changed by System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</si>
  <si>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'Policy:CN:19866149360881823776003XXX - CN:19866149360881823776003XXX', and it was changed by System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</si>
  <si>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'Policy:pc:XXX - pc:XXX', and it was changed by Miguel Angel Melgoza at XXX/XXX/XXX XXX:XXX PM. Please cancel and retry your change.
	at com.farmers.integ.framework.job.automatejob.AutomatedJob.executeJob(AutomatedJob.gs:XXXSTRACERAW:-</t>
  </si>
  <si>
    <t>EMSG:LUW Policy Change Job XXX: Verify and increase underlying policy liability limits in order to proceed with quote. One or more policies do not qualify for Umbrella coverage.STRACE:gw.acc.luw.LUWExceptionHelper.processUserDisplayableException(LUWExceptionHelper.gs:XXXSTRACERAW:-</t>
  </si>
  <si>
    <t>EMSG:MERCEDES ALDANA DE LGADO is already a Driver.STRACE:deployment.pc.war//com.guidewire.pc.domain.policy.period.impl.PolicyPeriodImpl.checkAccountContactIsNotAlreadyAPolicyContactRoleOfType(PolicyPeriodImpl.java:XXXSTRACERAW:-</t>
  </si>
  <si>
    <t>EMSG:Omar OchoaSTRACE:com.farmers.config.pa.validator.BrightlineValidator.validateQuoteBrightlineRules(BrightlineValidator.gs:XXXSTRACERAW:-</t>
  </si>
  <si>
    <t>EMSG:Omar OchoaSTRACE:gw.job.QuoteProcess.requestQuote(QuoteProcess.gs:XXXSTRACERAW:-</t>
  </si>
  <si>
    <t>EMSG:One or more null constraint violations detected for VehFeeWaiver_ExtSTRACE:deployment.pc.war//com.guidewire.pl.system.database.entitywriter.DatabaseEntityWriterImpl.checkForNullConstraintViolation(DatabaseEntityWriterImpl.java:XXXSTRACERAW:-</t>
  </si>
  <si>
    <t>EMSG:Paul YastrabSTRACE:gw.job.QuoteProcess.requestQuote(QuoteProcess.gs:XXXSTRACERAW:-</t>
  </si>
  <si>
    <t>EMSG:Personal Injury Protection coverage cannot be added to this quote. Please remove it and re-rateSTRACE:edge.capabilities.policycommon.coverage.util.CoverageUtil.updateFrom XXXSTRACERAW:-</t>
  </si>
  <si>
    <t>EMSG:Philip RaymondSTRACE:com.farmers.config.pa.validator.BrightlineValidator.validateQuoteBrightlineRules(BrightlineValidator.gs:XXXSTRACERAW:-</t>
  </si>
  <si>
    <t>EMSG:Ramin Sharifi SharifiSTRACE:com.farmers.config.pa.validator.BrightlineValidator.validateQuoteBrightlineRules(BrightlineValidator.gs:XXXSTRACERAW:-</t>
  </si>
  <si>
    <t>EMSG:Ramin Sharifi SharifiSTRACE:gw.job.QuoteProcess.requestQuote(QuoteProcess.gs:XXXSTRACERAW:-</t>
  </si>
  <si>
    <t>EMSG:Re-enter "License #". Duplicate License Number entered for the following Drivers DONALD LOVELACE RAYSTRACE:edge.capabilities.quote.submission.quoting.util.SubmissionUnderwritingIssuesUtil.checkVerifyRateExceptions(SubmissionUnderwritingIssuesUtil.gs:XXXSTRACERAW:-</t>
  </si>
  <si>
    <t>EMSG:Re-enter "License #". Duplicate License Number entered for the following Drivers Patrick DickeySTRACE:edge.capabilities.quote.submission.quoting.util.SubmissionUnderwritingIssuesUtil.checkVerifyRateExceptions(SubmissionUnderwritingIssuesUtil.gs:XXXSTRACERAW:-</t>
  </si>
  <si>
    <t>EMSG:Remove Marring to Certain Metal Materials. Coverage is not allowed with Wind and Hail Exclusion.STRACE:edge.capabilities.quote.submission.quoting.util.SubmissionUnderwritingIssuesUtil.checkSideBySideProcessExceptions(SubmissionUnderwritingIssuesUtil.gs:XXXSTRACERAW:-</t>
  </si>
  <si>
    <t>EMSG:Remove Prior Policy # for Declining Deductible Balance Transfer. Declining Deductible balance is not transferable as the prior policy has been out of force for more than XXX days.STRACE:com.farmers.config.decliningdeductible.HODecliningDeductibleHelper.persistDecDedFromPLA(HODecliningDeductibleHelper.gs:XXXSTRACERAW:-</t>
  </si>
  <si>
    <t>EMSG:Remove duplicate driver Miguel Gara. Two or more non-drivers with the same information exist.STRACE:edge.capabilities.policychange.lob.personalauto.coverables.DefaultPaCoverablePlugin.updateCoverables(DefaultPaCoverablePlugin.gs:XXXSTRACERAW:-</t>
  </si>
  <si>
    <t>EMSG:Rental Coverage: The coverage term 'Coverage is' is required. Enter a value.;STRACE:edge.capabilities.quote.submission.quoting.util.SubmissionUnderwritingIssuesUtil.checkVerifyRateExceptions(SubmissionUnderwritingIssuesUtil.gs:XXXSTRACERAW:-</t>
  </si>
  <si>
    <t>EMSG:Rogelio BalderramaSTRACE:com.farmers.config.pa.validator.BrightlineValidator.validateQuoteBrightlineRules(BrightlineValidator.gs:XXXSTRACERAW:-</t>
  </si>
  <si>
    <t>EMSG:Rogelio BalderramaSTRACE:gw.job.QuoteProcess.requestQuote(QuoteProcess.gs:XXXSTRACERAW:-</t>
  </si>
  <si>
    <t>EMSG:Rolonda BarronSTRACE:com.farmers.config.pa.validator.BrightlineValidator.validateQuoteBrightlineRules(BrightlineValidator.gs:XXXSTRACERAW:-</t>
  </si>
  <si>
    <t>EMSG:Samantha BrooksSTRACE:com.farmers.config.pa.validator.BrightlineValidator.validateQuoteBrightlineRules(BrightlineValidator.gs:XXXSTRACERAW:-</t>
  </si>
  <si>
    <t>EMSG:Samantha BrooksSTRACE:gw.job.QuoteProcess.requestQuote(QuoteProcess.gs:XXXSTRACERAW:-</t>
  </si>
  <si>
    <t>EMSG:Slice date XXX outside of range XXX for XXX XXX bean of type PUPHouseholdMember_PUESTRACE:deployment.pc.war//com.guidewire.pl.system.entity.proxy.EffDatedBaseProxy.getSliceUntyped(EffDatedBaseProxy.java:XXXSTRACERAW:-</t>
  </si>
  <si>
    <t>EMSG:Stale Days is not defined in the system tables for state - British ColumbiaSTRACE:com.farmers.config.common.caching.dao.CustomerDAO.getReportStaleDays(CustomerDAO.gs:XXXSTRACERAW:-</t>
  </si>
  <si>
    <t>EMSG:The value "ADI B GANDHI AND F A GANDHI TRUSTEES OF TRUST DATED MARCH XXXSTRACE:deployment.pc.war//gw.datatype.impl.StringConstraintsHandlerBase.validateStringLength(StringConstraintsHandlerBase.java:XXXSTRACERAW:-</t>
  </si>
  <si>
    <t>EMSG:The value "BRADFORD WARREN &amp; CYNTHIA WILDMANSTRACE:deployment.pc.war//gw.datatype.impl.StringConstraintsHandlerBase.validateStringLength(StringConstraintsHandlerBase.java:XXXSTRACERAW:-</t>
  </si>
  <si>
    <t>EMSG:The value "EDDIE T YEUNG AND XIUJI ZHANG PANTERA PROPERTIES LLCSTRACE:deployment.pc.war//gw.datatype.impl.StringConstraintsHandlerBase.validateStringLength(StringConstraintsHandlerBase.java:XXXSTRACERAW:-</t>
  </si>
  <si>
    <t>EMSG:The value "JIANING TAN TRUSTEE OF THE JIANING TAN TRUST DATED FEBRUARY XXXSTRACE:deployment.pc.war//gw.datatype.impl.StringConstraintsHandlerBase.validateStringLength(StringConstraintsHandlerBase.java:XXXSTRACERAW:-</t>
  </si>
  <si>
    <t>EMSG:The value "JOHN E MIGEOT AND JOAN E MIGEOTSTRACE:deployment.pc.war//gw.datatype.impl.StringConstraintsHandlerBase.validateStringLength(StringConstraintsHandlerBase.java:XXXSTRACERAW:-</t>
  </si>
  <si>
    <t>EMSG:The value "LETICIA RUIZ-VELASCOSTRACE:deployment.pc.war//gw.datatype.impl.StringConstraintsHandlerBase.validateStringLength(StringConstraintsHandlerBase.java:XXXSTRACERAW:-</t>
  </si>
  <si>
    <t>EMSG:The value "LOUIS C MARIANI AND NANCY A MARIANISTRACE:deployment.pc.war//gw.datatype.impl.StringConstraintsHandlerBase.validateStringLength(StringConstraintsHandlerBase.java:XXXSTRACERAW:-</t>
  </si>
  <si>
    <t>EMSG:The value "MALCOLM WATSONSTRACE:deployment.pc.war//gw.datatype.impl.StringConstraintsHandlerBase.validateStringLength(StringConstraintsHandlerBase.java:XXXSTRACERAW:-</t>
  </si>
  <si>
    <t>EMSG:The value "MARTIN CHRISTOPHER GONZALES AND KAREN E IGE-GONZALESSTRACE:deployment.pc.war//gw.datatype.impl.StringConstraintsHandlerBase.validateStringLength(StringConstraintsHandlerBase.java:XXXSTRACERAW:-</t>
  </si>
  <si>
    <t>EMSG:The value "MASON &amp; ROYA PARI XXX TRUST DATED MARC MASON AND ROYA PARISTRACE:deployment.pc.war//gw.datatype.impl.StringConstraintsHandlerBase.validateStringLength(StringConstraintsHandlerBase.java:XXXSTRACERAW:-</t>
  </si>
  <si>
    <t>EMSG:The value "MICHAEL VITULLO AND DENISE VITULLOSTRACE:deployment.pc.war//gw.datatype.impl.StringConstraintsHandlerBase.validateStringLength(StringConstraintsHandlerBase.java:XXXSTRACERAW:-</t>
  </si>
  <si>
    <t>EMSG:The value "THE CHRISTOPHER J TEER CHILD TRUST UNDER THE TEER LIVING TRUST DATED DEC XXXSTRACE:deployment.pc.war//gw.datatype.impl.StringConstraintsHandlerBase.validateStringLength(StringConstraintsHandlerBase.java:XXXSTRACERAW:-</t>
  </si>
  <si>
    <t>EMSG:The value "WILLIAM CHRISTOPHER HARRINGTON AND JANE LINZEE HARRINGTONSTRACE:deployment.pc.war//gw.datatype.impl.StringConstraintsHandlerBase.validateStringLength(StringConstraintsHandlerBase.java:XXXSTRACERAW:-</t>
  </si>
  <si>
    <t>EMSG:Tim YorkSTRACE:com.farmers.config.pa.validator.BrightlineValidator.validateQuoteBrightlineRules(BrightlineValidator.gs:XXXSTRACERAW:-</t>
  </si>
  <si>
    <t>EMSG:Tim YorkSTRACE:gw.job.QuoteProcess.requestQuote(QuoteProcess.gs:XXXSTRACERAW:-</t>
  </si>
  <si>
    <t>EMSG:Unable to retrieve Mortgagee details for code - XXXKFXXXSTRACE:com.farmers.edge.capabilities.quote.mortgagee.MortgageePlugin$block_XXX_.invoke(MortgageePlugin.gs:XXXSTRACERAW:-</t>
  </si>
  <si>
    <t>EMSG:Update 'What vehicle do you customarily drive?' for BRANDT WHITE. This is required for active drivers.STRACE:vehicle do you customarily drive?' for BRANDT WHITE. This is required for active drivers.
	at edge.capabilities.quote.submission.quoting.util.SubmissionUnderwritingIssuesUtil.checkSideBySideProcessExceptions(SubmissionUnderwritingIssuesUtil.gs:XXXSTRACERAW:-</t>
  </si>
  <si>
    <t>EMSG:Update Age Lic in US/CAN for Priscilla Mendez. Age cannot be greater than current year minus Date of birth.STRACE:edge.capabilities.quote.submission.quoting.util.SubmissionUnderwritingIssuesUtil.checkSideBySideProcessExceptions(SubmissionUnderwritingIssuesUtil.gs:XXXSTRACERAW:-</t>
  </si>
  <si>
    <t>EMSG:Update the Age First Licensed for Elizabeth Saucedo. This is required for active drivers.STRACE:edge.capabilities.quote.submission.quoting.util.SubmissionUnderwritingIssuesUtil.checkSideBySideProcessExceptions(SubmissionUnderwritingIssuesUtil.gs:XXXSTRACERAW:-</t>
  </si>
  <si>
    <t>EMSG:XXX DODGE CHARGER XXXD XXXWD SXT in Colorado: Comprehensive is required and must be added. XXXSTRACE:gw.api.extension.PCExtensionInterfacesMapper$block_XXX_.invoke(PCExtensionInterfacesMapper.gs:XXXSTRACERAW:-</t>
  </si>
  <si>
    <t>EMSG:XXX DODGE TRUCK RAM XXX CLUB PU XXXXXXX XXX-DOOR in Colorado: Coverage is on Comprehensive is now available and its value must be verified by the user.; XXX DODGE TRUCK RAM XXX CLUB PU XXXXXXX XXX-DOOR in Colorado: Coverage is on Collision is now available and its value must be verified by the user.; XXX DODGE TRUCK RAM XXX CLUB PU XXXXXXX XXX-DOOR in Colorado: Coverage is on Roadside Assistance is now available and its value must be verified by the user.; XXX DODGE TRUCK RAM XXX CLUB PU XXXXXXX XXX-DOOR in Colorado: Coverage is on Rental Alternative is now available and its value must be verified by the user.; XXX DODGE TRUCK RAM XXX CLUB PU XXXXXXX XXX-DOOR in Colorado: Coverage is on $XXX Glass Deductible is now available and its value must be verified by the user.; XXX HONDA CR-V XXXD XXXWD EX-L in Colorado: Coverage is on Comprehensive is now available and its value must be verified by the user.; XXX HONDA CR-V XXXD XXXWD EX-L in Colorado: Coverage is on Collision is now avaâ€¦</t>
  </si>
  <si>
    <t>EMSG:apis-pleisg.farmersinsurance.com:XXX failed to respondSTRACE:deployment.pc.war//org.apache.http.impl.conn.DefaultHttpResponseParser.parseHead(DefaultHttpResponseParser.java:XXXSTRACERAW:-</t>
  </si>
  <si>
    <t>EMSG:class com.guidewire.pl.system.entity.proxy.EffDatedVersionListOverlapException cannot be cast to class edge.validation.EdgeValidationException (com.guidewire.pl.system.entity.proxy.EffDatedVersionListOverlapException is in unnamed module of loader 'deployment.pc.war' @XXXcXXXdXXX;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</si>
  <si>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@XXXfdXXXbXXX; edge.validation.EdgeValidationException is in unnamed module of loader com.guidewire.pl.system.gosu.GosuPluginContainer @XXXSTRACE:edge.capabilities.policychange.GatewayPolicyChangeHandler$block_XXX_.invoke(GatewayPolicyChangeHandler.gs:XXXSTRACERAW:-</t>
  </si>
  <si>
    <t>EMSG:error:entity.xxxUI-ValidationERRORMessagexxxSTRACE:has been entered.  The Business Insurance policy number must be XXX alphanumeric characters. Ex. GXXX
	at com.farmers.integ.framework.job.automatejob.AutomatedJob.executeJob(AutomatedJob.gs:XXXSTRACERAW:-</t>
  </si>
  <si>
    <t>EMSG:gw.xml.XmlSortException: Unable to process children of element '{http://www.ibm.com/industries/financialservices/ACORD}HomeLineBusiness'. Expected one of '{LOBCd}'STRACE:deployment.pc.war//gw.internal.xml.ws.WsdlPortImpl.invoke(WsdlPortImpl.java:XXXSTRACERAW:-</t>
  </si>
  <si>
    <t>EMSG:java.lang.RuntimeException: java.net.SocketException: Connection reset by peer (connect failed)STRACE:deployment.pc.war//gw.internal.xml.ws.WsdlPortImpl.invoke(WsdlPortImpl.java:XXXSTRACERAW:-</t>
  </si>
  <si>
    <t>EMSG:java.lang.RuntimeException: javax.net.ssl.SSLHandshakeException: Remote host terminated the handshakeSTRACE:deployment.pc.war//gw.internal.xml.ws.WsdlPortImpl.invoke(WsdlPortImpl.java:XXXSTRACERAW:-</t>
  </si>
  <si>
    <t>EMSG:, AOR=XXXSTRACE:deployment.pc.war//com.guidewire.pl.system.bundle.ArrayDeltaMap.rekey(ArrayDeltaMap.java:XXXSTRACERAW:-</t>
  </si>
  <si>
    <t>EMSG:, AOR=XXXSTRACE:deployment.pc.war//com.guidewire.pl.system.bundle.BundleWriter.filterRestoredBeans(BundleWriter.java:XXXSTRACERAW:-</t>
  </si>
  <si>
    <t>EMSG:, AOR=XXXSTRACE:deployment.pc.war//com.guidewire.pl.system.database.DatabaseBundleWriter.createSnapshotOfBundleStatus(DatabaseBundleWriter.java:XXXSTRACERAW:-</t>
  </si>
  <si>
    <t>EMSG:, AOR=XXXSTRACE:deployment.pc.war//com.guidewire.pl.system.entity.proxy.AbstractKeyableBeanProxy.getOneToOneForeignKeyId(AbstractKeyableBeanProxy.java:XXXSTRACERAW:-</t>
  </si>
  <si>
    <t>EMSG:, AOR=XXXSTRACE:deployment.pc.war//com.guidewire.pl.system.entity.proxy.AbstractKeyableBeanProxy.isNew(AbstractKeyableBeanProxy.java:XXXSTRACERAW:-</t>
  </si>
  <si>
    <t>EMSG:, AOR=XXXSTRACE:gw.acc.luw.perf.JobManager.withdrawPolicyJobs(JobManager.gs:XXXSTRACERAW:-</t>
  </si>
  <si>
    <t>EMSG:, AOR=XXXSTRACE:gw.lob.pa.PersonalAutoLineEnhancement.queryDiscountZipCodeTable(PersonalAutoLineEnhancement.gsx:XXXSTRACERAW:-</t>
  </si>
  <si>
    <t>EMSG:, AOR=XXXSTRACE:java.base/java.util.HashMap$HashIterator.remove(HashMap.java:XXXSTRACERAW:-</t>
  </si>
  <si>
    <t>EMSG:, AOR=XXXSTRACE:line XXX column XXX'
	at deployment.pc.war//gw.xml.XmlElementInternalsImpl.parse(XmlElementInternalsImpl.java:XXXSTRACERAW:-</t>
  </si>
  <si>
    <t>EMSG:-STRACE:-STRACERAW:Jan XXX XXX:XXX:XXX PST XXX, MSG=HTTP GET on resource 'https://unit-service.apps.aks.farmersinsurance.com:XXX/api/unitMakes' failed: internal server error (XXX</t>
  </si>
  <si>
    <t>EMSG:-STRACE:-STRACERAW:Jan XXX XXX:XXX:XXX PST XXX, MSG=HTTP POST on resource 'https://unit-service.apps.aks.farmersinsurance.com:XXX/api/unitModels' failed: not found (XXX</t>
  </si>
  <si>
    <t>EMSG:-STRACE:-STRACERAW:Jan XXX XXX:XXX:XXX PST XXX, MSG=Invalid status code: XXX, response body: [{"message":"ConcurrentRequests (Concurrent API Requests</t>
  </si>
  <si>
    <t>EMSG:-STRACE:-STRACERAW:XXX/XXX/XXX XXX:XXX PM by server ID [pcprodXXX] on host [fmlvpjapXXX]'</t>
  </si>
  <si>
    <t>EMSG:-STRACE:-STRACERAW:com.farmers.config.common.CoverageSummaryUIHelper.getCoveragesForChangeSummary(CoverageSummaryUIHelper.gs:XXX</t>
  </si>
  <si>
    <t>EMSG:-STRACE:-STRACERAW:com.farmers.config.decliningdeductible.PAFlexDecliningDeductibleHelper.validateErrorMessages(PAFlexDecliningDeductibleHelper.gs:XXX</t>
  </si>
  <si>
    <t>EMSG:-STRACE:-STRACERAW:com.farmers.config.ho.productmodel.enhancements.Dwelling_HOEEnhancement.validateRoofCoverage_Ext(Dwelling_HOEEnhancement.gsx:XXX</t>
  </si>
  <si>
    <t>EMSG:-STRACE:-STRACERAW:com.farmers.config.pa.adpf.ParallelServiceExecutor.parallelExecutor(ParallelServiceExecutor.gs:XXX</t>
  </si>
  <si>
    <t>EMSG:-STRACE:-STRACERAW:com.farmers.config.pa.helper.PADriverHelper.setStudentValues(PADriverHelper.gs:XXX</t>
  </si>
  <si>
    <t>EMSG:-STRACE:-STRACERAW:com.farmers.integ.downstream.eventstore.gxmodel.enhancements.ULPolicyEnhancement.getLimitXXXAutoExposure_Ext(ULPolicyEnhancement.gsx:XXX</t>
  </si>
  <si>
    <t>EMSG:-STRACE:-STRACERAW:com.guidewire.pc.domain.policy.period.impl.PolicyPeriodImpl.getOffering(PolicyPeriodImpl.java:XXX</t>
  </si>
  <si>
    <t>EMSG:-STRACE:-STRACERAW:com.guidewire.pl.system.bundle.BundleWriter.forceSourcesOfSearchDenormPropertiesIntoBundleForUpdate(BundleWriter.java:XXX</t>
  </si>
  <si>
    <t>EMSG:-STRACE:-STRACERAW:com.guidewire.pl.system.bundle.EntityBundleImpl.commitAndGetBeans(EntityBundleImpl.java:XXX</t>
  </si>
  <si>
    <t>EMSG:-STRACE:-STRACERAW:com.guidewire.pl.system.workqueue.DistributedWorkerControllerImpl.checkOutWorkItems(DistributedWorkerControllerImpl.java:XXX</t>
  </si>
  <si>
    <t>EMSG:-STRACE:-STRACERAW:deployment.pc.war//com.guidewire.pl.system.database.DatabaseChangedBeanWriter.createConcurrentDataChangeException(DatabaseChangedBeanWriter.java:XXX</t>
  </si>
  <si>
    <t>EMSG:-STRACE:-STRACERAW:gw.account.AccountFileQuickCompareUIController.getPolicyType(AccountFileQuickCompareUIController.gs:XXX</t>
  </si>
  <si>
    <t>EMSG:-STRACE:-STRACERAW:gw.api.extension.PCExtensionInterfacesMapper$block_XXX_.invoke(PCExtensionInterfacesMapper.gs:XXX</t>
  </si>
  <si>
    <t>EMSG:-STRACE:-STRACERAW:gw.job.SubmissionProcess.isJobProductRewriteForUser_Ext(SubmissionProcess.gs:XXX</t>
  </si>
  <si>
    <t>EMSG:-STRACE:-STRACERAW:gw.lob.pa.PersonalAutoLineEnhancement.getAccTenureMonths_Ext(PersonalAutoLineEnhancement.gsx:XXX</t>
  </si>
  <si>
    <t>EMSG:-STRACE:-STRACERAW:gw.lob.pup.PUPPolicyReviewHelper_PUE$block_XXX_.invoke(PUPPolicyReviewHelper_PUE.gs:XXX</t>
  </si>
  <si>
    <t>EMSG:-STRACE:-STRACERAW:gw.lob.pup.PUPPolicyReviewHelper_PUE.getVehicleExposuresPerType_Ext(PUPPolicyReviewHelper_PUE.gs:XXX</t>
  </si>
  <si>
    <t>EMSG:-STRACE:-STRACERAW:gw.web.policyfile.PolicyFileMenuActionsUIHelper.validateChangeEffectiveDate(PolicyFileMenuActionsUIHelper.gs:XXX</t>
  </si>
  <si>
    <t>EMSG:-STRACE:-STRACERAW:java.util.concurrent.FutureTask.get(FutureTask.java:XXX</t>
  </si>
  <si>
    <t>EMSG:-STRACE:-STRACERAW:most one result.  Select statement causing error: Values=[CNO:4263283343058XXX (publicid</t>
  </si>
  <si>
    <t>EMSG:-STRACE:-STRACERAW:pcfc.expressions.MyTemplateWorksheetExpressions$ScreenExpressionsImpl.visible_XXX(MyTemplateWorksheetExpressions.gs:XXX</t>
  </si>
  <si>
    <t>EMSG:-STRACE:XXX/XXX/XXX XXX:XXX AM. Please cancel and retry your change.
	at gw.acc.luw.LUWExceptionHelper.processUserDisplayableException(LUWExceptionHelper.gs:XXXSTRACERAW:-</t>
  </si>
  <si>
    <t>EMSG:-STRACE:com.farmers.billing.dao.PayPlanAnalyzer$block_XXX_$block_XXX_.invoke(PayPlanAnalyzer.gs:XXXSTRACERAW:-</t>
  </si>
  <si>
    <t>EMSG:-STRACE:com.farmers.config.common.mdm.MDMProcess$block_XXX_$block_XXX_.invoke(MDMProcess.gs:XXXSTRACERAW:-</t>
  </si>
  <si>
    <t>EMSG:-STRACE:com.farmers.config.common.mdm.MDMProcess$block_XXX_.invoke(MDMProcess.gs:XXXSTRACERAW:-</t>
  </si>
  <si>
    <t>EMSG:-STRACE:deployment.pc.war//com.ibm.icu.math.BigDecimal.bad(BigDecimal.java:XXXSTRACERAW:-</t>
  </si>
  <si>
    <t>EMSG:-STRACE:edge.capabilities.policychange.PolicyChangeHandler$block_XXX_.invoke(PolicyChangeHandler.gs:XXXSTRACERAW:-</t>
  </si>
  <si>
    <t>EMSG:-STRACE:gw.acc.luw.perf.JobManager.withdrawPolicyJobs(JobManager.gs:XXXSTRACERAW:-</t>
  </si>
  <si>
    <t>EMSG:-STRACE:gw.lob.pup.PUPLineEnhancement_PUE.addHouseholdMemberForContact(PUPLineEnhancement_PUE.gsx:XXXSTRACERAW:-</t>
  </si>
  <si>
    <t>EMSG:ABOLGHASEM SINAI is already a Household Member.STRACE:deployment.pc.war//com.guidewire.pc.domain.policy.period.impl.PolicyPeriodImpl.checkAccountContactIsNotAlreadyAPolicyContactRoleOfType(PolicyPeriodImpl.java:XXXSTRACERAW:-</t>
  </si>
  <si>
    <t>EMSG:ALLEN HERRINGSTRACE:com.farmers.config.pa.validator.BrightlineValidator.validateQuoteBrightlineRules(BrightlineValidator.gs:XXXSTRACERAW:-</t>
  </si>
  <si>
    <t>EMSG:ALLEN HERRINGSTRACE:gw.job.QuoteProcess.requestQuote(QuoteProcess.gs:XXXSTRACERAW:-</t>
  </si>
  <si>
    <t>EMSG:ANISE WHEATLEYSTRACE:com.farmers.config.pa.validator.BrightlineValidator.validateQuoteBrightlineRules(BrightlineValidator.gs:XXXSTRACERAW:-</t>
  </si>
  <si>
    <t>EMSG:ANISE WHEATLEYSTRACE:gw.job.QuoteProcess.requestQuote(QuoteProcess.gs:XXXSTRACERAW:-</t>
  </si>
  <si>
    <t>EMSG:AVERY RUTLEDGESTRACE:com.farmers.config.pa.validator.BrightlineValidator.validateQuoteBrightlineRules(BrightlineValidator.gs:XXXSTRACERAW:-</t>
  </si>
  <si>
    <t>EMSG:AVERY RUTLEDGESTRACE:gw.job.QuoteProcess.requestQuote(QuoteProcess.gs:XXXSTRACERAW:-</t>
  </si>
  <si>
    <t>EMSG:Add License # for BLANCA GARCIASTRACE:com.farmers.config.pa.mvr.validator.MVRDriverValidator.throwDisplayableExceptionIfNeeded(MVRDriverValidator.gs:XXXSTRACERAW:-</t>
  </si>
  <si>
    <t>EMSG:Add License # for BLANCA GARCIASTRACE:gw.job.QuoteProcess.requestQuote(QuoteProcess.gs:XXXSTRACERAW:-</t>
  </si>
  <si>
    <t>EMSG:Add License State for Marina Jacquez-LaresSTRACE:com.farmers.config.pa.mvr.validator.MVRDriverValidator.throwDisplayableExceptionIfNeeded(MVRDriverValidator.gs:XXXSTRACERAW:-</t>
  </si>
  <si>
    <t>EMSG:Add License State for Marina Jacquez-LaresSTRACE:gw.job.QuoteProcess.requestQuote(QuoteProcess.gs:XXXSTRACERAW:-</t>
  </si>
  <si>
    <t>EMSG:Alisha WolfeSTRACE:com.farmers.config.pa.validator.BrightlineValidator.validateQuoteBrightlineRules(BrightlineValidator.gs:XXXSTRACERAW:-</t>
  </si>
  <si>
    <t>EMSG:Alisha WolfeSTRACE:gw.job.QuoteProcess.requestQuote(QuoteProcess.gs:XXXSTRACERAW:-</t>
  </si>
  <si>
    <t>EMSG:Alvaro Alba AguirreSTRACE:com.farmers.config.pa.validator.BrightlineValidator.validateQuoteBrightlineRules(BrightlineValidator.gs:XXXSTRACERAW:-</t>
  </si>
  <si>
    <t>EMSG:Alvaro Alba AguirreSTRACE:gw.job.QuoteProcess.requestQuote(QuoteProcess.gs:XXXSTRACERAW:-</t>
  </si>
  <si>
    <t>EMSG:Alyssa LuskSTRACE:com.farmers.config.pa.validator.BrightlineValidator.validateQuoteBrightlineRules(BrightlineValidator.gs:XXXSTRACERAW:-</t>
  </si>
  <si>
    <t>EMSG:Anthony VieraSTRACE:com.farmers.config.pa.validator.BrightlineValidator.validateQuoteBrightlineRules(BrightlineValidator.gs:XXXSTRACERAW:-</t>
  </si>
  <si>
    <t>EMSG:Argument "policy" cannot be nullSTRACE:deployment.pc.war//gw.pl.util.ArgCheck.nonNull(ArgCheck.java:XXXSTRACERAW:-</t>
  </si>
  <si>
    <t>EMSG:Attempt to access bean of type "Form" id=XXX with a null bundleSTRACE:deployment.pc.war//com.guidewire.pl.system.entity.proxy.BeanProxy.checkIsInBundle(BeanProxy.java:XXXSTRACERAW:-</t>
  </si>
  <si>
    <t>EMSG:Attempt to access bean of type "Person" id=XXX with a null bundleSTRACE:deployment.pc.war//com.guidewire.pl.system.entity.proxy.BeanProxy.checkIsInBundle(BeanProxy.java:XXXSTRACERAW:-</t>
  </si>
  <si>
    <t>EMSG:Attempt to access bean of type "ULCovLimits_Ext" id=XXX with a null bundleSTRACE:deployment.pc.war//com.guidewire.pl.system.entity.proxy.BeanProxy.checkIsInBundle(BeanProxy.java:XXXSTRACERAW:-</t>
  </si>
  <si>
    <t>EMSG:BRANDT KNUTONSTRACE:com.farmers.config.pa.validator.BrightlineValidator.validateQuoteBrightlineRules(BrightlineValidator.gs:XXXSTRACERAW:-</t>
  </si>
  <si>
    <t>EMSG:BRANDT KNUTONSTRACE:gw.job.QuoteProcess.requestQuote(QuoteProcess.gs:XXXSTRACERAW:-</t>
  </si>
  <si>
    <t>EMSG:BRAYDON KOENSTRACE:com.farmers.config.pa.validator.BrightlineValidator.validateQuoteBrightlineRules(BrightlineValidator.gs:XXXSTRACERAW:-</t>
  </si>
  <si>
    <t>EMSG:BRAYDON KOENSTRACE:gw.job.QuoteProcess.requestQuote(QuoteProcess.gs:XXXSTRACERAW:-</t>
  </si>
  <si>
    <t>EMSG:BRENDA CASTLESTRACE:com.farmers.config.pa.validator.BrightlineValidator.validateQuoteBrightlineRules(BrightlineValidator.gs:XXXSTRACERAW:-</t>
  </si>
  <si>
    <t>EMSG:BRIAN MORENOSTRACE:com.farmers.config.pa.validator.BrightlineValidator.validateQuoteBrightlineRules(BrightlineValidator.gs:XXXSTRACERAW:-</t>
  </si>
  <si>
    <t>EMSG:BRIAN MORENOSTRACE:gw.job.QuoteProcess.requestQuote(QuoteProcess.gs:XXXSTRACERAW:-</t>
  </si>
  <si>
    <t>EMSG:Beatrice XimenezSTRACE:com.farmers.config.pa.validator.BrightlineValidator.validateQuoteBrightlineRules(BrightlineValidator.gs:XXXSTRACERAW:-</t>
  </si>
  <si>
    <t>EMSG:Belinda TimmsSTRACE:com.farmers.config.pa.validator.BrightlineValidator.validateQuoteBrightlineRules(BrightlineValidator.gs:XXXSTRACERAW:-</t>
  </si>
  <si>
    <t>EMSG:Belinda TimmsSTRACE:gw.job.QuoteProcess.requestQuote(QuoteProcess.gs:XXXSTRACERAW:-</t>
  </si>
  <si>
    <t>EMSG:Brendan MillsSTRACE:com.farmers.config.pa.validator.BrightlineValidator.validateQuoteBrightlineRules(BrightlineValidator.gs:XXXSTRACERAW:-</t>
  </si>
  <si>
    <t>EMSG:Brendan MillsSTRACE:gw.job.QuoteProcess.requestQuote(QuoteProcess.gs:XXXSTRACERAW:-</t>
  </si>
  <si>
    <t>EMSG:CAITLIN NGUYENSTRACE:com.farmers.config.pa.validator.BrightlineValidator.validateQuoteBrightlineRules(BrightlineValidator.gs:XXXSTRACERAW:-</t>
  </si>
  <si>
    <t>EMSG:CAITLIN NGUYENSTRACE:gw.job.QuoteProcess.requestQuote(QuoteProcess.gs:XXXSTRACERAW:-</t>
  </si>
  <si>
    <t>EMSG:CANDACE PHILLIPSSTRACE:com.farmers.config.pa.validator.BrightlineValidator.validateQuoteBrightlineRules(BrightlineValidator.gs:XXXSTRACERAW:-</t>
  </si>
  <si>
    <t>EMSG:CHRISTINA M BALDERAZ is already a Household Member.STRACE:deployment.pc.war//com.guidewire.pc.domain.policy.period.impl.PolicyPeriodImpl.checkAccountContactIsNotAlreadyAPolicyContactRoleOfType(PolicyPeriodImpl.java:XXXSTRACERAW:-</t>
  </si>
  <si>
    <t>EMSG:CORY GERLOCKSTRACE:com.farmers.config.pa.validator.BrightlineValidator.validateQuoteBrightlineRules(BrightlineValidator.gs:XXXSTRACERAW:-</t>
  </si>
  <si>
    <t>EMSG:CORY GERLOCKSTRACE:gw.job.QuoteProcess.requestQuote(QuoteProcess.gs:XXXSTRACERAW:-</t>
  </si>
  <si>
    <t>EMSG:Can't have NULL fixedIdSTRACE:deployment.pc.war//gw.pl.persistence.core.effdate.EffDatedKey.&lt;init&gt;(EffDatedKey.java:XXXSTRACERAW:-</t>
  </si>
  <si>
    <t>EMSG:Cannot create PolicyLocation for AccountLocation not associated with AccountSTRACE:deployment.pc.war//com.guidewire.pc.domain.policy.period.impl.PolicyPeriodImpl.newLocation(PolicyPeriodImpl.java:XXXSTRACERAW:-</t>
  </si>
  <si>
    <t>EMSG:Charlotte EschSTRACE:com.farmers.config.pa.validator.BrightlineValidator.validateQuoteBrightlineRules(BrightlineValidator.gs:XXXSTRACERAW:-</t>
  </si>
  <si>
    <t>EMSG:Charlotte EschSTRACE:gw.job.QuoteProcess.requestQuote(QuoteProcess.gs:XXXSTRACERAW:-</t>
  </si>
  <si>
    <t>EMSG:Christian MoodySTRACE:com.farmers.config.pa.validator.BrightlineValidator.validateQuoteBrightlineRules(BrightlineValidator.gs:XXXSTRACERAW:-</t>
  </si>
  <si>
    <t>EMSG:Christian MoodySTRACE:gw.job.QuoteProcess.requestQuote(QuoteProcess.gs:XXXSTRACERAW:-</t>
  </si>
  <si>
    <t>EMSG:Cindy KnutsonSTRACE:com.farmers.config.pa.validator.BrightlineValidator.validateQuoteBrightlineRules(BrightlineValidator.gs:XXXSTRACERAW:-</t>
  </si>
  <si>
    <t>EMSG:Cindy KnutsonSTRACE:gw.job.QuoteProcess.requestQuote(QuoteProcess.gs:XXXSTRACERAW:-</t>
  </si>
  <si>
    <t>EMSG:Cindy WoodsSTRACE:com.farmers.config.pa.validator.BrightlineValidator.validateQuoteBrightlineRules(BrightlineValidator.gs:XXXSTRACERAW:-</t>
  </si>
  <si>
    <t>EMSG:Cindy WoodsSTRACE:gw.job.QuoteProcess.requestQuote(QuoteProcess.gs:XXXSTRACERAW:-</t>
  </si>
  <si>
    <t>EMSG:Clorinda CrespinSTRACE:com.farmers.config.pa.validator.BrightlineValidator.validateQuoteBrightlineRules(BrightlineValidator.gs:XXXSTRACERAW:-</t>
  </si>
  <si>
    <t>EMSG:Clorinda CrespinSTRACE:gw.job.QuoteProcess.requestQuote(QuoteProcess.gs:XXXSTRACERAW:-</t>
  </si>
  <si>
    <t>EMSG:ConcurrentDataChangeException XXXSTRACE:XXX/XXX/XXX XXX:XXX AM. Please cancel and retry your change.
	at com.farmers.edge.capabilities.documerge.DocuMergeUploadHandler.uploadViaEmail(DocuMergeUploadHandler.gs:XXXSTRACERAW:-</t>
  </si>
  <si>
    <t>EMSG:Could not map property (entity-PersonalAutoLine).MVRDriverCount_ExtSTRACE:deployment.pc.war//gw.internal.xml.gx.GxRuntime.createElement(GxRuntime.java:XXXSTRACERAW:-</t>
  </si>
  <si>
    <t>EMSG:DEVIN WHITESTRACE:com.farmers.config.pa.validator.BrightlineValidator.validateQuoteBrightlineRules(BrightlineValidator.gs:XXXSTRACERAW:-</t>
  </si>
  <si>
    <t>EMSG:DILLON WILESSTRACE:com.farmers.config.pa.validator.BrightlineValidator.validateQuoteBrightlineRules(BrightlineValidator.gs:XXXSTRACERAW:-</t>
  </si>
  <si>
    <t>EMSG:DILLON WILESSTRACE:gw.job.QuoteProcess.requestQuote(QuoteProcess.gs:XXXSTRACERAW:-</t>
  </si>
  <si>
    <t>EMSG:DYLAN OSORIOSTRACE:com.farmers.config.pa.validator.BrightlineValidator.validateQuoteBrightlineRules(BrightlineValidator.gs:XXXSTRACERAW:-</t>
  </si>
  <si>
    <t>EMSG:DYLAN OSORIOSTRACE:gw.job.QuoteProcess.requestQuote(QuoteProcess.gs:XXXSTRACERAW:-</t>
  </si>
  <si>
    <t>EMSG:Dale DudleySTRACE:com.farmers.config.pa.validator.BrightlineValidator.validateQuoteBrightlineRules(BrightlineValidator.gs:XXXSTRACERAW:-</t>
  </si>
  <si>
    <t>EMSG:Dale DudleySTRACE:gw.job.QuoteProcess.requestQuote(QuoteProcess.gs:XXXSTRACERAW:-</t>
  </si>
  <si>
    <t>EMSG:Daniel ScottSTRACE:com.farmers.config.pa.validator.BrightlineValidator.validateQuoteBrightlineRules(BrightlineValidator.gs:XXXSTRACERAW:-</t>
  </si>
  <si>
    <t>EMSG:Daniel ScottSTRACE:gw.job.QuoteProcess.requestQuote(QuoteProcess.gs:XXXSTRACERAW:-</t>
  </si>
  <si>
    <t>EMSG:Daniel TharpeSTRACE:com.farmers.config.pa.validator.BrightlineValidator.validateQuoteBrightlineRules(BrightlineValidator.gs:XXXSTRACERAW:-</t>
  </si>
  <si>
    <t>EMSG:Daniella LuceroSTRACE:com.farmers.config.pa.validator.BrightlineValidator.validateQuoteBrightlineRules(BrightlineValidator.gs:XXXSTRACERAW:-</t>
  </si>
  <si>
    <t>EMSG:Daniella LuceroSTRACE:gw.job.QuoteProcess.requestQuote(QuoteProcess.gs:XXXSTRACERAW:-</t>
  </si>
  <si>
    <t>EMSG:Darius StylesSTRACE:com.farmers.config.pa.validator.BrightlineValidator.validateQuoteBrightlineRules(BrightlineValidator.gs:XXXSTRACERAW:-</t>
  </si>
  <si>
    <t>EMSG:Database bean version conflict : XXXSTRACE:Blanco at XXX/XXX/XXX XXX:XXX AM. Please cancel and retry your change.
	at deployment.pc.war//com.guidewire.pl.system.database.DatabaseChangedBeanWriter.createConcurrentDataChangeException(DatabaseChangedBeanWriter.java:XXXSTRACERAW:-</t>
  </si>
  <si>
    <t>EMSG:Database bean version conflict : XXXSTRACE:Sarehseni Heras at XXX/XXX/XXX XXX:XXX AM. Please cancel and retry your change.
	at deployment.pc.war//com.guidewire.pl.system.database.DatabaseChangedBeanWriter.createConcurrentDataChangeException(DatabaseChangedBeanWriter.java:XXXSTRACERAW:-</t>
  </si>
  <si>
    <t>EMSG:Database bean version conflict : XXXSTRACE:school with vehicle.UW.XXX', and it was changed by Lilian P at XXX/XXX/XXX XXX:XXX PM. Please cancel and retry your change.
	at deployment.pc.war//com.guidewire.pl.system.database.DatabaseChangedBeanWriter.createConcurrentDataChangeException(DatabaseChangedBeanWriter.java:XXXSTRACERAW:-</t>
  </si>
  <si>
    <t>EMSG:Database bean version conflict : XXXSTRACE:school with vehicle.UW.XXX', and it was changed by Pyla D at XXX/XXX/XXX XXX:XXX AM. Please cancel and retry your change.
	at deployment.pc.war//com.guidewire.pl.system.database.DatabaseChangedBeanWriter.createConcurrentDataChangeException(DatabaseChangedBeanWriter.java:XXXSTRACERAW:-</t>
  </si>
  <si>
    <t>EMSG:Database bean version conflict : XXXSTRACE:vehicle carry  â€˜Broad Form Drive Other Carâ€™ coverage?]', and it was changed by Rahid S at XXX/XXX/XXX XXX:XXX PM. Please cancel and retry your change.
	at deployment.pc.war//com.guidewire.pl.system.database.DatabaseChangedBeanWriter.createConcurrentDataChangeException(DatabaseChangedBeanWriter.java:XXXSTRACERAW:-</t>
  </si>
  <si>
    <t>EMSG:David EldridgeSTRACE:com.farmers.config.pa.validator.BrightlineValidator.validateQuoteBrightlineRules(BrightlineValidator.gs:XXXSTRACERAW:-</t>
  </si>
  <si>
    <t>EMSG:David EldridgeSTRACE:gw.job.QuoteProcess.requestQuote(QuoteProcess.gs:XXXSTRACERAW:-</t>
  </si>
  <si>
    <t>EMSG:Devonne GilbreathSTRACE:com.farmers.config.pa.validator.BrightlineValidator.validateQuoteBrightlineRules(BrightlineValidator.gs:XXXSTRACERAW:-</t>
  </si>
  <si>
    <t>EMSG:Devonne GilbreathSTRACE:gw.job.QuoteProcess.requestQuote(QuoteProcess.gs:XXXSTRACERAW:-</t>
  </si>
  <si>
    <t>EMSG:Dwelling at XXXSTRACE:XXX CARPENTIER ST, SAN LEANDRO, CA: $XXX,XXX All Perils on Deductibles is no longer available and has been removed. Please enter a new value.; XXX, XXX/XXX/XXX, XXX/XXX/XXX, XXX: No message configured for MissingQuestionIssue; XXX, XXX/XXX/XXX, XXX/XXX/XXX, XXX: No message configured for MissingQuestionIssue; XXX, XXX/XXX/XXX, XXX/XXX/XXX, XXX: No message configured for MissingQuestionIssue; XXX, XXX/XXX/XXX, XXX/XXX/XXX, XXX: No message configured for MissingQuestionIssue
	at gw.api.extension.PCExtensionInterfacesMapper$block_XXX_.invoke(PCExtensionInterfacesMapper.gs:XXXSTRACERAW:-</t>
  </si>
  <si>
    <t>EMSG:Dwelling at XXXSTRACE:XXX E XXXth St, Santa Ana, CA: $XXX All Perils on Deductibles is no longer available and has been removed. Please enter a new value.
	at gw.api.extension.PCExtensionInterfacesMapper$block_XXX_.invoke(PCExtensionInterfacesMapper.gs:XXXSTRACERAW:-</t>
  </si>
  <si>
    <t>EMSG:Dwelling at XXXSTRACE:XXX Fern Ln, Arab, AL: Perils on Personal Property is now available and its value must be verified by the user.
	at gw.api.extension.PCExtensionInterfacesMapper$block_XXX_.invoke(PCExtensionInterfacesMapper.gs:XXXSTRACERAW:-</t>
  </si>
  <si>
    <t>EMSG:Dwelling at XXXSTRACE:XXX Kendall Ct, Mobile, AL: Perils on Personal Property is now available and its value must be verified by the user.
	at gw.api.extension.PCExtensionInterfacesMapper$block_XXX_.invoke(PCExtensionInterfacesMapper.gs:XXXSTRACERAW:-</t>
  </si>
  <si>
    <t>EMSG:Dwelling at XXXSTRACE:XXX Lee St, Guntersville, AL: Perils on Personal Property is now available and its value must be verified by the user.
	at gw.api.extension.PCExtensionInterfacesMapper$block_XXX_.invoke(PCExtensionInterfacesMapper.gs:XXXSTRACERAW:-</t>
  </si>
  <si>
    <t>EMSG:Dwelling at XXXSTRACE:XXX Naugher Rd, Huntsville, AL: Perils on Personal Property is now available and its value must be verified by the user.
	at gw.api.extension.PCExtensionInterfacesMapper$block_XXX_.invoke(PCExtensionInterfacesMapper.gs:XXXSTRACERAW:-</t>
  </si>
  <si>
    <t>EMSG:Dwelling at XXXSTRACE:XXX Russet Woods Ln, Hoover, AL: Perils on Personal Property is now available and its value must be verified by the user.
	at gw.api.extension.PCExtensionInterfacesMapper$block_XXX_.invoke(PCExtensionInterfacesMapper.gs:XXXSTRACERAW:-</t>
  </si>
  <si>
    <t>EMSG:Dwelling at XXXSTRACE:XXX Ultimate Ct, Madison, AL: Perils on Personal Property is now available and its value must be verified by the user.
	at gw.api.extension.PCExtensionInterfacesMapper$block_XXX_.invoke(PCExtensionInterfacesMapper.gs:XXXSTRACERAW:-</t>
  </si>
  <si>
    <t>EMSG:Dwelling at XXXSTRACE:XXX XXXrd Ave SW, Vernon, AL: Perils on Personal Property is now available and its value must be verified by the user.
	at gw.api.extension.PCExtensionInterfacesMapper$block_XXX_.invoke(PCExtensionInterfacesMapper.gs:XXXSTRACERAW:-</t>
  </si>
  <si>
    <t>EMSG:EDISSA ORTEGASTRACE:com.farmers.config.pa.validator.BrightlineValidator.validateQuoteBrightlineRules(BrightlineValidator.gs:XXXSTRACERAW:-</t>
  </si>
  <si>
    <t>EMSG:EDISSA ORTEGASTRACE:gw.job.QuoteProcess.requestQuote(QuoteProcess.gs:XXXSTRACERAW:-</t>
  </si>
  <si>
    <t>EMSG:ELLA EVANSSTRACE:com.farmers.config.pa.validator.BrightlineValidator.validateQuoteBrightlineRules(BrightlineValidator.gs:XXXSTRACERAW:-</t>
  </si>
  <si>
    <t>EMSG:ERIKA COLLINSSTRACE:com.farmers.config.pa.validator.BrightlineValidator.validateQuoteBrightlineRules(BrightlineValidator.gs:XXXSTRACERAW:-</t>
  </si>
  <si>
    <t>EMSG:ERIKA COLLINSSTRACE:gw.job.QuoteProcess.requestQuote(QuoteProcess.gs:XXXSTRACERAW:-</t>
  </si>
  <si>
    <t>EMSG:Effective ranges overlap for HODwellingAddlInt_HOE with BranchID XXX and with FixedID XXXSTRACE:deployment.pc.war//com.guidewire.pl.system.entity.proxy.EffDatedBeanProxy.checkForOverlaps(EffDatedBeanProxy.java:XXXSTRACERAW:-</t>
  </si>
  <si>
    <t>EMSG:Effective ranges overlap for PolicyAddlNamedInsured with BranchID XXX and with FixedID XXXSTRACE:Apr XXX XXX:XXX:XXX PDT XXX - Sun Apr XXX XXX:XXX:XXX PDT XXX, Sat Apr XXX XXX:XXX:XXX PDT XXX - Sun Apr XXX XXX:XXX:XXX PDT XXX
	at deployment.pc.war//com.guidewire.pl.system.entity.proxy.EffDatedBeanProxy.checkForOverlaps(EffDatedBeanProxy.java:XXXSTRACERAW:-</t>
  </si>
  <si>
    <t>EMSG:Effective ranges overlap for RemovedVehicle_Ext with BranchID XXX and with FixedID XXXSTRACE:deployment.pc.war//com.guidewire.pl.system.entity.proxy.EffDatedBeanProxy.checkForOverlaps(EffDatedBeanProxy.java:XXXSTRACERAW:-</t>
  </si>
  <si>
    <t>EMSG:Effective ranges overlap for ReportOrderedPerson_Ext with BranchID XXX and with FixedID XXXSTRACE:Oct XXX XXX:XXX:XXX PDT XXX, Fri Apr XXX XXX:XXX:XXX PDT XXX - Sat Oct XXX XXX:XXX:XXX PDT XXX
	at deployment.pc.war//com.guidewire.pl.system.entity.proxy.EffDatedBeanProxy.checkForOverlaps(EffDatedBeanProxy.java:XXXSTRACERAW:-</t>
  </si>
  <si>
    <t>EMSG:Elaine Hill-EvansSTRACE:com.farmers.config.pa.validator.BrightlineValidator.validateQuoteBrightlineRules(BrightlineValidator.gs:XXXSTRACERAW:-</t>
  </si>
  <si>
    <t>EMSG:Elaine Hill-EvansSTRACE:gw.job.QuoteProcess.requestQuote(QuoteProcess.gs:XXXSTRACERAW:-</t>
  </si>
  <si>
    <t>EMSG:Elizabeth BarnhartSTRACE:com.farmers.config.pa.validator.BrightlineValidator.validateQuoteBrightlineRules(BrightlineValidator.gs:XXXSTRACERAW:-</t>
  </si>
  <si>
    <t>EMSG:Enter Signal Phone number for SARAH HOUSE. A cell phone number is required for Signal enrollment.;Enter Signal Phone number for ARICK HOUSE. A cell phone number is required for Signal enrollment.;STRACE:edge.capabilities.quote.submission.quoting.util.SubmissionUnderwritingIssuesUtil.checkVerifyRateExceptions(SubmissionUnderwritingIssuesUtil.gs:XXXSTRACERAW:-</t>
  </si>
  <si>
    <t>EMSG:Eric CarvilleSTRACE:com.farmers.config.pa.validator.BrightlineValidator.validateQuoteBrightlineRules(BrightlineValidator.gs:XXXSTRACERAW:-</t>
  </si>
  <si>
    <t>EMSG:Eric CarvilleSTRACE:gw.job.QuoteProcess.requestQuote(QuoteProcess.gs:XXXSTRACERAW:-</t>
  </si>
  <si>
    <t>EMSG:Eugenio CalvilloSTRACE:com.farmers.config.pa.validator.BrightlineValidator.validateQuoteBrightlineRules(BrightlineValidator.gs:XXXSTRACERAW:-</t>
  </si>
  <si>
    <t>EMSG:Eugenio CalvilloSTRACE:gw.job.QuoteProcess.requestQuote(QuoteProcess.gs:XXXSTRACERAW:-</t>
  </si>
  <si>
    <t>EMSG:Eva MerkelSTRACE:com.farmers.config.pa.validator.BrightlineValidator.validateQuoteBrightlineRules(BrightlineValidator.gs:XXXSTRACERAW:-</t>
  </si>
  <si>
    <t>EMSG:Eva MerkelSTRACE:gw.job.QuoteProcess.requestQuote(QuoteProcess.gs:XXXSTRACERAW:-</t>
  </si>
  <si>
    <t>EMSG:Exception during Rating ExecuteIterationsMultiThreaded : java.util.concurrent.ExecutionException: java.lang.IllegalArgumentException: Cannot re-add ScenarioPremium_Ext:XXX since it has already been removed.  You must use bundle rollback to undo a remove.STRACE:com.farmers.rating.common.flow.iteration.impl.IterationsExecutorImpl$block_XXX_.invoke(IterationsExecutorImpl.gs:XXXSTRACERAW:-</t>
  </si>
  <si>
    <t>EMSG:For eligible contact Anthony Collier credit score is null. Please make sure credit is orderedSTRACE:com.farmers.config.common.credit.CreditScoreHelper.populateRatingCreditDTO(CreditScoreHelper.gs:XXXSTRACERAW:-</t>
  </si>
  <si>
    <t>EMSG:For eligible contact Charles Bellanger credit score is null. Please make sure credit is orderedSTRACE:com.farmers.config.common.credit.CreditScoreHelper.populateRatingCreditDTO(CreditScoreHelper.gs:XXXSTRACERAW:-</t>
  </si>
  <si>
    <t>EMSG:For eligible contact Cornelia Budnick credit score is null. Please make sure credit is orderedSTRACE:com.farmers.integ.framework.job.automatejob.AutomatedJob.executeJob(AutomatedJob.gs:XXXSTRACERAW:-</t>
  </si>
  <si>
    <t>EMSG:For eligible contact DAVID HUGGINS credit score is null. Please make sure credit is orderedSTRACE:com.farmers.config.common.credit.CreditScoreHelper.populateRatingCreditDTO(CreditScoreHelper.gs:XXXSTRACERAW:-</t>
  </si>
  <si>
    <t>EMSG:For eligible contact Glynn Sistrunk credit score is null. Please make sure credit is orderedSTRACE:com.farmers.config.common.credit.CreditScoreHelper.populateRatingCreditDTO(CreditScoreHelper.gs:XXXSTRACERAW:-</t>
  </si>
  <si>
    <t>EMSG:For eligible contact Larry Weideman credit score is null. Please make sure credit is orderedSTRACE:com.farmers.config.common.credit.CreditScoreHelper.populateRatingCreditDTO(CreditScoreHelper.gs:XXXSTRACERAW:-</t>
  </si>
  <si>
    <t>EMSG:For eligible contact MERCEDES DEL MAR credit score is null. Please make sure credit is orderedSTRACE:com.farmers.config.common.credit.CreditScoreHelper.populateRatingCreditDTO(CreditScoreHelper.gs:XXXSTRACERAW:-</t>
  </si>
  <si>
    <t>EMSG:For eligible contact Maria Amante credit score is null. Please make sure credit is orderedSTRACE:com.farmers.config.common.credit.CreditScoreHelper.populateRatingCreditDTO(CreditScoreHelper.gs:XXXSTRACERAW:-</t>
  </si>
  <si>
    <t>EMSG:For eligible contact Matthew Larkin credit score is null. Please make sure credit is orderedSTRACE:com.farmers.config.common.credit.CreditScoreHelper.populateRatingCreditDTO(CreditScoreHelper.gs:XXXSTRACERAW:-</t>
  </si>
  <si>
    <t>EMSG:For eligible contact ROBERT CLEMMENT credit score is null. Please make sure credit is orderedSTRACE:com.farmers.config.common.credit.CreditScoreHelper.populateRatingCreditDTO(CreditScoreHelper.gs:XXXSTRACERAW:-</t>
  </si>
  <si>
    <t>EMSG:For eligible contact Randy Mcintyre credit score is null. Please make sure credit is orderedSTRACE:com.farmers.config.common.credit.CreditScoreHelper.populateRatingCreditDTO(CreditScoreHelper.gs:XXXSTRACERAW:-</t>
  </si>
  <si>
    <t>EMSG:For eligible contact SANDRA CASTRO credit score is null. Please make sure credit is orderedSTRACE:com.farmers.config.common.credit.CreditScoreHelper.populateRatingCreditDTO(CreditScoreHelper.gs:XXXSTRACERAW:-</t>
  </si>
  <si>
    <t>EMSG:For eligible contact VINCENZO PULLARA credit score is null. Please make sure credit is orderedSTRACE:com.farmers.config.common.credit.CreditScoreHelper.populateRatingCreditDTO(CreditScoreHelper.gs:XXXSTRACERAW:-</t>
  </si>
  <si>
    <t>EMSG:For eligible contact WADE GOODHART credit score is null. Please make sure credit is orderedSTRACE:com.farmers.config.common.credit.CreditScoreHelper.populateRatingCreditDTO(CreditScoreHelper.gs:XXXSTRACERAW:-</t>
  </si>
  <si>
    <t>EMSG:Frantz GilbertSTRACE:com.farmers.config.pa.validator.BrightlineValidator.validateQuoteBrightlineRules(BrightlineValidator.gs:XXXSTRACERAW:-</t>
  </si>
  <si>
    <t>EMSG:Frantz GilbertSTRACE:gw.job.QuoteProcess.requestQuote(QuoteProcess.gs:XXXSTRACERAW:-</t>
  </si>
  <si>
    <t>EMSG:GODFREY EZEIGBOSTRACE:com.farmers.config.pa.validator.BrightlineValidator.validateQuoteBrightlineRules(BrightlineValidator.gs:XXXSTRACERAW:-</t>
  </si>
  <si>
    <t>EMSG:GODFREY EZEIGBOSTRACE:gw.job.QuoteProcess.requestQuote(QuoteProcess.gs:XXXSTRACERAW:-</t>
  </si>
  <si>
    <t>EMSG:HADYA SHIRZAISTRACE:com.farmers.config.pa.validator.BrightlineValidator.validateQuoteBrightlineRules(BrightlineValidator.gs:XXXSTRACERAW:-</t>
  </si>
  <si>
    <t>EMSG:HADYA SHIRZAISTRACE:gw.job.QuoteProcess.requestQuote(QuoteProcess.gs:XXXSTRACERAW:-</t>
  </si>
  <si>
    <t>EMSG:HOPE GRISSOMSTRACE:com.farmers.config.pa.validator.BrightlineValidator.validateQuoteBrightlineRules(BrightlineValidator.gs:XXXSTRACERAW:-</t>
  </si>
  <si>
    <t>EMSG:Helen HallSTRACE:com.farmers.config.pa.validator.BrightlineValidator.validateQuoteBrightlineRules(BrightlineValidator.gs:XXXSTRACERAW:-</t>
  </si>
  <si>
    <t>EMSG:Heng LySTRACE:com.farmers.config.pa.validator.BrightlineValidator.validateQuoteBrightlineRules(BrightlineValidator.gs:XXXSTRACERAW:-</t>
  </si>
  <si>
    <t>EMSG:ISHMAEL JABBIESTRACE:com.farmers.config.pa.validator.BrightlineValidator.validateQuoteBrightlineRules(BrightlineValidator.gs:XXXSTRACERAW:-</t>
  </si>
  <si>
    <t>EMSG:ISHMAEL JABBIESTRACE:gw.job.QuoteProcess.requestQuote(QuoteProcess.gs:XXXSTRACERAW:-</t>
  </si>
  <si>
    <t>EMSG:Index XXX out of bounds for length XXXSTRACE:gw.acc.batch.inbound.InboundBatchUtils.getPayloadValueMapDelimiter(InboundBatchUtils.gs:XXXSTRACERAW:-</t>
  </si>
  <si>
    <t>EMSG:Index XXX out of bounds for length XXXSTRACE:java.base/java.util.ArrayDeque.grow(ArrayDeque.java:XXXSTRACERAW:-</t>
  </si>
  <si>
    <t>EMSG:Internal error: bean entity.EffectiveDatedFields:XXX was not staged for edit.STRACE:deployment.pc.war//com.guidewire.pl.system.bundle.EntityBundleImpl.handleBeanChange(EntityBundleImpl.java:XXXSTRACERAW:-</t>
  </si>
  <si>
    <t>EMSG:Irene C Curry is already a Household Member.STRACE:deployment.pc.war//com.guidewire.pc.domain.policy.period.impl.PolicyPeriodImpl.checkAccountContactIsNotAlreadyAPolicyContactRoleOfType(PolicyPeriodImpl.java:XXXSTRACERAW:-</t>
  </si>
  <si>
    <t>EMSG:JANELLE VALENTINESTRACE:com.farmers.config.pa.validator.BrightlineValidator.validateQuoteBrightlineRules(BrightlineValidator.gs:XXXSTRACERAW:-</t>
  </si>
  <si>
    <t>EMSG:JANELLE VALENTINESTRACE:gw.job.QuoteProcess.requestQuote(QuoteProcess.gs:XXXSTRACERAW:-</t>
  </si>
  <si>
    <t>EMSG:JASON FUENTESSTRACE:com.farmers.config.pa.validator.BrightlineValidator.validateQuoteBrightlineRules(BrightlineValidator.gs:XXXSTRACERAW:-</t>
  </si>
  <si>
    <t>EMSG:JASON FUENTESSTRACE:gw.job.QuoteProcess.requestQuote(QuoteProcess.gs:XXXSTRACERAW:-</t>
  </si>
  <si>
    <t>EMSG:JOSHUA PALMERSTRACE:com.farmers.config.pa.validator.BrightlineValidator.validateQuoteBrightlineRules(BrightlineValidator.gs:XXXSTRACERAW:-</t>
  </si>
  <si>
    <t>EMSG:Jacqueline RandSTRACE:com.farmers.config.pa.validator.BrightlineValidator.validateQuoteBrightlineRules(BrightlineValidator.gs:XXXSTRACERAW:-</t>
  </si>
  <si>
    <t>EMSG:Jacqueline RandSTRACE:gw.job.QuoteProcess.requestQuote(QuoteProcess.gs:XXXSTRACERAW:-</t>
  </si>
  <si>
    <t>EMSG:Jadi GibbsSTRACE:gw.job.QuoteProcess.requestQuote(QuoteProcess.gs:XXXSTRACERAW:-</t>
  </si>
  <si>
    <t>EMSG:James Olsen FelicianoSTRACE:com.farmers.config.pa.validator.BrightlineValidator.validateQuoteBrightlineRules(BrightlineValidator.gs:XXXSTRACERAW:-</t>
  </si>
  <si>
    <t>EMSG:James Olsen FelicianoSTRACE:gw.job.QuoteProcess.requestQuote(QuoteProcess.gs:XXXSTRACERAW:-</t>
  </si>
  <si>
    <t>EMSG:Jeff RutledgeSTRACE:com.farmers.config.pa.validator.BrightlineValidator.validateQuoteBrightlineRules(BrightlineValidator.gs:XXXSTRACERAW:-</t>
  </si>
  <si>
    <t>EMSG:Jeff RutledgeSTRACE:gw.job.QuoteProcess.requestQuote(QuoteProcess.gs:XXXSTRACERAW:-</t>
  </si>
  <si>
    <t>EMSG:Jessica MartilloSTRACE:com.farmers.config.pa.validator.BrightlineValidator.validateQuoteBrightlineRules(BrightlineValidator.gs:XXXSTRACERAW:-</t>
  </si>
  <si>
    <t>EMSG:Jessica MartilloSTRACE:gw.job.QuoteProcess.requestQuote(QuoteProcess.gs:XXXSTRACERAW:-</t>
  </si>
  <si>
    <t>EMSG:Jesus VillarealSTRACE:com.farmers.config.pa.validator.BrightlineValidator.validateQuoteBrightlineRules(BrightlineValidator.gs:XXXSTRACERAW:-</t>
  </si>
  <si>
    <t>EMSG:Jesus VillarealSTRACE:gw.job.QuoteProcess.requestQuote(QuoteProcess.gs:XXXSTRACERAW:-</t>
  </si>
  <si>
    <t>EMSG:Jill ThompsonSTRACE:com.farmers.config.pa.validator.BrightlineValidator.validateQuoteBrightlineRules(BrightlineValidator.gs:XXXSTRACERAW:-</t>
  </si>
  <si>
    <t>EMSG:Jill ThompsonSTRACE:gw.job.QuoteProcess.requestQuote(QuoteProcess.gs:XXXSTRACERAW:-</t>
  </si>
  <si>
    <t>EMSG:Jonily JovanSTRACE:com.farmers.config.pa.validator.BrightlineValidator.validateQuoteBrightlineRules(BrightlineValidator.gs:XXXSTRACERAW:-</t>
  </si>
  <si>
    <t>EMSG:Jonily JovanSTRACE:gw.job.QuoteProcess.requestQuote(QuoteProcess.gs:XXXSTRACERAW:-</t>
  </si>
  <si>
    <t>EMSG:KASSANDRA CHAVEZSTRACE:com.farmers.config.pa.validator.BrightlineValidator.validateQuoteBrightlineRules(BrightlineValidator.gs:XXXSTRACERAW:-</t>
  </si>
  <si>
    <t>EMSG:KASSANDRA CHAVEZSTRACE:gw.job.QuoteProcess.requestQuote(QuoteProcess.gs:XXXSTRACERAW:-</t>
  </si>
  <si>
    <t>EMSG:KENDRA ZABOKRTSKYSTRACE:com.farmers.config.pa.validator.BrightlineValidator.validateQuoteBrightlineRules(BrightlineValidator.gs:XXXSTRACERAW:-</t>
  </si>
  <si>
    <t>EMSG:KENDRA ZABOKRTSKYSTRACE:gw.job.QuoteProcess.requestQuote(QuoteProcess.gs:XXXSTRACERAW:-</t>
  </si>
  <si>
    <t>EMSG:KISHA SCHLOTTERERSTRACE:com.farmers.config.pa.validator.BrightlineValidator.validateQuoteBrightlineRules(BrightlineValidator.gs:XXXSTRACERAW:-</t>
  </si>
  <si>
    <t>EMSG:KISHA SCHLOTTERERSTRACE:gw.job.QuoteProcess.requestQuote(QuoteProcess.gs:XXXSTRACERAW:-</t>
  </si>
  <si>
    <t>EMSG:Karen StorieSTRACE:com.farmers.config.pa.validator.BrightlineValidator.validateQuoteBrightlineRules(BrightlineValidator.gs:XXXSTRACERAW:-</t>
  </si>
  <si>
    <t>EMSG:Karen StorieSTRACE:gw.job.QuoteProcess.requestQuote(QuoteProcess.gs:XXXSTRACERAW:-</t>
  </si>
  <si>
    <t>EMSG:Karen WoodmanseeSTRACE:com.farmers.config.pa.validator.BrightlineValidator.validateQuoteBrightlineRules(BrightlineValidator.gs:XXXSTRACERAW:-</t>
  </si>
  <si>
    <t>EMSG:Kimberlee BrunerSTRACE:com.farmers.config.pa.validator.BrightlineValidator.validateQuoteBrightlineRules(BrightlineValidator.gs:XXXSTRACERAW:-</t>
  </si>
  <si>
    <t>EMSG:Kimberlee BrunerSTRACE:gw.job.QuoteProcess.requestQuote(QuoteProcess.gs:XXXSTRACERAW:-</t>
  </si>
  <si>
    <t>EMSG:Krista GuerreroSTRACE:com.farmers.config.pa.validator.BrightlineValidator.validateQuoteBrightlineRules(BrightlineValidator.gs:XXXSTRACERAW:-</t>
  </si>
  <si>
    <t>EMSG:LESLIE LITTLESTRACE:com.farmers.config.pa.validator.BrightlineValidator.validateQuoteBrightlineRules(BrightlineValidator.gs:XXXSTRACERAW:-</t>
  </si>
  <si>
    <t>EMSG:LESLIE LITTLESTRACE:gw.job.QuoteProcess.requestQuote(QuoteProcess.gs:XXXSTRACERAW:-</t>
  </si>
  <si>
    <t>EMSG:LHPI Ordering Failed due to TimeOut! - [java.lang.RuntimeException: java.net.NoRouteToHostException: No route to host (Host unreachable)]STRACE:java.base/jdk.internal.reflect.GeneratedConstructorAccessorXXX.newInstance(Unknown SourceSTRACERAW:-</t>
  </si>
  <si>
    <t>EMSG:LOIS BRADBURYSTRACE:com.farmers.config.pa.validator.BrightlineValidator.validateQuoteBrightlineRules(BrightlineValidator.gs:XXXSTRACERAW:-</t>
  </si>
  <si>
    <t>EMSG:LUW Policy Change Job XXX: The object you are trying to update was XXXSTRACE:XXX/XXX/XXX XXX:XXX AM. Please cancel and retry your change.
The object you are trying to update was 'Policy:CN:05893194510056XXX - CN:05893194510056XXX', and it was changed by System at XXX/XXX/XXX XXX:XXX AM. Please cancel and retry your change.
	at com.farmers.integ.framework.job.automatejob.AutomatedJob.executeJob(AutomatedJob.gs:XXXSTRACERAW:-</t>
  </si>
  <si>
    <t>EMSG:LUW Policy Change Job XXX: The object you are trying to update was XXXSTRACE:XXX/XXX/XXX XXX:XXX PM. Please cancel and retry your change.
The object you are trying to update was 'Policy:CN:083447842XXX - CN:083447842XXX', and it was changed by System at XXX/XXX/XXX XXX:XXX PM. Please cancel and retry your change.
	at com.farmers.integ.framework.job.automatejob.AutomatedJob.executeJob(AutomatedJob.gs:XXXSTRACERAW:-</t>
  </si>
  <si>
    <t>EMSG:Lander TyroneSTRACE:com.farmers.config.pa.validator.BrightlineValidator.validateQuoteBrightlineRules(BrightlineValidator.gs:XXXSTRACERAW:-</t>
  </si>
  <si>
    <t>EMSG:Lander TyroneSTRACE:gw.job.QuoteProcess.requestQuote(QuoteProcess.gs:XXXSTRACERAW:-</t>
  </si>
  <si>
    <t>EMSG:Lorinda HallSTRACE:com.farmers.config.pa.validator.BrightlineValidator.validateQuoteBrightlineRules(BrightlineValidator.gs:XXXSTRACERAW:-</t>
  </si>
  <si>
    <t>EMSG:MARLEY WITTSTRACE:com.farmers.config.pa.validator.BrightlineValidator.validateQuoteBrightlineRules(BrightlineValidator.gs:XXXSTRACERAW:-</t>
  </si>
  <si>
    <t>EMSG:MARLEY WITTSTRACE:gw.job.QuoteProcess.requestQuote(QuoteProcess.gs:XXXSTRACERAW:-</t>
  </si>
  <si>
    <t>EMSG:MATTHEW ESCOBARSTRACE:com.farmers.config.pa.validator.BrightlineValidator.validateQuoteBrightlineRules(BrightlineValidator.gs:XXXSTRACERAW:-</t>
  </si>
  <si>
    <t>EMSG:MATTHEW ESCOBARSTRACE:gw.job.QuoteProcess.requestQuote(QuoteProcess.gs:XXXSTRACERAW:-</t>
  </si>
  <si>
    <t>EMSG:MELISSA MONTFORT-CRUZSTRACE:com.farmers.config.pa.validator.BrightlineValidator.validateQuoteBrightlineRules(BrightlineValidator.gs:XXXSTRACERAW:-</t>
  </si>
  <si>
    <t>EMSG:MICHAEL FAASSTRACE:com.farmers.config.pa.validator.BrightlineValidator.validateQuoteBrightlineRules(BrightlineValidator.gs:XXXSTRACERAW:-</t>
  </si>
  <si>
    <t>EMSG:MINODORA PASKARSTRACE:com.farmers.config.pa.validator.BrightlineValidator.validateQuoteBrightlineRules(BrightlineValidator.gs:XXXSTRACERAW:-</t>
  </si>
  <si>
    <t>EMSG:MOHAMMED MOUSASTRACE:com.farmers.config.pa.validator.BrightlineValidator.validateQuoteBrightlineRules(BrightlineValidator.gs:XXXSTRACERAW:-</t>
  </si>
  <si>
    <t>EMSG:MVR APP ERROR: INVALID STATE POSTAL CODE for unit XXXBCSTRACE:com.farmers.config.common.mvr.MVRProcess.createCacheFromResponse(MVRProcess.gs:XXXSTRACERAW:-</t>
  </si>
  <si>
    <t>EMSG:MVR Ordering Failed! - [java.lang.RuntimeException: java.net.NoRouteToHostException: No route to host (Host unreachable)]STRACE:com.farmers.config.common.mvr.MVRProcess.orderMVR(MVRProcess.gs:XXXSTRACERAW:-</t>
  </si>
  <si>
    <t>EMSG:MVR Ordering Failed! - [java.lang.RuntimeException: javax.net.ssl.SSLException: Connection reset]STRACE:com.farmers.config.common.mvr.MVRProcess.orderMVR(MVRProcess.gs:XXXSTRACERAW:-</t>
  </si>
  <si>
    <t>EMSG:MVR interactive unavailableSTRACE:com.farmers.config.common.mvr.MVRProcess.createCacheFromResponse(MVRProcess.gs:XXXSTRACERAW:-</t>
  </si>
  <si>
    <t>EMSG:Makayla HaasjesSTRACE:com.farmers.config.pa.validator.BrightlineValidator.validateQuoteBrightlineRules(BrightlineValidator.gs:XXXSTRACERAW:-</t>
  </si>
  <si>
    <t>EMSG:Makayla HaasjesSTRACE:gw.job.QuoteProcess.requestQuote(QuoteProcess.gs:XXXSTRACERAW:-</t>
  </si>
  <si>
    <t>EMSG:Makayla LewisSTRACE:com.farmers.config.pa.validator.BrightlineValidator.validateQuoteBrightlineRules(BrightlineValidator.gs:XXXSTRACERAW:-</t>
  </si>
  <si>
    <t>EMSG:Martha FloresSTRACE:com.farmers.config.pa.validator.BrightlineValidator.validateQuoteBrightlineRules(BrightlineValidator.gs:XXXSTRACERAW:-</t>
  </si>
  <si>
    <t>EMSG:Martha FloresSTRACE:gw.job.QuoteProcess.requestQuote(QuoteProcess.gs:XXXSTRACERAW:-</t>
  </si>
  <si>
    <t>EMSG:Melinda MilesSTRACE:com.farmers.config.pa.validator.BrightlineValidator.validateQuoteBrightlineRules(BrightlineValidator.gs:XXXSTRACERAW:-</t>
  </si>
  <si>
    <t>EMSG:Melinda MilesSTRACE:gw.job.QuoteProcess.requestQuote(QuoteProcess.gs:XXXSTRACERAW:-</t>
  </si>
  <si>
    <t>EMSG:Melissa LarnedSTRACE:com.farmers.config.pa.validator.BrightlineValidator.validateQuoteBrightlineRules(BrightlineValidator.gs:XXXSTRACERAW:-</t>
  </si>
  <si>
    <t>EMSG:Melissa LarnedSTRACE:gw.job.QuoteProcess.requestQuote(QuoteProcess.gs:XXXSTRACERAW:-</t>
  </si>
  <si>
    <t>EMSG:Message Exceeded Maximum RetriesSTRACE:-STRACERAW:</t>
  </si>
  <si>
    <t>EMSG:Mike TranerSTRACE:com.farmers.config.pa.validator.BrightlineValidator.validateQuoteBrightlineRules(BrightlineValidator.gs:XXXSTRACERAW:-</t>
  </si>
  <si>
    <t>EMSG:NISHA ADAMSSTRACE:com.farmers.config.pa.validator.BrightlineValidator.validateQuoteBrightlineRules(BrightlineValidator.gs:XXXSTRACERAW:-</t>
  </si>
  <si>
    <t>EMSG:NISHA ADAMSSTRACE:gw.job.QuoteProcess.requestQuote(QuoteProcess.gs:XXXSTRACERAW:-</t>
  </si>
  <si>
    <t>EMSG:NNAEMEKA OKPALASTRACE:com.farmers.config.pa.validator.BrightlineValidator.validateQuoteBrightlineRules(BrightlineValidator.gs:XXXSTRACERAW:-</t>
  </si>
  <si>
    <t>EMSG:NNAEMEKA OKPALASTRACE:gw.job.QuoteProcess.requestQuote(QuoteProcess.gs:XXXSTRACERAW:-</t>
  </si>
  <si>
    <t>EMSG:Neil FritschSTRACE:com.farmers.config.pa.validator.BrightlineValidator.validateQuoteBrightlineRules(BrightlineValidator.gs:XXXSTRACERAW:-</t>
  </si>
  <si>
    <t>EMSG:Neil FritschSTRACE:gw.job.QuoteProcess.requestQuote(QuoteProcess.gs:XXXSTRACERAW:-</t>
  </si>
  <si>
    <t>EMSG:Nikhil GoyalSTRACE:com.farmers.config.pa.validator.BrightlineValidator.validateQuoteBrightlineRules(BrightlineValidator.gs:XXXSTRACERAW:-</t>
  </si>
  <si>
    <t>EMSG:Nikhil GoyalSTRACE:gw.job.QuoteProcess.requestQuote(QuoteProcess.gs:XXXSTRACERAW:-</t>
  </si>
  <si>
    <t>EMSG:One of the call to the exernal services has failedSTRACE:com.farmers.config.pa.adpf.ParallelServiceExecutor.parallelExecutor(ParallelServiceExecutor.gs:XXXSTRACERAW:-</t>
  </si>
  <si>
    <t>EMSG:One or more null constraint violations detected for PolicyAddlNamedInsuredSTRACE:deployment.pc.war//com.guidewire.pl.system.database.entitywriter.DatabaseEntityWriterImpl.checkForNullConstraintViolation(DatabaseEntityWriterImpl.java:XXXSTRACERAW:-</t>
  </si>
  <si>
    <t>EMSG:One or more null constraint violations detected for PolicyAddressSTRACE:deployment.pc.war//com.guidewire.pl.system.database.entitywriter.DatabaseEntityWriterImpl.checkForNullConstraintViolation(DatabaseEntityWriterImpl.java:XXXSTRACERAW:-</t>
  </si>
  <si>
    <t>EMSG:PARHAM SINAI is already a Household Member.STRACE:deployment.pc.war//com.guidewire.pc.domain.policy.period.impl.PolicyPeriodImpl.checkAccountContactIsNotAlreadyAPolicyContactRoleOfType(PolicyPeriodImpl.java:XXXSTRACERAW:-</t>
  </si>
  <si>
    <t>EMSG:PIA C CROSBY is already a Household Member.STRACE:deployment.pc.war//com.guidewire.pc.domain.policy.period.impl.PolicyPeriodImpl.checkAccountContactIsNotAlreadyAPolicyContactRoleOfType(PolicyPeriodImpl.java:XXXSTRACERAW:-</t>
  </si>
  <si>
    <t>EMSG:Paulo GarciaSTRACE:com.farmers.config.pa.validator.BrightlineValidator.validateQuoteBrightlineRules(BrightlineValidator.gs:XXXSTRACERAW:-</t>
  </si>
  <si>
    <t>EMSG:Paulo GarciaSTRACE:gw.job.QuoteProcess.requestQuote(QuoteProcess.gs:XXXSTRACERAW:-</t>
  </si>
  <si>
    <t>EMSG:PeriodAnswer with FixedID:XXX and window XXXSTRACE:deployment.pc.war//com.guidewire.pl.system.entity.proxy.EffDatedVersionListImpl.lambda$isNonOverlapping$XXX(EffDatedVersionListImpl.java:XXXSTRACERAW:-</t>
  </si>
  <si>
    <t>EMSG:Peter RomeroSTRACE:com.farmers.config.pa.validator.BrightlineValidator.validateQuoteBrightlineRules(BrightlineValidator.gs:XXXSTRACERAW:-</t>
  </si>
  <si>
    <t>EMSG:Peter RomeroSTRACE:gw.job.QuoteProcess.requestQuote(QuoteProcess.gs:XXXSTRACERAW:-</t>
  </si>
  <si>
    <t>EMSG:Policy is not eligible for new Auto Product due to driver with a foreign driverâ€™s license. Drivers with a foreign driverâ€™s license may be excluded by request in CO.STRACE:com.farmers.config.pa.validator.BrightlineValidator.validateQuoteBrightlineRules(BrightlineValidator.gs:XXXSTRACERAW:-</t>
  </si>
  <si>
    <t>EMSG:Policy not found for STRACE:com.farmers.edge.capabilities.policy.lob.personalauto.eligibility.plugins.PAEligibilityServicePlugin.checkCustomerPolicyChangeEligibility(PAEligibilityServicePlugin.gs:XXXSTRACERAW:-</t>
  </si>
  <si>
    <t>EMSG:RENE GARCIASTRACE:com.farmers.config.pa.validator.BrightlineValidator.validateQuoteBrightlineRules(BrightlineValidator.gs:XXXSTRACERAW:-</t>
  </si>
  <si>
    <t>EMSG:RHONDA WAGONERSTRACE:com.farmers.config.pa.validator.BrightlineValidator.validateQuoteBrightlineRules(BrightlineValidator.gs:XXXSTRACERAW:-</t>
  </si>
  <si>
    <t>EMSG:Rebekah SmettersSTRACE:com.farmers.config.pa.validator.BrightlineValidator.validateQuoteBrightlineRules(BrightlineValidator.gs:XXXSTRACERAW:-</t>
  </si>
  <si>
    <t>EMSG:Rebekah SmettersSTRACE:gw.job.QuoteProcess.requestQuote(QuoteProcess.gs:XXXSTRACERAW:-</t>
  </si>
  <si>
    <t>EMSG:Reiley Ann Collier is already a Household Member.STRACE:deployment.pc.war//com.guidewire.pc.domain.policy.period.impl.PolicyPeriodImpl.checkAccountContactIsNotAlreadyAPolicyContactRoleOfType(PolicyPeriodImpl.java:XXXSTRACERAW:-</t>
  </si>
  <si>
    <t>EMSG:Remove Donovan Hailstone in order to add the contact as a driverSTRACE:edge.capabilities.policychange.lob.personalauto.coverables.DefaultPaCoverablePlugin.updateCoverables(DefaultPaCoverablePlugin.gs:XXXSTRACERAW:-</t>
  </si>
  <si>
    <t>EMSG:Remove Prior Auto Flex  Policy # as prior policy is out of force for more than XXX days.STRACE:com.farmers.config.decliningdeductible.PAFlexDecliningDeductibleHelper.validateErrorMessages(PAFlexDecliningDeductibleHelper.gs:XXXSTRACERAW:-</t>
  </si>
  <si>
    <t>EMSG:Remove William Swett in order to add the contact as a driverSTRACE:edge.capabilities.policychange.lob.personalauto.coverables.DefaultPaCoverablePlugin.updateCoverables(DefaultPaCoverablePlugin.gs:XXXSTRACERAW:-</t>
  </si>
  <si>
    <t>EMSG:Remove duplicate driver Brenda Thomas. Two or more non-drivers with the same information exist.STRACE:edge.capabilities.policychange.lob.personalauto.coverables.DefaultPaCoverablePlugin.updateCoverables(DefaultPaCoverablePlugin.gs:XXXSTRACERAW:-</t>
  </si>
  <si>
    <t>EMSG:Remove duplicate driver Bryan Bright. Two or more non-drivers with the same information exist.STRACE:edge.capabilities.policychange.lob.personalauto.coverables.DefaultPaCoverablePlugin.updateCoverables(DefaultPaCoverablePlugin.gs:XXXSTRACERAW:-</t>
  </si>
  <si>
    <t>EMSG:Remove duplicate driver Charles Zhou. Two or more drivers with the same information exist.STRACE:edge.capabilities.policychange.lob.personalauto.coverables.DefaultPaCoverablePlugin.updateCoverables(DefaultPaCoverablePlugin.gs:XXXSTRACERAW:-</t>
  </si>
  <si>
    <t>EMSG:Remove duplicate driver Cristian Amaya Vasquez. Two or more non-drivers with the same information exist.STRACE:edge.capabilities.policychange.lob.personalauto.coverables.DefaultPaCoverablePlugin.updateCoverables(DefaultPaCoverablePlugin.gs:XXXSTRACERAW:-</t>
  </si>
  <si>
    <t>EMSG:Remove duplicate driver Fidel Sedano Grajeda. Two or more non-drivers with the same information exist.STRACE:edge.capabilities.policychange.lob.personalauto.coverables.DefaultPaCoverablePlugin.updateCoverables(DefaultPaCoverablePlugin.gs:XXXSTRACERAW:-</t>
  </si>
  <si>
    <t>EMSG:Remove duplicate driver Gustavo Tarin Vasquez. Two or more drivers with the same information exist.STRACE:edge.capabilities.policychange.lob.personalauto.coverables.DefaultPaCoverablePlugin.updateCoverables(DefaultPaCoverablePlugin.gs:XXXSTRACERAW:-</t>
  </si>
  <si>
    <t>EMSG:Remove duplicate driver Travis Nelson. Two or more drivers with the same information exist.STRACE:edge.capabilities.policychange.lob.personalauto.coverables.DefaultPaCoverablePlugin.updateCoverables(DefaultPaCoverablePlugin.gs:XXXSTRACERAW:-</t>
  </si>
  <si>
    <t>EMSG:Remove duplicate driver Wesley Ching. Two or more non-drivers with the same information exist.STRACE:edge.capabilities.policychange.lob.personalauto.coverables.DefaultPaCoverablePlugin.updateCoverables(DefaultPaCoverablePlugin.gs:XXXSTRACERAW:-</t>
  </si>
  <si>
    <t>EMSG:Renee EldridgeSTRACE:com.farmers.config.pa.validator.BrightlineValidator.validateQuoteBrightlineRules(BrightlineValidator.gs:XXXSTRACERAW:-</t>
  </si>
  <si>
    <t>EMSG:Renee EldridgeSTRACE:gw.job.QuoteProcess.requestQuote(QuoteProcess.gs:XXXSTRACERAW:-</t>
  </si>
  <si>
    <t>EMSG:Rex DelgadoSTRACE:com.farmers.config.pa.validator.BrightlineValidator.validateQuoteBrightlineRules(BrightlineValidator.gs:XXXSTRACERAW:-</t>
  </si>
  <si>
    <t>EMSG:Rex DelgadoSTRACE:gw.job.QuoteProcess.requestQuote(QuoteProcess.gs:XXXSTRACERAW:-</t>
  </si>
  <si>
    <t>EMSG:Ricky LuceroSTRACE:com.farmers.config.pa.validator.BrightlineValidator.validateQuoteBrightlineRules(BrightlineValidator.gs:XXXSTRACERAW:-</t>
  </si>
  <si>
    <t>EMSG:Ricky LuceroSTRACE:gw.job.QuoteProcess.requestQuote(QuoteProcess.gs:XXXSTRACERAW:-</t>
  </si>
  <si>
    <t>EMSG:Ronald RichardsonSTRACE:com.farmers.config.pa.validator.BrightlineValidator.validateQuoteBrightlineRules(BrightlineValidator.gs:XXXSTRACERAW:-</t>
  </si>
  <si>
    <t>EMSG:Ronald RichardsonSTRACE:gw.job.QuoteProcess.requestQuote(QuoteProcess.gs:XXXSTRACERAW:-</t>
  </si>
  <si>
    <t>EMSG:Ronnie StallworthSTRACE:com.farmers.config.pa.validator.BrightlineValidator.validateQuoteBrightlineRules(BrightlineValidator.gs:XXXSTRACERAW:-</t>
  </si>
  <si>
    <t>EMSG:Ronnie StallworthSTRACE:gw.job.QuoteProcess.requestQuote(QuoteProcess.gs:XXXSTRACERAW:-</t>
  </si>
  <si>
    <t>EMSG:Ruth IrelandSTRACE:com.farmers.config.pa.validator.BrightlineValidator.validateQuoteBrightlineRules(BrightlineValidator.gs:XXXSTRACERAW:-</t>
  </si>
  <si>
    <t>EMSG:Ruth IrelandSTRACE:gw.job.QuoteProcess.requestQuote(QuoteProcess.gs:XXXSTRACERAW:-</t>
  </si>
  <si>
    <t>EMSG:SCOTT MAGRUDERSTRACE:com.farmers.config.pa.validator.BrightlineValidator.validateQuoteBrightlineRules(BrightlineValidator.gs:XXXSTRACERAW:-</t>
  </si>
  <si>
    <t>EMSG:SCOTT MAGRUDERSTRACE:gw.job.QuoteProcess.requestQuote(QuoteProcess.gs:XXXSTRACERAW:-</t>
  </si>
  <si>
    <t>EMSG:SHERLY HUYNHSTRACE:com.farmers.config.pa.validator.BrightlineValidator.validateQuoteBrightlineRules(BrightlineValidator.gs:XXXSTRACERAW:-</t>
  </si>
  <si>
    <t>EMSG:SHONTARIA RANDLESSTRACE:com.farmers.config.pa.validator.BrightlineValidator.validateQuoteBrightlineRules(BrightlineValidator.gs:XXXSTRACERAW:-</t>
  </si>
  <si>
    <t>EMSG:SUJANA KADIYALASTRACE:com.farmers.config.pa.validator.BrightlineValidator.validateQuoteBrightlineRules(BrightlineValidator.gs:XXXSTRACERAW:-</t>
  </si>
  <si>
    <t>EMSG:SUJANA KADIYALASTRACE:gw.job.QuoteProcess.requestQuote(QuoteProcess.gs:XXXSTRACERAW:-</t>
  </si>
  <si>
    <t>EMSG:SUZANNE BRINKMANNSTRACE:com.farmers.config.pa.validator.BrightlineValidator.validateQuoteBrightlineRules(BrightlineValidator.gs:XXXSTRACERAW:-</t>
  </si>
  <si>
    <t>EMSG:Samantha JaimeSTRACE:com.farmers.config.pa.validator.BrightlineValidator.validateQuoteBrightlineRules(BrightlineValidator.gs:XXXSTRACERAW:-</t>
  </si>
  <si>
    <t>EMSG:Samantha JaimeSTRACE:gw.job.QuoteProcess.requestQuote(QuoteProcess.gs:XXXSTRACERAW:-</t>
  </si>
  <si>
    <t>EMSG:Shamael HarrisSTRACE:com.farmers.config.pa.validator.BrightlineValidator.validateQuoteBrightlineRules(BrightlineValidator.gs:XXXSTRACERAW:-</t>
  </si>
  <si>
    <t>EMSG:Shamael HarrisSTRACE:gw.job.QuoteProcess.requestQuote(QuoteProcess.gs:XXXSTRACERAW:-</t>
  </si>
  <si>
    <t>EMSG:Sidney DaugaardSTRACE:com.farmers.config.pa.validator.BrightlineValidator.validateQuoteBrightlineRules(BrightlineValidator.gs:XXXSTRACERAW:-</t>
  </si>
  <si>
    <t>EMSG:Sidney DaugaardSTRACE:gw.job.QuoteProcess.requestQuote(QuoteProcess.gs:XXXSTRACERAW:-</t>
  </si>
  <si>
    <t>EMSG:Slice date XXX outside of range XXX for XXX XXX bean of type PolicyDriverSTRACE:deployment.pc.war//com.guidewire.pl.system.entity.proxy.EffDatedBaseProxy.getSliceUntyped(EffDatedBaseProxy.java:XXXSTRACERAW:-</t>
  </si>
  <si>
    <t>EMSG:Slice date XXX outside of range XXX for XXX XXX bean of type PolicyPeriodSTRACE:Aug XXX XXX:XXX:XXX PDT XXX - Mon Feb XXX XXX:XXX:XXX PST XXX] for bean of type PolicyPeriod
	at deployment.pc.war//com.guidewire.pl.system.entity.proxy.EffDatedBaseProxy.getSliceUntyped(EffDatedBaseProxy.java:XXXSTRACERAW:-</t>
  </si>
  <si>
    <t>EMSG:Slice date XXX outside of range XXX for XXX XXX bean of type TerritoryCodeSTRACE:Jan XXX XXX:XXX:XXX PST XXX - Sun Jun XXX XXX:XXX:XXX PDT XXX] for bean of type TerritoryCode
	at deployment.pc.war//com.guidewire.pl.system.entity.proxy.EffDatedBaseProxy.getSliceUntyped(EffDatedBaseProxy.java:XXXSTRACERAW:-</t>
  </si>
  <si>
    <t>EMSG:Stale Days is not defined in the system tables for state - AlbertaSTRACE:com.farmers.config.common.caching.dao.CustomerDAO.getReportStaleDays(CustomerDAO.gs:XXXSTRACERAW:-</t>
  </si>
  <si>
    <t>EMSG:Stale Days is not defined in the system tables for state - DelawareSTRACE:com.farmers.config.common.caching.dao.CustomerDAO.getReportStaleDays(CustomerDAO.gs:XXXSTRACERAW:-</t>
  </si>
  <si>
    <t>EMSG:Stale Days is not defined in the system tables for state - New YorkSTRACE:com.farmers.config.common.caching.dao.CustomerDAO.getReportStaleDays(CustomerDAO.gs:XXXSTRACERAW:-</t>
  </si>
  <si>
    <t>EMSG:Stale Days is not defined in the system tables for state - OntarioSTRACE:com.farmers.config.common.caching.dao.CustomerDAO.getReportStaleDays(CustomerDAO.gs:XXXSTRACERAW:-</t>
  </si>
  <si>
    <t>EMSG:TERRY HORTMANSTRACE:com.farmers.config.pa.validator.BrightlineValidator.validateQuoteBrightlineRules(BrightlineValidator.gs:XXXSTRACERAW:-</t>
  </si>
  <si>
    <t>EMSG:THEODORA DAVIS- WILLIAMSSTRACE:com.farmers.config.pa.validator.BrightlineValidator.validateQuoteBrightlineRules(BrightlineValidator.gs:XXXSTRACERAW:-</t>
  </si>
  <si>
    <t>EMSG:THEODORA DAVIS- WILLIAMSSTRACE:gw.job.QuoteProcess.requestQuote(QuoteProcess.gs:XXXSTRACERAW:-</t>
  </si>
  <si>
    <t>EMSG:TRIP BREAUXSTRACE:com.farmers.config.pa.validator.BrightlineValidator.validateQuoteBrightlineRules(BrightlineValidator.gs:XXXSTRACERAW:-</t>
  </si>
  <si>
    <t>EMSG:Teresa AldereteSTRACE:com.farmers.config.pa.validator.BrightlineValidator.validateQuoteBrightlineRules(BrightlineValidator.gs:XXXSTRACERAW:-</t>
  </si>
  <si>
    <t>EMSG:Teresa AldereteSTRACE:gw.job.QuoteProcess.requestQuote(QuoteProcess.gs:XXXSTRACERAW:-</t>
  </si>
  <si>
    <t>EMSG:The effective date of this transaction exceeds the maximum number of retroactive days permitted. Please edit the effective date to proceed with this quote.;STRACE:edge.capabilities.quote.submission.quoting.util.SubmissionUnderwritingIssuesUtil.checkVerifyRateExceptions(SubmissionUnderwritingIssuesUtil.gs:XXXSTRACERAW:-</t>
  </si>
  <si>
    <t>EMSG:The object you are trying to update was XXXSTRACE:at XXX/XXX/XXX XXX:XXX PM. Please cancel and retry your change.
	at edge.capabilities.quote.submission.GatewayQuoteHandler.handleOrThrowException(GatewayQuoteHandler.gs:XXXSTRACERAW:-</t>
  </si>
  <si>
    <t>EMSG:The value "AMIR SHALOM &amp; KIMBERLY SHALOMSTRACE:deployment.pc.war//gw.datatype.impl.StringConstraintsHandlerBase.validateStringLength(StringConstraintsHandlerBase.java:XXXSTRACERAW:-</t>
  </si>
  <si>
    <t>EMSG:The value "IRADJ NAZARIANSTRACE:deployment.pc.war//gw.datatype.impl.StringConstraintsHandlerBase.validateStringLength(StringConstraintsHandlerBase.java:XXXSTRACERAW:-</t>
  </si>
  <si>
    <t>EMSG:The value "JASON ANDREW SOKOL AND NICOLE DOVE SOKOL TRUSTEESSTRACE:deployment.pc.war//gw.datatype.impl.StringConstraintsHandlerBase.validateStringLength(StringConstraintsHandlerBase.java:XXXSTRACERAW:-</t>
  </si>
  <si>
    <t>EMSG:The value "JOHN K. GRENFELL AND CAROL GRENFELLSTRACE:deployment.pc.war//gw.datatype.impl.StringConstraintsHandlerBase.validateStringLength(StringConstraintsHandlerBase.java:XXXSTRACERAW:-</t>
  </si>
  <si>
    <t>EMSG:The value "LORETTA EICK FAMILY TRUSTSTRACE:deployment.pc.war//gw.datatype.impl.StringConstraintsHandlerBase.validateStringLength(StringConstraintsHandlerBase.java:XXXSTRACERAW:-</t>
  </si>
  <si>
    <t>EMSG:The value "LUW Policy Change Job XXX: The object you are trying to update was XXXSTRACE:XXX/XXX/XXX XXX:XXX PM. Please cancel and retry your change.
The object you are trying to update was 'Policy:CN:0969905962009XXX - CN:0969905962009XXX', and it was changed by LUW u at XXX/XXX/XXX XXX:XXX PM. Please cancel and retry your change." is not formatted correctly for the field "Comments": Exceeds the maximum length of XXX characters (XXXSTRACERAW:-</t>
  </si>
  <si>
    <t>EMSG:The value "LUW Policy Change Job XXX: The object you are trying to update was XXXSTRACE:XXX/XXX/XXX XXX:XXX PM. Please cancel and retry your change.
The object you are trying to update was 'Policy:pc:XXX - pc:XXX', and it was changed by System at XXX/XXX/XXX XXX:XXX PM. Please cancel and retry your change." is not formatted correctly for the field "Comments": Exceeds the maximum length of XXX characters (XXXSTRACERAW:-</t>
  </si>
  <si>
    <t>EMSG:The value "MICHAEL L. MCKOYSTRACE:deployment.pc.war//gw.datatype.impl.StringConstraintsHandlerBase.validateStringLength(StringConstraintsHandlerBase.java:XXXSTRACERAW:-</t>
  </si>
  <si>
    <t>EMSG:The value "MOIRA ZUCKERSTRACE:deployment.pc.war//gw.datatype.impl.StringConstraintsHandlerBase.validateStringLength(StringConstraintsHandlerBase.java:XXXSTRACERAW:-</t>
  </si>
  <si>
    <t>EMSG:The value "PAUL FRANK RAGO  AND LINA RAGOSTRACE:deployment.pc.war//gw.datatype.impl.StringConstraintsHandlerBase.validateStringLength(StringConstraintsHandlerBase.java:XXXSTRACERAW:-</t>
  </si>
  <si>
    <t>EMSG:The value "PAWAN K GARG &amp; KRISHNA GARGSTRACE:deployment.pc.war//gw.datatype.impl.StringConstraintsHandlerBase.validateStringLength(StringConstraintsHandlerBase.java:XXXSTRACERAW:-</t>
  </si>
  <si>
    <t>EMSG:The value "ROBERT &amp; NELLY HOFFMAN XXXSTRACE:deployment.pc.war//gw.datatype.impl.StringConstraintsHandlerBase.validateStringLength(StringConstraintsHandlerBase.java:XXXSTRACERAW:-</t>
  </si>
  <si>
    <t>EMSG:The value "ROBERT AND NELLY HOFFMAN XXXSTRACE:deployment.pc.war//gw.datatype.impl.StringConstraintsHandlerBase.validateStringLength(StringConstraintsHandlerBase.java:XXXSTRACERAW:-</t>
  </si>
  <si>
    <t>EMSG:The value "ROBERTA J ROBINSON &amp; DANIEL J. WILSONSTRACE:deployment.pc.war//gw.datatype.impl.StringConstraintsHandlerBase.validateStringLength(StringConstraintsHandlerBase.java:XXXSTRACERAW:-</t>
  </si>
  <si>
    <t>EMSG:The value "ROD A. RENTERIASTRACE:deployment.pc.war//gw.datatype.impl.StringConstraintsHandlerBase.validateStringLength(StringConstraintsHandlerBase.java:XXXSTRACERAW:-</t>
  </si>
  <si>
    <t>EMSG:The value "RODGER L. EMBURY AND CAROLYN EMBURYSTRACE:deployment.pc.war//gw.datatype.impl.StringConstraintsHandlerBase.validateStringLength(StringConstraintsHandlerBase.java:XXXSTRACERAW:-</t>
  </si>
  <si>
    <t>EMSG:The value "SAM C.QIAN &amp; YEN A.LAMSTRACE:deployment.pc.war//gw.datatype.impl.StringConstraintsHandlerBase.validateStringLength(StringConstraintsHandlerBase.java:XXXSTRACERAW:-</t>
  </si>
  <si>
    <t>EMSG:The value "STEVEN O SABIN AND KATYRYN LEE SABIN TRUSTEESSTRACE:deployment.pc.war//gw.datatype.impl.StringConstraintsHandlerBase.validateStringLength(StringConstraintsHandlerBase.java:XXXSTRACERAW:-</t>
  </si>
  <si>
    <t>EMSG:The value "THE PING LI AND MINGLEI YANG REVOCABLE TRUST DATED AUGUST XXXSTRACE:deployment.pc.war//gw.datatype.impl.StringConstraintsHandlerBase.validateStringLength(StringConstraintsHandlerBase.java:XXXSTRACERAW:-</t>
  </si>
  <si>
    <t>EMSG:The value "WIL &amp; ANNE WHEATONSTRACE:deployment.pc.war//gw.datatype.impl.StringConstraintsHandlerBase.validateStringLength(StringConstraintsHandlerBase.java:XXXSTRACERAW:-</t>
  </si>
  <si>
    <t>EMSG:The value XXX is not formatted correctly for the field "Comments": Exceeds the maximum length of XXX characters (XXX)STRACE:deployment.pc.war//gw.datatype.impl.StringConstraintsHandlerBase.validateStringLength(StringConstraintsHandlerBase.java:XXXSTRACERAW:-</t>
  </si>
  <si>
    <t>EMSG:The value XXX is not formatted correctly for the field "FutureUMInelgLimit": Exceeds the maximum length of XXX characters (XXX)STRACE:deployment.pc.war//gw.datatype.impl.StringConstraintsHandlerBase.validateStringLength(StringConstraintsHandlerBase.java:XXXSTRACERAW:-</t>
  </si>
  <si>
    <t>EMSG:The value XXX is not formatted correctly for the field "InteriorAvgHeight": Exceeds the scale of XXXSTRACE:deployment.pc.war//gw.datatype.impl.DecimalConstraintsHandlerBase.failCheckScale(DecimalConstraintsHandlerBase.java:XXXSTRACERAW:-</t>
  </si>
  <si>
    <t>EMSG:There is no tier for credit model 'PAM'STRACE:com.farmers.rating.pa.param.PAParameterAdapter.fetchCreditTier(PAParameterAdapter.gs:XXXSTRACERAW:-</t>
  </si>
  <si>
    <t>EMSG:Thomas FloresSTRACE:com.farmers.config.pa.validator.BrightlineValidator.validateQuoteBrightlineRules(BrightlineValidator.gs:XXXSTRACERAW:-</t>
  </si>
  <si>
    <t>EMSG:Thomas FloresSTRACE:gw.job.QuoteProcess.requestQuote(QuoteProcess.gs:XXXSTRACERAW:-</t>
  </si>
  <si>
    <t>EMSG:Troy GraySTRACE:com.farmers.config.pa.validator.BrightlineValidator.validateQuoteBrightlineRules(BrightlineValidator.gs:XXXSTRACERAW:-</t>
  </si>
  <si>
    <t>EMSG:Troy GraySTRACE:gw.job.QuoteProcess.requestQuote(QuoteProcess.gs:XXXSTRACERAW:-</t>
  </si>
  <si>
    <t>EMSG:Try again later. Equifax credit reporting is unavailable.STRACE:com.farmers.config.common.credit.pa.PACreditScoreProcess.createCreditReportData(PACreditScoreProcess.gs:XXXSTRACERAW:-</t>
  </si>
  <si>
    <t>EMSG:Unparseable date: "Fix UPN"STRACE:java.base/java.text.DateFormat.parse(DateFormat.java:XXXSTRACERAW:-</t>
  </si>
  <si>
    <t>EMSG:Update Signal Phone number for Pablo Del Rio. Each driver enrolled in the Signal program needs a unique cell phone number.;Update Signal Phone number for Mary Del Rio. Each driver enrolled in the Signal program needs a unique cell phone number.;STRACE:edge.capabilities.quote.submission.quoting.util.SubmissionUnderwritingIssuesUtil.checkVerifyRateExceptions(SubmissionUnderwritingIssuesUtil.gs:XXXSTRACERAW:-</t>
  </si>
  <si>
    <t>EMSG:VY HOSTRACE:com.farmers.config.pa.validator.BrightlineValidator.validateQuoteBrightlineRules(BrightlineValidator.gs:XXXSTRACERAW:-</t>
  </si>
  <si>
    <t>EMSG:WENDY KAMMERSTRACE:com.farmers.config.pa.validator.BrightlineValidator.validateQuoteBrightlineRules(BrightlineValidator.gs:XXXSTRACERAW:-</t>
  </si>
  <si>
    <t>EMSG:WENDY KAMMERSTRACE:gw.job.QuoteProcess.requestQuote(QuoteProcess.gs:XXXSTRACERAW:-</t>
  </si>
  <si>
    <t>EMSG:William BurkhalterSTRACE:com.farmers.config.pa.validator.BrightlineValidator.validateQuoteBrightlineRules(BrightlineValidator.gs:XXXSTRACERAW:-</t>
  </si>
  <si>
    <t>EMSG:William BurkhalterSTRACE:gw.job.QuoteProcess.requestQuote(QuoteProcess.gs:XXXSTRACERAW:-</t>
  </si>
  <si>
    <t>EMSG:William PerkinsSTRACE:com.farmers.config.pa.validator.BrightlineValidator.validateQuoteBrightlineRules(BrightlineValidator.gs:XXXSTRACERAW:-</t>
  </si>
  <si>
    <t>EMSG:Willie NelsonSTRACE:com.farmers.config.pa.validator.BrightlineValidator.validateQuoteBrightlineRules(BrightlineValidator.gs:XXXSTRACERAW:-</t>
  </si>
  <si>
    <t>EMSG:Willie NelsonSTRACE:gw.job.QuoteProcess.requestQuote(QuoteProcess.gs:XXXSTRACERAW:-</t>
  </si>
  <si>
    <t>EMSG:XXX BMW XXXX XXXD XXXWD XDRIVE XXXI in Colorado: Coverage is on Comprehensive is now available and its value must be verified by the user.; XXX BMW XXXX XXXD XXXWD XDRIVE XXXI in Colorado: Coverage is on Collision is now available and its value must be verified by the user.; XXX BMW XXXX XXXD XXXWD XDRIVE XXXI in Colorado: Coverage is on Roadside Assistance is now available and its value must be verified by the user.; XXX BMW XXXX XXXD XXXWD XDRIVE XXXI in Colorado: Coverage is on Rental Alternative is now available and its value must be verified by the user.; XXX BMW XXXX XXXD XXXWD XDRIVE XXXI in Colorado: Coverage is on $XXX Glass Deductible is now available and its value must be verified by the user.; XXX BMW XXX XI XXXD XXXWD in Colorado: Coverage is on Comprehensive is now available and its value must be verified by the user.; XXX BMW XXX XI XXXD XXXWD in Colorado: Coverage is on Collision is now available and its value must be verified by the user.; XXX BMW XXX XI XXXD XXXâ€¦</t>
  </si>
  <si>
    <t>EMSG:XXX BMW XXXX XXXD XXXWD XDRIVE XXXI in Colorado: Coverage is on Comprehensive is now available and its value must be verified by the user.; XXX BMW XXXX XXXD XXXWD XDRIVE XXXI in Colorado: Coverage is on Collision is now available and its value must be verified by the user.; XXX BMW XXXX XXXD XXXWD XDRIVE XXXI in Colorado: Coverage is on Roadside Assistance is now available and its value must be verified by the user.; XXX BMW XXXX XXXD XXXWD XDRIVE XXXI in Colorado: Coverage is on Rental Alternative is now available and its value must be verified by the user.; XXX BMW XXXX XXXD XXXWD XDRIVE XXXI in Colorado: Coverage is on $XXX Glass Deductible is now available and its value must be verified by the user.; XXX HONDA RIDGELINE PICKUP XXXWD RTL-E in Colorado: Coverage is on Comprehensive is now available and its value must be verified by the user.; XXX HONDA RIDGELINE PICKUP XXXWD RTL-E in Colorado: Coverage is on Collision is now available and its value must be verified by the userâ€¦</t>
  </si>
  <si>
    <t>EMSG:XXX BUICK ENCORE GX XXXD XXXWD PREFERRED in Colorado: Coverage is on Comprehensive is now available and its value must be verified by the user.; XXX BUICK ENCORE GX XXXD XXXWD PREFERRED in Colorado: Coverage is on Collision is now available and its value must be verified by the user.; XXX BUICK ENCORE GX XXXD XXXWD PREFERRED in Colorado: Coverage is on Roadside Assistance is now available and its value must be verified by the user.; XXX BUICK ENCORE GX XXXD XXXWD PREFERRED in Colorado: Coverage is on Rental Alternative is now available and its value must be verified by the user.; XXX BUICK ENCORE GX XXXD XXXWD PREFERRED in Colorado: Coverage is on $XXX Glass Deductible is now available and its value must be verified by the user.STRACE:gw.api.extension.PCExtensionInterfacesMapper$block_XXX_.invoke(PCExtensionInterfacesMapper.gs:XXXSTRACERAW:-</t>
  </si>
  <si>
    <t>EMSG:XXX CADILLAC CTS XXXD XXXWD/XXXWD in Texas: Comprehensive is required and must be added. XXXSTRACE:gw.api.extension.PCExtensionInterfacesMapper$block_XXX_.invoke(PCExtensionInterfacesMapper.gs:XXXSTRACERAW:-</t>
  </si>
  <si>
    <t>EMSG:XXX CHEVROLET TAHOE XXXDOOR XXXXXXX in Colorado: Comprehensive is required and must be added. XXXSTRACE:gw.api.extension.PCExtensionInterfacesMapper$block_XXX_.invoke(PCExtensionInterfacesMapper.gs:XXXSTRACERAW:-</t>
  </si>
  <si>
    <t>EMSG:XXX CHEVROLET TRUCK SLVRDO XXX CR XXXXXXX HIGH CNTRY in Colorado: Coverage is on Comprehensive is now available and its value must be verified by the user.; XXX CHEVROLET TRUCK SLVRDO XXX CR XXXXXXX HIGH CNTRY in Colorado: Coverage is on Collision is now available and its value must be verified by the user.; XXX CHEVROLET TRUCK SLVRDO XXX CR XXXXXXX HIGH CNTRY in Colorado: Coverage is on Roadside Assistance is now available and its value must be verified by the user.; XXX CHEVROLET TRUCK SLVRDO XXX CR XXXXXXX HIGH CNTRY in Colorado: Coverage is on Rental Alternative is now available and its value must be verified by the user.; XXX CHEVROLET TRUCK SLVRDO XXX CR XXXXXXX HIGH CNTRY in Colorado: No message configuredSTRACE:gw.api.extension.PCExtensionInterfacesMapper$block_XXX_.invoke(PCExtensionInterfacesMapper.gs:XXXSTRACERAW:-</t>
  </si>
  <si>
    <t>EMSG:XXX DODGE TRUCK RAM XXX CREW SH XXXXXXX LGHORN in Colorado: Coverage is on Comprehensive is now available and its value must be verified by the user.; XXX DODGE TRUCK RAM XXX CREW SH XXXXXXX LGHORN in Colorado: Coverage is on Collision is now available and its value must be verified by the user.; XXX DODGE TRUCK RAM XXX CREW SH XXXXXXX LGHORN in Colorado: Coverage is on Roadside Assistance is now available and its value must be verified by the user.; XXX DODGE TRUCK RAM XXX CREW SH XXXXXXX LGHORN in Colorado: Coverage is on Rental Alternative is now available and its value must be verified by the user.; XXX DODGE TRUCK RAM XXX CREW SH XXXXXXX LGHORN in Colorado: No message configuredSTRACE:gw.api.extension.PCExtensionInterfacesMapper$block_XXX_.invoke(PCExtensionInterfacesMapper.gs:XXXSTRACERAW:-</t>
  </si>
  <si>
    <t>EMSG:XXX FORD FXXX SUPER PU XXXXXXX in Michigan: Comprehensive is required and must be added. XXXSTRACE:gw.api.extension.PCExtensionInterfacesMapper$block_XXX_.invoke(PCExtensionInterfacesMapper.gs:XXXSTRACERAW:-</t>
  </si>
  <si>
    <t>EMSG:XXX FORD MUSTANG XXXD in Oregon: Comprehensive is required and must be added. XXXSTRACE:gw.api.extension.PCExtensionInterfacesMapper$block_XXX_.invoke(PCExtensionInterfacesMapper.gs:XXXSTRACERAW:-</t>
  </si>
  <si>
    <t>EMSG:XXX FORD TRUCK EXPLORER XXXD XXXXXXX XLT in Colorado: Coverage is on Comprehensive is now available and its value must be verified by the user.; XXX FORD TRUCK EXPLORER XXXD XXXXXXX XLT in Colorado: Coverage is on Collision is now available and its value must be verified by the user.; XXX FORD TRUCK EXPLORER XXXD XXXXXXX XLT in Colorado: Coverage is on Roadside Assistance is now available and its value must be verified by the user.; XXX FORD TRUCK EXPLORER XXXD XXXXXXX XLT in Colorado: Coverage is on Rental Alternative is now available and its value must be verified by the user.; XXX FORD TRUCK EXPLORER XXXD XXXXXXX XLT in Colorado: Coverage is on $XXX Glass Deductible is now available and its value must be verified by the user.STRACE:gw.api.extension.PCExtensionInterfacesMapper$block_XXX_.invoke(PCExtensionInterfacesMapper.gs:XXXSTRACERAW:-</t>
  </si>
  <si>
    <t>EMSG:XXX FORD TRUCK FLEX XXXD XXXWD SE in Colorado: Comprehensive is required and must be added. XXXSTRACE:gw.api.extension.PCExtensionInterfacesMapper$block_XXX_.invoke(PCExtensionInterfacesMapper.gs:XXXSTRACERAW:-</t>
  </si>
  <si>
    <t>EMSG:XXX FORD TRUCK FXXX CREW C PU XXXXXXX CREW CAB in Michigan: Comprehensive is required and must be added. XXXSTRACE:gw.api.extension.PCExtensionInterfacesMapper$block_XXX_.invoke(PCExtensionInterfacesMapper.gs:XXXSTRACERAW:-</t>
  </si>
  <si>
    <t>EMSG:XXX FORD TRUCK FXXX CREW C PU XXXXXXX DRW in Oregon: Uninsured Motorist - Property Damage is no longer available and has been removed.; XXX FORD TRUCK FXXX CREW C PU XXXXXXX DRW in Oregon: Comprehensive is required and must be added. XXXSTRACE:gw.api.extension.PCExtensionInterfacesMapper$block_XXX_.invoke(PCExtensionInterfacesMapper.gs:XXXSTRACERAW:-</t>
  </si>
  <si>
    <t>EMSG:XXX HONDA FIT SW in Colorado: Comprehensive is required and must be added. XXXSTRACE:gw.api.extension.PCExtensionInterfacesMapper$block_XXX_.invoke(PCExtensionInterfacesMapper.gs:XXXSTRACERAW:-</t>
  </si>
  <si>
    <t>EMSG:XXX LEXUS NX XXXH HYBRID XXXD XXXWD F SPORT in Colorado: Coverage is on Comprehensive is now available and its value must be verified by the user.; XXX LEXUS NX XXXH HYBRID XXXD XXXWD F SPORT in Colorado: Coverage is on Collision is now available and its value must be verified by the user.; XXX LEXUS NX XXXH HYBRID XXXD XXXWD F SPORT in Colorado: Coverage is on Roadside Assistance is now available and its value must be verified by the user.; XXX LEXUS NX XXXH HYBRID XXXD XXXWD F SPORT in Colorado: Coverage is on Rental Alternative is now available and its value must be verified by the user.; XXX LEXUS NX XXXH HYBRID XXXD XXXWD F SPORT in Colorado: Coverage is on $XXX Glass Deductible is now available and its value must be verified by the user.; XXXSTRACE:gw.api.extension.PCExtensionInterfacesMapper$block_XXX_.invoke(PCExtensionInterfacesMapper.gs:XXXSTRACERAW:-</t>
  </si>
  <si>
    <t>EMSG:XXX LEXUS RX XXXH HYBRID XXXD XXXWD in Colorado: Coverage is on Comprehensive is now available and its value must be verified by the user.; XXX LEXUS RX XXXH HYBRID XXXD XXXWD in Colorado: Coverage is on Collision is now available and its value must be verified by the user.; XXX LEXUS RX XXXH HYBRID XXXD XXXWD in Colorado: Coverage is on Roadside Assistance is now available and its value must be verified by the user.; XXX LEXUS RX XXXH HYBRID XXXD XXXWD in Colorado: Coverage is on Rental Alternative is now available and its value must be verified by the user.; XXX LEXUS RX XXXH HYBRID XXXD XXXWD in Colorado: Coverage is on $XXX Glass Deductible is now available and its value must be verified by the user.; XXX CHEVROLET TRUCK SLVRDO XXX CR XXXXXXX LTZ in Colorado: Coverage is on Comprehensive is now available and its value must be verified by the user.; XXX CHEVROLET TRUCK SLVRDO XXX CR XXXXXXX LTZ in Colorado: Coverage is on Collision is now available and its value must be verifiâ€¦</t>
  </si>
  <si>
    <t>EMSG:XXX MAZDA CXXXX XXXD XXXWD SELECT in Colorado: Coverage is on Comprehensive is now available and its value must be verified by the user.; XXX MAZDA CXXXX XXXD XXXWD SELECT in Colorado: Coverage is on Collision is now available and its value must be verified by the user.; XXX MAZDA CXXXX XXXD XXXWD SELECT in Colorado: Coverage is on Roadside Assistance is now available and its value must be verified by the user.; XXX MAZDA CXXXX XXXD XXXWD SELECT in Colorado: Coverage is on Rental Alternative is now available and its value must be verified by the user.; XXX MAZDA CXXXX XXXD XXXWD SELECT in Colorado: Coverage is on $XXX Glass Deductible is now available and its value must be verified by the user.STRACE:gw.api.extension.PCExtensionInterfacesMapper$block_XXX_.invoke(PCExtensionInterfacesMapper.gs:XXXSTRACERAW:-</t>
  </si>
  <si>
    <t>EMSG:XXX MAZDA CXXXX XXXD XXXWD TURBO SIGNATURE in Colorado: Coverage is on Comprehensive is now available and its value must be verified by the user.; XXX MAZDA CXXXX XXXD XXXWD TURBO SIGNATURE in Colorado: Coverage is on Collision is now available and its value must be verified by the user.; XXX MAZDA CXXXX XXXD XXXWD TURBO SIGNATURE in Colorado: Coverage is on Roadside Assistance is now available and its value must be verified by the user.; XXX MAZDA CXXXX XXXD XXXWD TURBO SIGNATURE in Colorado: Coverage is on Rental Alternative is now available and its value must be verified by the user.; XXX MAZDA CXXXX XXXD XXXWD TURBO SIGNATURE in Colorado: Coverage is on $XXX Glass Deductible is now available and its value must be verified by the user.STRACE:gw.api.extension.PCExtensionInterfacesMapper$block_XXX_.invoke(PCExtensionInterfacesMapper.gs:XXXSTRACERAW:-</t>
  </si>
  <si>
    <t>EMSG:XXX MERCURY GRAND MARQUIS LS XXXD in California: Collision is no longer available and has been removed.; XXX MERCURY GRAND MARQUIS LS XXXD in California: Rental Reimbursement Coverage is no longer available and has been removed.; XXX MERCURY GRAND MARQUIS LS XXXD in California: Uninsured Motorist PD with Collision (CXXX) is no longer available and has been removed.; XXX FORD TRUCK AEROSTAR VAN XXXXXXX WINDOW WAGON in California: Comprehensive is required and must be added. XXXSTRACE:gw.api.extension.PCExtensionInterfacesMapper$block_XXX_.invoke(PCExtensionInterfacesMapper.gs:XXXSTRACERAW:-</t>
  </si>
  <si>
    <t>EMSG:XXX SCION FR-S XXXD in New Mexico: UM/UIM - Bodily Injury is required and must be added. XXXSTRACE:gw.api.extension.PCExtensionInterfacesMapper$block_XXX_.invoke(PCExtensionInterfacesMapper.gs:XXXSTRACERAW:-</t>
  </si>
  <si>
    <t>EMSG:XXX SUBARU CROSSTREK W/EYESGHT XXX.XXXI VDC in Colorado: Coverage is on Comprehensive is now available and its value must be verified by the user.; XXX SUBARU CROSSTREK W/EYESGHT XXX.XXXI VDC in Colorado: Coverage is on Collision is now available and its value must be verified by the user.; XXX SUBARU CROSSTREK W/EYESGHT XXX.XXXI VDC in Colorado: Coverage is on Roadside Assistance is now available and its value must be verified by the user.; XXX SUBARU CROSSTREK W/EYESGHT XXX.XXXI VDC in Colorado: Coverage is on Rental Alternative is now available and its value must be verified by the user.; XXX SUBARU CROSSTREK W/EYESGHT XXX.XXXI VDC in Colorado: Coverage is on $XXX Glass Deductible is now available and its value must be verified by the user.STRACE:gw.api.extension.PCExtensionInterfacesMapper$block_XXX_.invoke(PCExtensionInterfacesMapper.gs:XXXSTRACERAW:-</t>
  </si>
  <si>
    <t>EMSG:XXX SUBARU FORSTR XXXD XXXWD W/EYE XXX.XXXI PREM in Colorado: Coverage is on Comprehensive is now available and its value must be verified by the user.; XXX SUBARU FORSTR XXXD XXXWD W/EYE XXX.XXXI PREM in Colorado: Coverage is on Collision is now available and its value must be verified by the user.; XXX SUBARU FORSTR XXXD XXXWD W/EYE XXX.XXXI PREM in Colorado: Coverage is on Roadside Assistance is now available and its value must be verified by the user.; XXX SUBARU FORSTR XXXD XXXWD W/EYE XXX.XXXI PREM in Colorado: Coverage is on Rental Alternative is now available and its value must be verified by the user.; XXX SUBARU FORSTR XXXD XXXWD W/EYE XXX.XXXI PREM in Colorado: Coverage is on $XXX Glass Deductible is now available and its value must be verified by the user.STRACE:gw.api.extension.PCExtensionInterfacesMapper$block_XXX_.invoke(PCExtensionInterfacesMapper.gs:XXXSTRACERAW:-</t>
  </si>
  <si>
    <t>EMSG:XXX SUBARU FORSTR XXXD XXXWD W/EYE XXX.XXXI PREM in Colorado: Coverage is on Comprehensive is now available and its value must be verified by the user.; XXX SUBARU FORSTR XXXD XXXWD W/EYE XXX.XXXI PREM in Colorado: Coverage is on Collision is now available and its value must be verified by the user.; XXX SUBARU FORSTR XXXD XXXWD W/EYE XXX.XXXI PREM in Colorado: Coverage is on Roadside Assistance is now available and its value must be verified by the user.; XXX SUBARU FORSTR XXXD XXXWD W/EYE XXX.XXXI PREM in Colorado: Coverage is on Rental Alternative is now available and its value must be verified by the user.; XXX SUBARU FORSTR XXXD XXXWD W/EYE XXX.XXXI PREM in Colorado: No message configuredSTRACE:gw.api.extension.PCExtensionInterfacesMapper$block_XXX_.invoke(PCExtensionInterfacesMapper.gs:XXXSTRACERAW:-</t>
  </si>
  <si>
    <t>EMSG:XXX TOYOTA AVALON XXXD XLE/PREM/TOURING/LTD in Colorado: Coverage is on Comprehensive is now available and its value must be verified by the user.; XXX TOYOTA AVALON XXXD XLE/PREM/TOURING/LTD in Colorado: Coverage is on Collision is now available and its value must be verified by the user.; XXX TOYOTA AVALON XXXD XLE/PREM/TOURING/LTD in Colorado: Coverage is on Roadside Assistance is now available and its value must be verified by the user.; XXX TOYOTA AVALON XXXD XLE/PREM/TOURING/LTD in Colorado: Coverage is on Rental Alternative is now available and its value must be verified by the user.; XXX TOYOTA AVALON XXXD XLE/PREM/TOURING/LTD in Colorado: Coverage is on $XXX Glass Deductible is now available and its value must be verified by the user.STRACE:gw.api.extension.PCExtensionInterfacesMapper$block_XXX_.invoke(PCExtensionInterfacesMapper.gs:XXXSTRACERAW:-</t>
  </si>
  <si>
    <t>EMSG:XXX TOYOTA HIGHLANDER XXXD XXXWD SE VXXX in Colorado: Coverage is on Comprehensive is now available and its value must be verified by the user.; XXX TOYOTA HIGHLANDER XXXD XXXWD SE VXXX in Colorado: Coverage is on Collision is now available and its value must be verified by the user.; XXX TOYOTA HIGHLANDER XXXD XXXWD SE VXXX in Colorado: Coverage is on Roadside Assistance is now available and its value must be verified by the user.; XXX TOYOTA HIGHLANDER XXXD XXXWD SE VXXX in Colorado: Coverage is on Rental Alternative is now available and its value must be verified by the user.; XXX TOYOTA HIGHLANDER XXXD XXXWD SE VXXX in Colorado: Coverage is on $XXX Glass Deductible is now available and its value must be verified by the user.STRACE:gw.api.extension.PCExtensionInterfacesMapper$block_XXX_.invoke(PCExtensionInterfacesMapper.gs:XXXSTRACERAW:-</t>
  </si>
  <si>
    <t>EMSG:XXX TOYOTA RAVXXX XXXD XXXWD XLE PREMIUM in Massachusetts: Acquisition Expense is required and must be added. XXXSTRACE:gw.api.extension.PCExtensionInterfacesMapper$block_XXX_.invoke(PCExtensionInterfacesMapper.gs:XXXSTRACERAW:-</t>
  </si>
  <si>
    <t>EMSG:XXX TOYOTA XXXRUNNER XXXD XXXXXXX SRXXX PREMIUM in Colorado: Coverage is on Comprehensive is now available and its value must be verified by the user.; XXX TOYOTA XXXRUNNER XXXD XXXXXXX SRXXX PREMIUM in Colorado: Coverage is on Collision is now available and its value must be verified by the user.; XXX TOYOTA XXXRUNNER XXXD XXXXXXX SRXXX PREMIUM in Colorado: Coverage is on Roadside Assistance is now available and its value must be verified by the user.; XXX TOYOTA XXXRUNNER XXXD XXXXXXX SRXXX PREMIUM in Colorado: Coverage is on Rental Alternative is now available and its value must be verified by the user.; XXX TOYOTA XXXRUNNER XXXD XXXXXXX SRXXX PREMIUM in Colorado: Coverage is on $XXX Glass Deductible is now available and its value must be verified by the user.; XXX FORD FXXX CREW C PU XXXXXXX SUPER CREW in Colorado: Coverage is on Comprehensive is now available and its value must be verified by the user.; XXX FORD FXXX CREW C PU XXXXXXX SUPER CREW in Colorado: Coverage is on Câ€¦</t>
  </si>
  <si>
    <t>EMSG:XXX TOYOTA XXXRUNNER XXXD XXXXXXX TRD OFFRD PREM in Colorado: Coverage is on Comprehensive is now available and its value must be verified by the user.; XXX TOYOTA XXXRUNNER XXXD XXXXXXX TRD OFFRD PREM in Colorado: Coverage is on Collision is now available and its value must be verified by the user.; XXX TOYOTA XXXRUNNER XXXD XXXXXXX TRD OFFRD PREM in Colorado: Coverage is on Roadside Assistance is now available and its value must be verified by the user.; XXX TOYOTA XXXRUNNER XXXD XXXXXXX TRD OFFRD PREM in Colorado: Coverage is on Rental Alternative is now available and its value must be verified by the user.; XXX TOYOTA XXXRUNNER XXXD XXXXXXX TRD OFFRD PREM in Colorado: Coverage is on $XXX Glass Deductible is now available and its value must be verified by the user.STRACE:gw.api.extension.PCExtensionInterfacesMapper$block_XXX_.invoke(PCExtensionInterfacesMapper.gs:XXXSTRACERAW:-</t>
  </si>
  <si>
    <t>EMSG:XXX has exceeded the accident and/or violation threshold for eligibility in this program.STRACE:Dominguez Lozano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</si>
  <si>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program.STRACE:Dominguez Lozano has exceeded the accident and/or violation threshold for eligibility in this program.
	at gw.job.QuoteProcess.requestQuote(QuoteProcess.gs:XXXSTRACERAW:-</t>
  </si>
  <si>
    <t>EMSG:XXX has exceeded the accident and/or violation threshold for eligibility in this program.STRACE:Nguyen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</si>
  <si>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program.STRACE:Nguyen has exceeded the accident and/or violation threshold for eligibility in this program.
	at gw.job.QuoteProcess.requestQuote(QuoteProcess.gs:XXXSTRACERAW:-</t>
  </si>
  <si>
    <t>EMSG:XXX has exceeded the accident and/or violation threshold for eligibility in this program.STRACE:Nolan has exceeded the accident and/or violation threshold for eligibility in this program.
	at com.farmers.config.pa.validator.BrightlineValidator.validateQuoteBrightlineRules(BrightlineValidator.gs:XXXSTRACERAW:-</t>
  </si>
  <si>
    <t>EMSG:YASMINE BRADLEYSTRACE:com.farmers.config.pa.validator.BrightlineValidator.validateQuoteBrightlineRules(BrightlineValidator.gs:XXXSTRACERAW:-</t>
  </si>
  <si>
    <t>EMSG:YASMINE BRADLEYSTRACE:gw.job.QuoteProcess.requestQuote(QuoteProcess.gs:XXXSTRACERAW:-</t>
  </si>
  <si>
    <t>EMSG:YURIMEL DE LA TORRE SANCHEZSTRACE:com.farmers.config.pa.validator.BrightlineValidator.validateQuoteBrightlineRules(BrightlineValidator.gs:XXXSTRACERAW:-</t>
  </si>
  <si>
    <t>EMSG:YURIMEL DE LA TORRE SANCHEZSTRACE:gw.job.QuoteProcess.requestQuote(QuoteProcess.gs:XXXSTRACERAW:-</t>
  </si>
  <si>
    <t>EMSG:Yolanda EspinozaSTRACE:com.farmers.config.pa.validator.BrightlineValidator.validateQuoteBrightlineRules(BrightlineValidator.gs:XXXSTRACERAW:-</t>
  </si>
  <si>
    <t>EMSG:Yuesum ToSTRACE:com.farmers.config.pa.validator.BrightlineValidator.validateQuoteBrightlineRules(BrightlineValidator.gs:XXXSTRACERAW:-</t>
  </si>
  <si>
    <t>EMSG:Yuesum ToSTRACE:gw.job.QuoteProcess.requestQuote(QuoteProcess.gs:XXXSTRACERAW:-</t>
  </si>
  <si>
    <t>EMSG:[BUSINESS_ERROR::Agent not available haugXXXw]STRACE:com.farmers.edge.capabilities.communitymodel.checkgrantaccess.processor.CheckGrantAccessProcessor.processGrantAccess(CheckGrantAccessProcessor.gs:XXXSTRACERAW:-</t>
  </si>
  <si>
    <t>EMSG:class com.guidewire.pl.system.entity.proxy.EffDatedVersionListOverlapException cannot be cast to class edge.validation.EdgeValidationException (com.guidewire.pl.system.entity.proxy.EffDatedVersionListOverlapException is in unnamed module of loader 'deployment.pc.war' @XXXcXXXfXXXb; edge.validation.EdgeValidationException is in unnamed module of loader com.guidewire.pl.system.gosu.GosuPluginContainer @XXXSTRACE:edge.capabilities.policychange.GatewayPolicyChangeHandler$block_XXX_.invoke(GatewayPolicyChangeHandler.gs:XXXSTRACERAW:-</t>
  </si>
  <si>
    <t>EMSG:class com.guidewire.pl.system.entity.proxy.EffDatedVersionListOverlapException cannot be cast to class edge.validation.EdgeValidationException (com.guidewire.pl.system.entity.proxy.EffDatedVersionListOverlapException is in unnamed module of loader 'deployment.pc.war' @XXXfXXXdfXXXe; edge.validation.EdgeValidationException is in unnamed module of loader com.guidewire.pl.system.gosu.GosuPluginContainer @XXXSTRACE:edge.capabilities.policychange.GatewayPolicyChangeHandler$block_XXX_.invoke(GatewayPolicyChangeHandler.gs:XXXSTRACERAW:-</t>
  </si>
  <si>
    <t>EMSG:class com.guidewire.pl.system.entity.proxy.EffDatedVersionListOverlapException cannot be cast to class edge.validation.EdgeValidationException (com.guidewire.pl.system.entity.proxy.EffDatedVersionListOverlapException is in unnamed module of loader 'deployment.pc.war' @XXXfdXXXbXXX; edge.validation.EdgeValidationException is in unnamed module of loader com.guidewire.pl.system.gosu.GosuPluginContainer @XXXSTRACE:edge.capabilities.policychange.GatewayPolicyChangeHandler$block_XXX_.invoke(GatewayPolicyChangeHandler.gs:XXXSTRACERAW:-</t>
  </si>
  <si>
    <t>EMSG:class com.guidewire.pl.system.exception.DBException cannot be cast to class edge.validation.EdgeValidationException (com.guidewire.pl.system.exception.DBException is in unnamed module of loader 'deployment.pc.war' @XXXcXXX; edge.validation.EdgeValidationException is in unnamed module of loader com.guidewire.pl.system.gosu.GosuPluginContainer @XXXSTRACE:edge.capabilities.policychange.GatewayPolicyChangeHandler$block_XXX_.invoke(GatewayPolicyChangeHandler.gs:XXXSTRACERAW:-</t>
  </si>
  <si>
    <t>EMSG:class com.guidewire.pl.system.exception.DBNullConstraintException cannot be cast to class edge.validation.EdgeValidationException (com.guidewire.pl.system.exception.DBNullConstraintException is in unnamed module of loader 'deployment.pc.war' @XXXaebXXX;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</si>
  <si>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@XXXbeXXXcXXX;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</si>
  <si>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@XXXcXXXeXXX;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</si>
  <si>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@XXXfXXXf; edge.validation.EdgeValidationException is in unnamed module of loader com.guidewire.pl.system.gosu.GosuPluginContainer @XXXSTRACE:edge.capabilities.policychange.GatewayPolicyChangeHandler$block_XXX_.invoke(GatewayPolicyChangeHandler.gs:XXXSTRACERAW:-</t>
  </si>
  <si>
    <t>EMSG:com.guidewire.pl.system.exception.TransactionException: Transaction aborted by exception:Failed to execute an updateSTRACE:com.farmers.integ.framework.job.automatejob.AutomatedJob.executeJob(AutomatedJob.gs:XXXSTRACERAW:-</t>
  </si>
  <si>
    <t>EMSG:error trying to execute query of type entity.Dwelling_HOESTRACE:deployment.pc.war//com.guidewire.pl.system.database.entitysource.DatabaseEntitySource.executeQueryAndPopulateBeans(DatabaseEntitySource.java:XXXSTRACERAW:-</t>
  </si>
  <si>
    <t>EMSG:warning:entity.xxxUI-ValidationWARNMessagexxxSTRACE:-STRACERAW:may be the applicant. Please review the address at the end of this message with the applicant and, if it is the accurate address, please select the Click to Update Address/Click to Update Risk Address link below to continue (If no address is found, or the vendor-provided address is out of state, a Post Office box, or includes an invalid ZIP Code, a link will not be available</t>
  </si>
  <si>
    <t>EMSG:MQJCAXXX: Failed to allocate a JMS connection.STRACE:deployment.wmq.jmsra.rar//com.ibm.mq.connector.services.JCAExceptionBuilder.buildException(JCAExceptionBuilder.java:XXXSTRACERAW:-</t>
  </si>
  <si>
    <t>EMSG:, AOR=XXXSTRACE:deployment.wmq.jmsra.rar//com.ibm.mq.connector.services.JCAExceptionBuilder.buildException(JCAExceptionBuilder.java:XXXSTRACERAW:-</t>
  </si>
  <si>
    <t>EMSG:-STRACE:deployment.wmq.jmsra.rar//com.ibm.mq.connector.services.JCAExceptionBuilder.buildException(JCAExceptionBuilder.java:XXXSTRACERAW:-</t>
  </si>
  <si>
    <t>EMSG:-STRACE:com.farmers.integ.distribution.opra.batch.helper.OpraRecordHandler$block_XXX_.invoke(OpraRecordHandler.gs:XXXSTRACERAW:-</t>
  </si>
  <si>
    <t>EMSG:Missing/Invalid Mandatory Fields - DATEOFAPPROVALSTRACE:com.farmers.integ.distribution.opra.batch.validator.OpraValidator.validate(OpraValidator.gs:XXXSTRACERAW:-</t>
  </si>
  <si>
    <t>EMSG:There is no credit tier for credit peril 'waterbackupandsump' and model 'HOS'STRACE:com.farmers.rating.ho.param.HOParameterAdapter.selectCreditTier(HOParameterAdapter.gs:XXXSTRACERAW:-</t>
  </si>
  <si>
    <t>EMSG:-STRACE:-STRACERAW:com.ibm.mq.connector.services.JCAExceptionBuilder.buildException(JCAExceptionBuilder.java:XXX</t>
  </si>
  <si>
    <t>EMSG:The value "XXX Four Oâ€™clock RdSTRACE:deployment.pc.war//com.guidewire.pl.metadata.datatypeXXX.fieldvalidator.FieldValidatorInfo.validateFormat(FieldValidatorInfo.java:XXXSTRACERAW:-</t>
  </si>
  <si>
    <t>EMSG:Unrecognized token 'Server': was expecting (JSON StringSTRACE:[Source: (StringSTRACERAW:-</t>
  </si>
  <si>
    <t>EMSG:Re-enter "License #". Duplicate License Number entered for the following Drivers William StovallSTRACE:edge.capabilities.quote.submission.quoting.util.SubmissionUnderwritingIssuesUtil.checkVerifyRateExceptions(SubmissionUnderwritingIssuesUtil.gs:XXXSTRACERAW:-</t>
  </si>
  <si>
    <t>EMSG:Enter Signal Phone number for Reed C Rosneck. A cell phone number is required for Signal enrollment.;STRACE:edge.capabilities.quote.submission.quoting.util.SubmissionUnderwritingIssuesUtil.checkVerifyRateExceptions(SubmissionUnderwritingIssuesUtil.gs:XXXSTRACERAW:-</t>
  </si>
  <si>
    <t>EMSG:Dwelling at XXXSTRACE:XXX Wycliff Ave, Dallas, TX: Replacement Cost Value Valuation Method on Personal Property is no longer available and has been removed. Please enter a new value.; Dwelling at XXX Wycliff Ave, Dallas, TX: No message configured
	at gw.api.extension.PCExtensionInterfacesMapper$block_XXX_.invoke(PCExtensionInterfacesMapper.gs:XXXSTRACERAW:-</t>
  </si>
  <si>
    <t>EMSG:Re-enter "License #". Duplicate License Number entered for the following Drivers Mary MugnierSTRACE:edge.capabilities.quote.submission.quoting.util.SubmissionUnderwritingIssuesUtil.checkVerifyRateExceptions(SubmissionUnderwritingIssuesUtil.gs:XXXSTRACERAW:-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</si>
  <si>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NORMA HERNANDEZ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</si>
  <si>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EMSG:Unrecognized token 'No': was expecting (JSON StringSTRACE:[Source: (StringSTRACERAW:-</t>
  </si>
  <si>
    <t>EMSG:, AOR=XXXSTRACE:-STRACERAW:Feb XXX XXX:XXX:XXX PST XXX, MSG=Unable to Add Mortgagee.(EXXX</t>
  </si>
  <si>
    <t>EMSG:-STRACE:-STRACERAW:pcfc.expressions.RatingCumulDetailsPanelSet_PersonalAutoLineExpressions$RatingCumulDetailsPanelSetExpressionsImpl.coverageDisplayName(RatingCumulDetailsPanelSet_PersonalAutoLineExpressions.gs:XXX</t>
  </si>
  <si>
    <t>EMSG:For eligible contact Nicholas Bartman credit score is null. Please make sure credit is orderedSTRACE:com.farmers.config.common.credit.CreditScoreHelper.populateRatingCreditDTO(CreditScoreHelper.gs:XXXSTRACERAW:-</t>
  </si>
  <si>
    <t>EMSG:, AOR=XXXSTRACE:com.farmers.rating.capping.factor.impl.CappingFactorCalculatorBaseImpl.calculateRateStabilityFactor(CappingFactorCalculatorBaseImpl.gs:XXXSTRACERAW:-</t>
  </si>
  <si>
    <t>EMSG:-STRACE:-STRACERAW:com.farmers.rating.capping.factor.impl.CappingFactorCalculatorBaseImpl.calculateRateStabilityFactor(CappingFactorCalculatorBaseImpl.gs:XXX</t>
  </si>
  <si>
    <t>EMSG:, AOR=XXXSTRACE:-STRACERAW:Feb XXX XXX:XXX:XXX PST XXX, MSG=Contact Service Operations for assistance at (XXX</t>
  </si>
  <si>
    <t>EMSG:Could not map property DeriveImapactsEligibilitySTRACE:deployment.pc.war//gw.internal.xml.gx.GxRuntime.createElement(GxRuntime.java:XXXSTRACERAW:-</t>
  </si>
  <si>
    <t>EMSG:Dwelling at XXXSTRACE:XXX F St, Staunton, VA: Standard Limit on Special Limits on Personal Property is no longer available and has been removed. Please enter a new value.
	at gw.api.extension.PCExtensionInterfacesMapper$block_XXX_.invoke(PCExtensionInterfacesMapper.gs:XXXSTRACERAW:-</t>
  </si>
  <si>
    <t>EMSG:PersonalVehFeeCost_Ext with FixedID:XXX and window XXXSTRACE:deployment.pc.war//com.guidewire.pl.system.entity.proxy.EffDatedVersionListImpl.lambda$isNonOverlapping$XXX(EffDatedVersionListImpl.java:XXXSTRACERAW:-</t>
  </si>
  <si>
    <t>EMSG:Re-enter "License #". Duplicate License Number entered for the following Drivers WILLIAM B STOVALLSTRACE:edge.capabilities.quote.submission.quoting.util.SubmissionUnderwritingIssuesUtil.checkVerifyRateExceptions(SubmissionUnderwritingIssuesUtil.gs:XXXSTRACERAW:-</t>
  </si>
  <si>
    <t>EMSG:java.sql.SQLRecoverableException: Closed ConnectionSTRACE:deployment.pc.war//gw.pl.util.ExceptionUtil.convertToRuntimeException(ExceptionUtil.java:XXXSTRACERAW:-</t>
  </si>
  <si>
    <t>EMSG:-STRACE:-STRACERAW:com.farmers.integ.erti.iso.location.impl.PPCISOLocationFinder.checkDistanceToFireStation(PPCISOLocationFinder.gs:XXX</t>
  </si>
  <si>
    <t>EMSG:Dwelling at XXXSTRACE:XXX Essex St # A, Berkeley, CA: XXX% Limit on Loss of Use is no longer available and has been removed. Please enter a new value.
	at gw.api.extension.PCExtensionInterfacesMapper$block_XXX_.invoke(PCExtensionInterfacesMapper.gs:XXXSTRACERAW:-</t>
  </si>
  <si>
    <t>EMSG:For eligible contact Micah Eastman credit score is null. Please make sure credit is orderedSTRACE:com.farmers.config.common.credit.CreditScoreHelper.populateRatingCreditDTO(CreditScoreHelper.gs:XXXSTRACERAW:-</t>
  </si>
  <si>
    <t>EMSG:For eligible contact Takesha Coleman credit score is null. Please make sure credit is orderedSTRACE:com.farmers.config.common.credit.CreditScoreHelper.populateRatingCreditDTO(CreditScoreHelper.gs:XXXSTRACERAW:-</t>
  </si>
  <si>
    <t>EMSG:HO Desirability Logger</t>
  </si>
  <si>
    <t xml:space="preserve"> Step XXX.XXX : RiskSegment is either nullSTRACE:-STRACERAW:</t>
  </si>
  <si>
    <t>EMSG:Homeowners Loss Of Use: The coverage term 'ALE Term' is required. Enter a value.STRACE:edge.capabilities.quote.submission.quoting.util.SubmissionUnderwritingIssuesUtil.checkSideBySideProcessExceptions(SubmissionUnderwritingIssuesUtil.gs:XXXSTRACERAW:-</t>
  </si>
  <si>
    <t>EMSG:Jeremy LopezSTRACE:com.farmers.config.pa.validator.BrightlineValidator.validateQuoteBrightlineRules(BrightlineValidator.gs:XXXSTRACERAW:-</t>
  </si>
  <si>
    <t>EMSG:Rideshare and Food Delivery Coverage: The coverage term 'Coverage is' is required. Enter a value.;STRACE:edge.capabilities.quote.submission.quoting.util.SubmissionUnderwritingIssuesUtil.checkVerifyRateExceptions(SubmissionUnderwritingIssuesUtil.gs:XXXSTRACERAW:-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</si>
  <si>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EHRLAND HOLLINGSWORTH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</si>
  <si>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EMSG:Update the missing required field. Garaged ZIP Town for vehicle XXX HONDA ACCORD XXXD SPORT needs to be selected when Garaging location ZIP code is associated with multiple town names.;STRACE:edge.capabilities.quote.submission.quoting.util.SubmissionUnderwritingIssuesUtil.checkVerifyRateExceptions(SubmissionUnderwritingIssuesUtil.gs:XXXSTRACERAW:-</t>
  </si>
  <si>
    <t>EMSG:error:entity.xxxUI-ValidationERRORMessagexxxSTRACE:of XXX-XXX-XXXX;error:entity.Person.HomePhone/Correct the Phone Number. Phone Number should be a ten digit numerical value in the format of XXX-XXX-XXXX
	at deployment.pc.war//gw.api.validation.ValidationExceptionUtil.throwDisplayableValidationExceptionIfNecessary(ValidationExceptionUtil.java:XXXSTRACERAW:-</t>
  </si>
  <si>
    <t>EMSG:error:entity.xxxUI-ValidationERRORMessagexxxSTRACE:of XXX-XXX-XXXX;error:entity.PolicyPriNamedInsured.HomePhoneInternal/Correct the Phone Number. Phone Number should be a ten digit numerical value in the format of XXX-XXX-XXXX
	at deployment.pc.war//gw.api.validation.ValidationExceptionUtil.throwDisplayableValidationExceptionIfNecessary(ValidationExceptionUtil.java:XXXSTRACERAW:-</t>
  </si>
  <si>
    <t>EMSG:, AOR=XXXSTRACE:gw.acc.luw.rules.LUWCascadeToFutureTermsProcessor.actOnChild(LUWCascadeToFutureTermsProcessor.gs:XXXSTRACERAW:-</t>
  </si>
  <si>
    <t>EMSG:DERECK DIAZSTRACE:com.farmers.config.pa.validator.BrightlineValidator.validateQuoteBrightlineRules(BrightlineValidator.gs:XXXSTRACERAW:-</t>
  </si>
  <si>
    <t>EMSG:Ineligible Condition - XXX% ITV required for monoline policies in this county;STRACE:edge.capabilities.quote.submission.quoting.util.SubmissionUnderwritingIssuesUtil.checkVerifyRateExceptions(SubmissionUnderwritingIssuesUtil.gs:XXXSTRACERAW:-</t>
  </si>
  <si>
    <t>EMSG:A report shows that the XXXSTRACE:the  XXX CHEVROLET CRUZE XXXD LT has been flagged as having Vehicle History activity.
	at edge.capabilities.quote.submission.quoting.util.SubmissionUnderwritingIssuesUtil.checkSideBySideProcessExceptions(SubmissionUnderwritingIssuesUtil.gs:XXXSTRACERAW:-</t>
  </si>
  <si>
    <t>EMSG:A report shows that the XXXSTRACE:the  XXX GMC TRUCK SIERRA XXX CR XXXXXXX DENALI, XXX BENTLEY CONTINENTAL GTC CONV XXXWD has been flagged as having Vehicle History activity.
	at edge.capabilities.quote.submission.quoting.util.SubmissionUnderwritingIssuesUtil.checkSideBySideProcessExceptions(SubmissionUnderwritingIssuesUtil.gs:XXXSTRACERAW:-</t>
  </si>
  <si>
    <t>EMSG:A report shows that the XXXSTRACE:the  XXX HONDA ELEMENT XXXD XXXWD EX-P has been flagged as having Vehicle History activity.
	at edge.capabilities.quote.submission.quoting.util.SubmissionUnderwritingIssuesUtil.checkSideBySideProcessExceptions(SubmissionUnderwritingIssuesUtil.gs:XXXSTRACERAW:-</t>
  </si>
  <si>
    <t>EMSG:Dwelling at XXXSTRACE:XXX Delmar Ter, Pueblo, CO: XXX% Limit on Extended Replacement Cost is no longer available and has been removed. Please enter a new value.
	at gw.api.extension.PCExtensionInterfacesMapper$block_XXX_.invoke(PCExtensionInterfacesMapper.gs:XXXSTRACERAW:-</t>
  </si>
  <si>
    <t>EMSG:Failed to execute a querySTRACE:com.farmers.integ.framework.service.rest.RestServiceAdapter.invokeService(RestServiceAdapter.gs:XXXSTRACERAW:-</t>
  </si>
  <si>
    <t>EMSG:For eligible contact David Ritter credit score is null. Please make sure credit is orderedSTRACE:com.farmers.config.common.credit.CreditScoreHelper.populateRatingCreditDTO(CreditScoreHelper.gs:XXXSTRACERAW:-</t>
  </si>
  <si>
    <t>EMSG:For eligible contact Jillian Marcucci credit score is null. Please make sure credit is orderedSTRACE:com.farmers.config.common.credit.CreditScoreHelper.populateRatingCreditDTO(CreditScoreHelper.gs:XXXSTRACERAW:-</t>
  </si>
  <si>
    <t>EMSG:Found more than one target of the property XXXSTRACE:XXX Keswick Ave, Los Angeles,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</si>
  <si>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Latham Ct, Brentwood,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</si>
  <si>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Lemming St, Lakewood,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</si>
  <si>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MURRELL RD, SANTA BARBARA,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</si>
  <si>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Sienna Ct, Hollister,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</si>
  <si>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 Almond St, Compton,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</si>
  <si>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EMSG:MARY FOWLERNORMANSTRACE:com.farmers.config.pa.validator.BrightlineValidator.validateQuoteBrightlineRules(BrightlineValidator.gs:XXXSTRACERAW:-</t>
  </si>
  <si>
    <t>EMSG:MARY FOWLERNORMANSTRACE:gw.job.QuoteProcess.requestQuote(QuoteProcess.gs:XXXSTRACERAW:-</t>
  </si>
  <si>
    <t>EMSG:No more data to read from socketSTRACE:deployment.ojdbcXXXXXX.XXX.XXX.XXX.XXX.jar//oracle.jdbc.driver.TXXXCMAREngineNIO.prepareForUnmarshall(TXXXCMAREngineNIO.java:XXXSTRACERAW:-</t>
  </si>
  <si>
    <t>EMSG:One or more null constraint violations detected for PAPolicyClaim_ExtSTRACE:deployment.pc.war//com.guidewire.pl.system.database.entitywriter.DatabaseEntityWriterImpl.checkForNullConstraintViolation(DatabaseEntityWriterImpl.java:XXXSTRACERAW:-</t>
  </si>
  <si>
    <t>EMSG:Re-enter "License #". Duplicate License Number entered for the following Drivers James WoodSTRACE:edge.capabilities.quote.submission.quoting.util.SubmissionUnderwritingIssuesUtil.checkVerifyRateExceptions(SubmissionUnderwritingIssuesUtil.gs:XXXSTRACERAW:-</t>
  </si>
  <si>
    <t>EMSG:Re-enter "License #". Duplicate License Number entered for the following Drivers MICHAEL MUGNIERSTRACE:edge.capabilities.quote.submission.quoting.util.SubmissionUnderwritingIssuesUtil.checkVerifyRateExceptions(SubmissionUnderwritingIssuesUtil.gs:XXXSTRACERAW:-</t>
  </si>
  <si>
    <t>EMSG:Re-enter "License #". Duplicate License Number entered for the following Drivers Wilny NevelusSTRACE:edge.capabilities.quote.submission.quoting.util.SubmissionUnderwritingIssuesUtil.checkVerifyRateExceptions(SubmissionUnderwritingIssuesUtil.gs:XXXSTRACERAW:-</t>
  </si>
  <si>
    <t>EMSG:Remove Extended Replacement Cost coverage. Extended Replacement Cost cannot be selected when Dwelling Coverage is less than Reconstruction Cost Estimate.STRACE:edge.capabilities.quote.submission.quoting.util.SubmissionUnderwritingIssuesUtil.checkSideBySideProcessExceptions(SubmissionUnderwritingIssuesUtil.gs:XXXSTRACERAW:-</t>
  </si>
  <si>
    <t>EMSG:The value "THOMAS H. JEWETT AND ELINOR S. JEWETTSTRACE:deployment.pc.war//gw.datatype.impl.StringConstraintsHandlerBase.validateStringLength(StringConstraintsHandlerBase.java:XXXSTRACERAW:-</t>
  </si>
  <si>
    <t>EMSG:Unable to set property '_EffectiveDt' of 'com.farmers.integ.distribution.lms.wsc.uploadcustomerwsc.ecms_quote_xsd.types.complex.DURATION instance'STRACE:deployment.pc.war//gw.internal.xml.XmlSchemaProperty.setValue(XmlSchemaProperty.java:XXXSTRACERAW:-</t>
  </si>
  <si>
    <t>EMSG:\ i : entity.windowed.UWIssueVersionList -&gt; i.AllVersions.first().IssueKey does not define a unique value across all elements of this Collection :  Element com.guidewire._generated.entity.UWIssueVersionListImpl XXX have the value BackdatedPolicyWithEclusionConditionSTRACE:gw.lang.enhancements.CoreIterableEnhancement.partitionUniquely(CoreIterableEnhancement.gsx:XXXSTRACERAW:-</t>
  </si>
  <si>
    <t>EMSG:\ i : entity.windowed.UWIssueVersionList -&gt; i.AllVersions.first().IssueKey does not define a unique value across all elements of this Collection :  Element com.guidewire._generated.entity.UWIssueVersionListImpl XXX have the value ValidatePrimaryPolicyInFarmersForemostSTRACE:gw.lang.enhancements.CoreIterableEnhancement.partitionUniquely(CoreIterableEnhancement.gsx:XXXSTRACERAW:-</t>
  </si>
  <si>
    <t>EMSG:com.guidewire.pl.system.entity.proxy.EffDatedVersionListOverlapException: PersonalAutoLine with FixedID:XXX and window XXXSTRACE:com.farmers.integ.framework.service.rest.RestServiceAdapter.invokeService(RestServiceAdapter.gs:XXXSTRACERAW:-</t>
  </si>
  <si>
    <t>EMSG:, AOR=XXXSTRACE:com.farmers.config.common.mdm.MDMProcess$block_XXX_$block_XXX_.invoke(MDMProcess.gs:XXXSTRACERAW:-</t>
  </si>
  <si>
    <t>EMSG:-STRACE:-STRACERAW:Feb XXX XXX:XXX:XXX PST XXX, MSG=Transaction Failed. Failed to parse response : Unexpected character ('&lt;' (code XXX</t>
  </si>
  <si>
    <t>EMSG:-STRACE:-STRACERAW:com.guidewire.pl.system.cluster.impl.ClusterChannelImpl.doCall(ClusterChannelImpl.java:XXX</t>
  </si>
  <si>
    <t>EMSG:-STRACE:-STRACERAW:com.guidewire.pl.system.entity.proxy.EffDatedBranchProxy.handleEffDatedBranchChanges(EffDatedBranchProxy.java:XXX</t>
  </si>
  <si>
    <t>EMSG:-STRACE:XXX/XXX/XXX XXX:XXX PM. Please cancel and retry your change.
	at gw.acc.luw.LUWExceptionHelper.processUserDisplayableException(LUWExceptionHelper.gs:XXXSTRACERAW:-</t>
  </si>
  <si>
    <t>EMSG:-STRACE:com.farmers.integ.security.community.ace.agent.profile.utils.AgentProfileBatchHelper.assignProducerCodeToUser(AgentProfileBatchHelper.gs:XXXSTRACERAW:-</t>
  </si>
  <si>
    <t>EMSG:-STRACE:gw.acc.luw.rules.LUWCascadeToFutureTermsProcessor.actOnChild(LUWCascadeToFutureTermsProcessor.gs:XXXSTRACERAW:-</t>
  </si>
  <si>
    <t>EMSG:-STRACE:least one vehicle. Since the number of vehicles is greater than the number of drivers, each driver must be a Primary Driver on at least one vehicle.
Change Primary Driver on the Vehicle XXX MERCEDES BENZ E CLASS XXXD XXXWD XXX. Primary Driver should be an Active Driver.
	at com.farmers.lob.pa.driverassignment.DriverAssignment.validateData(DriverAssignment.gs:XXXSTRACERAW:-</t>
  </si>
  <si>
    <t>EMSG:-STRACE:least one vehicle. Since the number of vehicles is greater than the number of drivers, each driver must be a Primary Driver on at least one vehicle.
Update Primary Driver on the Vehicle XXX TOYOTA AVALON HYBRID XXXD XLE/XSE/LTD. Primary Driver not found on the policy.
	at com.farmers.lob.pa.driverassignment.DriverAssignment.validateData(DriverAssignment.gs:XXXSTRACERAW:-</t>
  </si>
  <si>
    <t>EMSG:-STRACE:least one vehicle. Since the number of vehicles is greater than the number of drivers, each driver must be a Primary Driver on at least one vehicle.
Update Primary Driver on the Vehicle XXX TOYOTA FJ CRUISER XXXD XXXXXXX. Primary Driver not found on the policy.
	at com.farmers.lob.pa.driverassignment.DriverAssignment.validateData(DriverAssignment.gs:XXXSTRACERAW:-</t>
  </si>
  <si>
    <t>EMSG:-STRACE:least one vehicle. Since the number of vehicles is greater than the number of drivers, each driver must be a Primary Driver on at least one vehicle.
Update Primary Driver on the Vehicle XXX TOYOTA PRIUS HYBRID XXXD. Primary Driver not found on the policy.
	at com.farmers.lob.pa.driverassignment.DriverAssignment.validateData(DriverAssignment.gs:XXXSTRACERAW:-</t>
  </si>
  <si>
    <t>EMSG:A report shows that the XXXSTRACE:the  XXX HONDA ACCORD XXXD LX-VXXX has been flagged as having Vehicle History activity.;
	at edge.capabilities.quote.submission.quoting.util.SubmissionUnderwritingIssuesUtil.checkVerifyRateExceptions(SubmissionUnderwritingIssuesUtil.gs:XXXSTRACERAW:-</t>
  </si>
  <si>
    <t>EMSG:Cheryl JohnsonSTRACE:com.farmers.config.pa.validator.BrightlineValidator.validateQuoteBrightlineRules(BrightlineValidator.gs:XXXSTRACERAW:-</t>
  </si>
  <si>
    <t>EMSG:Cheryl JohnsonSTRACE:gw.job.QuoteProcess.requestQuote(QuoteProcess.gs:XXXSTRACERAW:-</t>
  </si>
  <si>
    <t>EMSG:Dwelling at XXXSTRACE:XXX Acton Ave, Poway, CA: XXX% Limit on Loss of Use is no longer available and has been removed. Please enter a new value.
	at gw.api.extension.PCExtensionInterfacesMapper$block_XXX_.invoke(PCExtensionInterfacesMapper.gs:XXXSTRACERAW:-</t>
  </si>
  <si>
    <t>EMSG:Dwelling at XXXSTRACE:XXX Caminito Pasadero, San Diego, CA: XXX% Limit on Loss of Use is no longer available and has been removed. Please enter a new value.
	at gw.api.extension.PCExtensionInterfacesMapper$block_XXX_.invoke(PCExtensionInterfacesMapper.gs:XXXSTRACERAW:-</t>
  </si>
  <si>
    <t>EMSG:Dwelling at XXXSTRACE:XXX Cherrywood St, Poway, CA: XXX% Limit on Loss of Use is no longer available and has been removed. Please enter a new value.
	at gw.api.extension.PCExtensionInterfacesMapper$block_XXX_.invoke(PCExtensionInterfacesMapper.gs:XXXSTRACERAW:-</t>
  </si>
  <si>
    <t>EMSG:Dwelling at XXXSTRACE:XXX E Main Ave, Morgan Hill, CA: XXX% Limit on Loss of Use is no longer available and has been removed. Please enter a new value.
	at gw.api.extension.PCExtensionInterfacesMapper$block_XXX_.invoke(PCExtensionInterfacesMapper.gs:XXXSTRACERAW:-</t>
  </si>
  <si>
    <t>EMSG:Dwelling at XXXSTRACE:XXX Eaton Ave, Meriden, CT: Perils on Personal Property is now available and its value must be verified by the user.; Dwelling at XXX Eaton Ave, Meriden, CT: No message configured
	at gw.api.extension.PCExtensionInterfacesMapper$block_XXX_.invoke(PCExtensionInterfacesMapper.gs:XXXSTRACERAW:-</t>
  </si>
  <si>
    <t>EMSG:Dwelling at XXXSTRACE:XXX Joaquin Ave, Clovis, CA: XXX% Limit on Loss of Use is no longer available and has been removed. Please enter a new value.
	at gw.api.extension.PCExtensionInterfacesMapper$block_XXX_.invoke(PCExtensionInterfacesMapper.gs:XXXSTRACERAW:-</t>
  </si>
  <si>
    <t>EMSG:Dwelling at XXXSTRACE:XXX N Burgan Ave, Clovis, CA: XXX% Limit on Loss of Use is no longer available and has been removed. Please enter a new value.
	at gw.api.extension.PCExtensionInterfacesMapper$block_XXX_.invoke(PCExtensionInterfacesMapper.gs:XXXSTRACERAW:-</t>
  </si>
  <si>
    <t>EMSG:Dwelling at XXXSTRACE:XXX Quail Run Way, Danville, CA: XXX% Limit on Loss of Use is no longer available and has been removed. Please enter a new value.
	at gw.api.extension.PCExtensionInterfacesMapper$block_XXX_.invoke(PCExtensionInterfacesMapper.gs:XXXSTRACERAW:-</t>
  </si>
  <si>
    <t>EMSG:Dwelling at XXXSTRACE:XXX Ray Dr, Attalla, AL: Perils on Personal Property is now available and its value must be verified by the user.; Dwelling at XXX Ray Dr, Attalla, AL: No message configured
	at gw.api.extension.PCExtensionInterfacesMapper$block_XXX_.invoke(PCExtensionInterfacesMapper.gs:XXXSTRACERAW:-</t>
  </si>
  <si>
    <t>EMSG:Dwelling at XXXSTRACE:XXX Richland Dr, Newport News, VA: Standard Limit on Special Limits on Personal Property is no longer available and has been removed. Please enter a new value.
	at gw.api.extension.PCExtensionInterfacesMapper$block_XXX_.invoke(PCExtensionInterfacesMapper.gs:XXXSTRACERAW:-</t>
  </si>
  <si>
    <t>EMSG:Dwelling at XXXSTRACE:XXX Rosa St, Talladega, AL: Perils on Personal Property is now available and its value must be verified by the user.
	at gw.api.extension.PCExtensionInterfacesMapper$block_XXX_.invoke(PCExtensionInterfacesMapper.gs:XXXSTRACERAW:-</t>
  </si>
  <si>
    <t>EMSG:Dwelling at XXXSTRACE:XXX Tennyson Trl, Prosper, TX: Replacement Cost Value Valuation Method on Personal Property is no longer available and has been removed. Please enter a new value.; Dwelling at XXX Tennyson Trl, Prosper, TX: No message configured
	at gw.api.extension.PCExtensionInterfacesMapper$block_XXX_.invoke(PCExtensionInterfacesMapper.gs:XXXSTRACERAW:-</t>
  </si>
  <si>
    <t>EMSG:Dwelling at XXXSTRACE:XXX Wynmere Dr, Horsham, PA: Perils on Personal Property is now available and its value must be verified by the user.
	at gw.api.extension.PCExtensionInterfacesMapper$block_XXX_.invoke(PCExtensionInterfacesMapper.gs:XXXSTRACERAW:-</t>
  </si>
  <si>
    <t>EMSG:Failed to execute a querySTRACE:com.farmers.integ.disclosures.audittableupdate.transformers.AuditTableUpdateRequestTransformer.transform(AuditTableUpdateRequestTransformer.gs:XXXSTRACERAW:-</t>
  </si>
  <si>
    <t>EMSG:Failed to find Driver Order Class Code for JUDITH JOHNSONSTRACE:com.farmers.lob.pa.driverassignment.DriverAssignmentDriver.setDriverOrderData(DriverAssignmentDriver.gs:XXXSTRACERAW:-</t>
  </si>
  <si>
    <t>EMSG:For eligible contact Kevin Brown credit score is null. Please make sure credit is orderedSTRACE:com.farmers.config.common.credit.CreditScoreHelper.populateRatingCreditDTO(CreditScoreHelper.gs:XXXSTRACERAW:-</t>
  </si>
  <si>
    <t>EMSG:For input string: "true"STRACE:java.base/java.lang.NumberFormatException.forInputString(NumberFormatException.java:XXXSTRACERAW:-</t>
  </si>
  <si>
    <t>EMSG:GABRIELA DE LEONSTRACE:com.farmers.config.pa.validator.BrightlineValidator.validateQuoteBrightlineRules(BrightlineValidator.gs:XXXSTRACERAW:-</t>
  </si>
  <si>
    <t>EMSG:GABRIELA DE LEONSTRACE:gw.job.QuoteProcess.requestQuote(QuoteProcess.gs:XXXSTRACERAW:-</t>
  </si>
  <si>
    <t>EMSG:Jennifer HughesSTRACE:com.farmers.config.pa.validator.BrightlineValidator.validateQuoteBrightlineRules(BrightlineValidator.gs:XXXSTRACERAW:-</t>
  </si>
  <si>
    <t>EMSG:LUW Policy Change Job XXX: The object you are trying to update was XXXSTRACE:XXX/XXX/XXX XXX:XXX AM. Please cancel and retry your change.
LUW Policy Change Job XXX: The object you are trying to update was 'Policy:CN:0128310262057450687506672XXX - CN:0128310262057450687506672XXX', and it was changed by Natalia Velasquez Barrundia at XXX/XXX/XXX XXX:XXX AM. Please cancel and retry your change.
The object you are trying to update was 'Policy:CN:0128310262057450687506672XXX - CN:0128310262057450687506672XXX', and it was changed by Natalia Velasquez Barrundia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</si>
  <si>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'Policy:CN:05208359960650956593005XXX - CN:05208359960650956593005XXX', and it was changed by Terri Lynne Conwell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</si>
  <si>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'Policy:CN:09116035340315106922XXX - CN:09116035340315106922XXX', and it was changed by Toula Brown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</si>
  <si>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'Policy:CN:099457023905397904440337XXX - CN:099457023905397904440337XXX', and it was changed by System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</si>
  <si>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'Policy:CN:1951304809023348015201XXX - CN:1951304809023348015201XXX', and it was changed by System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</si>
  <si>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'Policy:pc:XXX - pc:XXX', and it was changed by Charles Yi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</si>
  <si>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changed by another user. Please try your change again.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</si>
  <si>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'Policy:CN:051751242900043279770512XXX - CN:051751242900043279770512XXX', and it was changed by Georgina Flores at XXX/XXX/XXX XXX:XXX PM. Please cancel and retry your change.
LUW Policy Change Job XXX: The object you are trying to update was 'Policy:CN:051751242900043279770512XXX - CN:051751242900043279770512XXX', and it was changed by Georgina Flores at XXX/XXX/XXX XXX:XXX PM. Please cancel and retry your change.
The object you are trying to update was 'Policy:CN:051751242900043279770512XXX - CN:051751242900043279770512XXX', and it was changed by Georgina Flores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</si>
  <si>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'Policy:CN:051987378800537222350054XXX - CN:051987378800537222350054XXX', and it was changed by Debbie Ann Stroud at XXX/XXX/XXX XXX:XXX PM. Please cancel and retry your change.
The object you are trying to update was 'Policy:CN:051987378800537222350054XXX - CN:051987378800537222350054XXX', and it was changed by Debbie Ann Stroud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</si>
  <si>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'Policy:CN:19008643000703901599XXX - CN:19008643000703901599XXX', and it was changed by Avtarbir Singh at XXX/XXX/XXX XXX:XXX PM. Please cancel and retry your change.
The object you are trying to update was 'Policy:CN:19008643000703901599XXX - CN:19008643000703901599XXX', and it was changed by Avtarbir Singh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</si>
  <si>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'Policy:CN:1905299038074541364601XXX - CN:1905299038074541364601XXX', and it was changed by Natalie Ann Arola at XXX/XXX/XXX XXX:XXX PM. Please cancel and retry your change.
LUW Policy Change Job XXX: The object you are trying to update was 'Policy:CN:1905299038074541364601XXX - CN:1905299038074541364601XXX', and it was changed by Natalie Ann Arola at XXX/XXX/XXX XXX:XXX PM. Please cancel and retry your change.
The object you are trying to update was 'Policy:CN:1905299038074541364601XXX - CN:1905299038074541364601XXX', and it was changed by Natalie Ann Arola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</si>
  <si>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LUW Policy Change Job XXX: The object you are trying to update was 'Policy:pc:XXX - pc:XXX', and it was changed by System at XXX/XXX/XXX XXX:XXX PM. Please cancel and retry your change.
The object you are trying to update was 'Policy:pc:XXX - pc:XXX', and it was changed by System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</si>
  <si>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'Policy:CN:09236775770402951052XXX - CN:09236775770402951052XXX', and it was changed by System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</si>
  <si>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'Policy:CN:09475899420588266672089XXX - CN:09475899420588266672089XXX', and it was changed by System U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</si>
  <si>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'Policy:pc:XXX - pc:XXX', and it was changed by Anthony Michael Rodriguez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</si>
  <si>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'Policy:pc:XXX - pc:XXX', and it was changed by Chase Minhondo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</si>
  <si>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'Policy:pc:XXX - pc:XXX', and it was changed by Steven Van De Voorde at XXX/XXX/XXX XXX:XXX PM. Please cancel and retry your change.
	at gw.acc.luw.LUWExceptionHelper.processUserDisplayableException(LUWExceptionHelper.gs:XXXSTRACERAW:-</t>
  </si>
  <si>
    <t>EMSG:No more data to read from socketSTRACE:com.farmers.integ.framework.job.automatejob.AutomatedJob.executeJob(AutomatedJob.gs:XXXSTRACERAW:-</t>
  </si>
  <si>
    <t>EMSG:PEDRO MARTINEZSTRACE:com.farmers.config.pa.validator.BrightlineValidator.validateQuoteBrightlineRules(BrightlineValidator.gs:XXXSTRACERAW:-</t>
  </si>
  <si>
    <t>EMSG:Re-enter "License #". Duplicate License Number entered for the following Drivers ALEX MARTINEZSTRACE:edge.capabilities.quote.submission.quoting.util.SubmissionUnderwritingIssuesUtil.checkVerifyRateExceptions(SubmissionUnderwritingIssuesUtil.gs:XXXSTRACERAW:-</t>
  </si>
  <si>
    <t>EMSG:Re-enter "License #". Duplicate License Number entered for the following Drivers Bryan Barragan NunezSTRACE:edge.capabilities.quote.submission.quoting.util.SubmissionUnderwritingIssuesUtil.checkVerifyRateExceptions(SubmissionUnderwritingIssuesUtil.gs:XXXSTRACERAW:-</t>
  </si>
  <si>
    <t>EMSG:Remove Mohamed Omer in order to add the contact as a driverSTRACE:edge.capabilities.policychange.lob.personalauto.coverables.DefaultPaCoverablePlugin.updateCoverables(DefaultPaCoverablePlugin.gs:XXXSTRACERAW:-</t>
  </si>
  <si>
    <t>EMSG:Remove duplicate driver Free Lk Gao. Two or more non-drivers with the same information exist.STRACE:edge.capabilities.policychange.lob.personalauto.coverables.DefaultPaCoverablePlugin.updateCoverables(DefaultPaCoverablePlugin.gs:XXXSTRACERAW:-</t>
  </si>
  <si>
    <t>EMSG:Remove duplicate driver Gustavo Jose Nava Barrera. Two or more drivers with the same information exist.STRACE:edge.capabilities.policychange.lob.personalauto.coverables.DefaultPaCoverablePlugin.updateCoverables(DefaultPaCoverablePlugin.gs:XXXSTRACERAW:-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</si>
  <si>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BMW XXX I XXXD SA SULEV. Primary Driver should be an Active Driver.
Change Primary Driver on the Vehicle XXX TOYOTA XXXRUNNER XXXD XXXXXXX SRXXX VXXX.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</si>
  <si>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BMW XXXX XXXD XXXWD XDRIVE MXXXI.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</si>
  <si>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NISSAN FRONTIER PU KING CAB XXXXXXX. Primary Driver should be an Active Driver.
Change Primary Driver on the Vehicle XXX CHEVROLET TRUCK SXXX PU EXT CAB XXXWD.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</si>
  <si>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NISSAN XXXZ XXXDOOR. Primary Driver should be an Active Driver.
Change Primary Driver on the Vehicle XXX RAM XXX CREW SHORT XXXXXXX BIG HORN.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</si>
  <si>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PORSCHE XXX CARRERA XXX/CARRERA XXX COUPE.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</si>
  <si>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TOYOTA COROLLA SEDAN XXXWD L/LE. Primary Driver should be an Active Driver.
Change Primary Driver on the Vehicle XXX TOYOTA CAMRY HYBRID XXXD.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</si>
  <si>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Change Primary Driver on the Vehicle XXX TOYOTA PU X CAB XXX/XXXT XXXXXXX DELUXE. Primary Driver should be an Active Driver.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</si>
  <si>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Aria Mashhoon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</si>
  <si>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BRIANNAH HERRERA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</si>
  <si>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Gianni Nafso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</si>
  <si>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HUI WANG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</si>
  <si>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MALVINA GHAWI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</si>
  <si>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MITCHELL GRIMENSTEIN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</si>
  <si>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RUCHI ARORA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</si>
  <si>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SARAH AUDISS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</si>
  <si>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WINSON TSE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</si>
  <si>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Update Primary Use for vehicles with LILU GAN selected as the Primary Driver. When multiple vehicles have the same Primary Driver, only one of those vehicles can have a Primary Use of Commute.
	at com.farmers.lob.pa.driverassignment.DriverAssignment.validateData(DriverAssignment.gs:XXXSTRACERAW:-</t>
  </si>
  <si>
    <t>EMSG:Submission is blocked on BindSTRACE:edge.capabilities.quote.submission.QuoteHandler.retrieve(QuoteHandler.gs:XXXSTRACERAW:-</t>
  </si>
  <si>
    <t>EMSG:The value "THE LAMAS FAMILY IRREVOCABLE TRUSTSTRACE:deployment.pc.war//gw.datatype.impl.StringConstraintsHandlerBase.validateStringLength(StringConstraintsHandlerBase.java:XXXSTRACERAW:-</t>
  </si>
  <si>
    <t>EMSG:The value XXX is not formatted correctly for the field "Comments": Exceeds the maximum length of XXX characters (XXX)STRACE:this time. Billing updates in process.              ;error:entity.PolicyPeriod/Try again later. Unable to make changes at this time. Billing updates in process.              " is not formatted correctly for the field "Comments": Exceeds the maximum length of XXX characters (XXXSTRACERAW:-</t>
  </si>
  <si>
    <t>EMSG:XXX LINCOLN MKC XXXD XXXWD LS in Colorado: Coverage is on Comprehensive is now available and its value must be verified by the user.; XXX LINCOLN MKC XXXD XXXWD LS in Colorado: Coverage is on Collision is now available and its value must be verified by the user.; XXX LINCOLN MKC XXXD XXXWD LS in Colorado: Coverage is on Roadside Assistance is now available and its value must be verified by the user.; XXX LINCOLN MKC XXXD XXXWD LS in Colorado: Coverage is on Rental Alternative is now available and its value must be verified by the user.; XXX LINCOLN MKC XXXD XXXWD LS in Colorado: No message configuredSTRACE:gw.api.extension.PCExtensionInterfacesMapper$block_XXX_.invoke(PCExtensionInterfacesMapper.gs:XXXSTRACERAW:-</t>
  </si>
  <si>
    <t>EMSG:XXX has exceeded the accident and/or violation threshold for eligibility in this program.STRACE:Ryskulova has exceeded the accident and/or violation threshold for eligibility in this program.
	at com.farmers.config.pa.validator.BrightlineValidator.validateQuoteBrightlineRules(BrightlineValidator.gs:XXXSTRACERAW:-</t>
  </si>
  <si>
    <t>EMSG:class gw.lang.parser.EvaluationException cannot be cast to class edge.validation.EdgeValidationException (gw.lang.parser.EvaluationException is in unnamed module of loader 'deployment.pc.war' @XXXaffXXXbXXX; edge.validation.EdgeValidationException is in unnamed module of loader com.guidewire.pl.system.gosu.GosuPluginContainer @XXXSTRACE:edge.capabilities.policychange.GatewayPolicyChangeHandler$block_XXX_.invoke(GatewayPolicyChangeHandler.gs:XXXSTRACERAW:-</t>
  </si>
  <si>
    <t>EMSG:</t>
  </si>
  <si>
    <t xml:space="preserve"> RiskSegment is either nullSTRACE:-STRACERAW:</t>
  </si>
  <si>
    <t>EMSG:, AOR=XXXSTRACE:java.base/java.util.ArrayList.&lt;init&gt;(ArrayList.java:XXXSTRACERAW:-</t>
  </si>
  <si>
    <t>EMSG:-STRACE:-STRACERAW:&amp;amp; Watercraft</t>
  </si>
  <si>
    <t>EMSG:-STRACE:-STRACERAW:Feb XXX XXX:XXX:XXX PST XXX, MSG=Transaction Failed. Failed to parse response : Unrecognized token 'No': was expecting (JSON String, Number, Array, Object or token 'null', 'true' or 'false'</t>
  </si>
  <si>
    <t>EMSG:-STRACE:-STRACERAW:com.farmers.automation.gosuscript.gosuutil.GosuScriptUtil.retrieveGosuScriptUnProcessedRecords(GosuScriptUtil.gs:XXX</t>
  </si>
  <si>
    <t>EMSG:-STRACE:-STRACERAW:com.guidewire.pc.domain.job.impl.JobImpl.setSelectedVersion(JobImpl.java:XXX</t>
  </si>
  <si>
    <t>EMSG:-STRACE:-STRACERAW:com.guidewire.pl.metadata.datatypeXXX.fieldvalidator.FieldValidatorInfo.validateFormat(FieldValidatorInfo.java:XXX</t>
  </si>
  <si>
    <t>EMSG:-STRACE:-STRACERAW:deployment.pc.war//com.guidewire.pc.domain.policy.period.impl.PolicyPeriodImpl.lockBranch(PolicyPeriodImpl.java:XXX</t>
  </si>
  <si>
    <t>EMSG:-STRACE:-STRACERAW:gw.plugin.preupdate.impl.DemoPreUpdateImpl.handleJobPreUpdate(DemoPreUpdateImpl.gs:XXX</t>
  </si>
  <si>
    <t>EMSG:-STRACE:-STRACERAW:oracle.jdbc.driver.TXXXCMAREngineNIO.prepareForUnmarshall(TXXXCMAREngineNIO.java:XXX</t>
  </si>
  <si>
    <t>EMSG:-STRACE:allows withdraw
	at gw.job.JobConditions.assertOkay(JobConditions.gs:XXXSTRACERAW:-</t>
  </si>
  <si>
    <t>EMSG:-STRACE:com.farmers.config.pup.policyrefresh.ruleengine.PUPAutomaticUpdateTriggerRules$block_XXX_.invoke(PUPAutomaticUpdateTriggerRules.gs:XXXSTRACERAW:-</t>
  </si>
  <si>
    <t>EMSG:A report shows that the XXXSTRACE:the  XXX CHEVROLET CRUZE LIMITED XXXD LS has been flagged as having Vehicle History activity.
	at edge.capabilities.quote.submission.quoting.util.SubmissionUnderwritingIssuesUtil.checkSideBySideProcessExceptions(SubmissionUnderwritingIssuesUtil.gs:XXXSTRACERAW:-</t>
  </si>
  <si>
    <t>EMSG:A report shows that the XXXSTRACE:the  XXX CHEVROLET TRUCK SLVRDO XXX CR XXXXXXX LT has been flagged as having Vehicle History activity.
	at edge.capabilities.quote.submission.quoting.util.SubmissionUnderwritingIssuesUtil.checkSideBySideProcessExceptions(SubmissionUnderwritingIssuesUtil.gs:XXXSTRACERAW:-</t>
  </si>
  <si>
    <t>EMSG:A report shows that the XXXSTRACE:the  XXX CHEVROLET TRUCK TAHOE  XXXDOOR XXXXXXX, XXX JEEP LIBERTY XXXD XXXXXXX LIMITED has been flagged as having Vehicle History activity.
	at edge.capabilities.quote.submission.quoting.util.SubmissionUnderwritingIssuesUtil.checkSideBySideProcessExceptions(SubmissionUnderwritingIssuesUtil.gs:XXXSTRACERAW:-</t>
  </si>
  <si>
    <t>EMSG:A report shows that the XXXSTRACE:the  XXX FORD TRUCK EXCURSION XXXD XXXXXXX XLT, XXX CHEVROLET TRUCK XXX PICKUP EXT C XXX/XXXT XXXXXXX has been flagged as having Vehicle History activity.
	at edge.capabilities.quote.submission.quoting.util.SubmissionUnderwritingIssuesUtil.checkSideBySideProcessExceptions(SubmissionUnderwritingIssuesUtil.gs:XXXSTRACERAW:-</t>
  </si>
  <si>
    <t>EMSG:A report shows that the XXXSTRACE:the  XXX HONDA ACCORD HYBRID XXXD SPORT has been flagged as having Vehicle History activity.
	at edge.capabilities.quote.submission.quoting.util.SubmissionUnderwritingIssuesUtil.checkSideBySideProcessExceptions(SubmissionUnderwritingIssuesUtil.gs:XXXSTRACERAW:-</t>
  </si>
  <si>
    <t>EMSG:A report shows that the XXXSTRACE:the  XXX HONDA ACCORD XXXD SPORT, XXX HONDA CIVIC XXXD SPORT has been flagged as having Vehicle History activity.
	at edge.capabilities.quote.submission.quoting.util.SubmissionUnderwritingIssuesUtil.checkSideBySideProcessExceptions(SubmissionUnderwritingIssuesUtil.gs:XXXSTRACERAW:-</t>
  </si>
  <si>
    <t>EMSG:A report shows that the XXXSTRACE:the  XXX HONDA ODYSSEY VAN  EX has been flagged as having Vehicle History activity.
	at edge.capabilities.quote.submission.quoting.util.SubmissionUnderwritingIssuesUtil.checkSideBySideProcessExceptions(SubmissionUnderwritingIssuesUtil.gs:XXXSTRACERAW:-</t>
  </si>
  <si>
    <t>EMSG:A report shows that the XXXSTRACE:the  XXX HONDA PILOT XXXD XXXWD EX-L WITH RES has been flagged as having Vehicle History activity.
	at edge.capabilities.quote.submission.quoting.util.SubmissionUnderwritingIssuesUtil.checkSideBySideProcessExceptions(SubmissionUnderwritingIssuesUtil.gs:XXXSTRACERAW:-</t>
  </si>
  <si>
    <t>EMSG:A report shows that the XXXSTRACE:the  XXX INFINITI QXXXX XXXD XXXWD PURE/LUXE has been flagged as having Vehicle History activity.
	at edge.capabilities.quote.submission.quoting.util.SubmissionUnderwritingIssuesUtil.checkSideBySideProcessExceptions(SubmissionUnderwritingIssuesUtil.gs:XXXSTRACERAW:-</t>
  </si>
  <si>
    <t>EMSG:A report shows that the XXXSTRACE:the  XXX MINI COUNTRYMAN SW XXXWD S has been flagged as having Vehicle History activity.
	at edge.capabilities.quote.submission.quoting.util.SubmissionUnderwritingIssuesUtil.checkSideBySideProcessExceptions(SubmissionUnderwritingIssuesUtil.gs:XXXSTRACERAW:-</t>
  </si>
  <si>
    <t>EMSG:A report shows that the XXXSTRACE:the  XXX TOYOTA AVALON XXXD XL/XLS/TOURING/LTD has been flagged as having Vehicle History activity.
	at edge.capabilities.quote.submission.quoting.util.SubmissionUnderwritingIssuesUtil.checkSideBySideProcessExceptions(SubmissionUnderwritingIssuesUtil.gs:XXXSTRACERAW:-</t>
  </si>
  <si>
    <t>EMSG:Access the quote again later and revalidate the policy. Driver Savanna StoneSTRACE:may take XXX days to retrieve.
	at com.farmers.config.pa.mvr.validator.MVRDriverValidator.validateOnlineState(MVRDriverValidator.gs:XXXSTRACERAW:-</t>
  </si>
  <si>
    <t>EMSG:Add Uninsured Motorist - Bodily Injury. It is required for Uninsured Motorist - Property Damage.STRACE:edge.capabilities.quote.submission.quoting.util.SubmissionUnderwritingIssuesUtil.checkSideBySideProcessExceptions(SubmissionUnderwritingIssuesUtil.gs:XXXSTRACERAW:-</t>
  </si>
  <si>
    <t>EMSG:BLANCA ALVARADOSTRACE:com.farmers.config.pa.validator.BrightlineValidator.validateQuoteBrightlineRules(BrightlineValidator.gs:XXXSTRACERAW:-</t>
  </si>
  <si>
    <t>EMSG:Change the FORTIFIED Certificate Expiration Date. Certificate Expiration Date must be after the transaction effective date.;STRACE:edge.capabilities.quote.submission.quoting.util.SubmissionUnderwritingIssuesUtil.checkVerifyRateExceptions(SubmissionUnderwritingIssuesUtil.gs:XXXSTRACERAW:-</t>
  </si>
  <si>
    <t>EMSG:Connection reset by peer (Write failed)STRACE:java.base/java.net.SocketOutputStream.socketWriteXXX(Native MethodSTRACERAW:-</t>
  </si>
  <si>
    <t>EMSG:Connection reset by peer (connect failed)STRACE:java.base/java.net.PlainSocketImpl.socketConnect(Native MethodSTRACERAW:-</t>
  </si>
  <si>
    <t>EMSG:Correct the License # for XXXSTRACE:error
	at com.farmers.integ.framework.job.automatejob.AutomatedJob.executeJob(AutomatedJob.gs:XXXSTRACERAW:-</t>
  </si>
  <si>
    <t>EMSG:Donald FreySTRACE:com.farmers.config.pa.validator.BrightlineValidator.validateQuoteBrightlineRules(BrightlineValidator.gs:XXXSTRACERAW:-</t>
  </si>
  <si>
    <t>EMSG:Dwelling at XXXSTRACE:XXX F St, Staunton, VA: Access Coverage - Limited Water is no longer available and has been removed.; Dwelling at XXX F St, Staunton, VA: Standard Limit on Special Limits on Personal Property is no longer available and has been removed. Please enter a new value.
	at gw.api.extension.PCExtensionInterfacesMapper$block_XXX_.invoke(PCExtensionInterfacesMapper.gs:XXXSTRACERAW:-</t>
  </si>
  <si>
    <t>EMSG:Dwelling at XXXSTRACE:XXX LLAMA CT, VENTURA, CA: $XXX,XXX All Perils on Deductibles is no longer available and has been removed. Please enter a new value.
	at gw.api.extension.PCExtensionInterfacesMapper$block_XXX_.invoke(PCExtensionInterfacesMapper.gs:XXXSTRACERAW:-</t>
  </si>
  <si>
    <t>EMSG:For eligible contact CAROLINA ZERTUCHE MERY credit score is null. Please make sure credit is orderedSTRACE:com.farmers.config.common.credit.CreditScoreHelper.populateRatingCreditDTO(CreditScoreHelper.gs:XXXSTRACERAW:-</t>
  </si>
  <si>
    <t>EMSG:For eligible contact Debra Harvey credit score is null. Please make sure credit is orderedSTRACE:com.farmers.config.common.credit.CreditScoreHelper.populateRatingCreditDTO(CreditScoreHelper.gs:XXXSTRACERAW:-</t>
  </si>
  <si>
    <t>EMSG:For eligible contact Ekkehard Sambolah credit score is null. Please make sure credit is orderedSTRACE:com.farmers.config.common.credit.CreditScoreHelper.populateRatingCreditDTO(CreditScoreHelper.gs:XXXSTRACERAW:-</t>
  </si>
  <si>
    <t>EMSG:For eligible contact GARRICK MITCHELL credit score is null. Please make sure credit is orderedSTRACE:com.farmers.config.common.credit.CreditScoreHelper.populateRatingCreditDTO(CreditScoreHelper.gs:XXXSTRACERAW:-</t>
  </si>
  <si>
    <t>EMSG:For eligible contact Ghias Jabbour credit score is null. Please make sure credit is orderedSTRACE:com.farmers.config.common.credit.CreditScoreHelper.populateRatingCreditDTO(CreditScoreHelper.gs:XXXSTRACERAW:-</t>
  </si>
  <si>
    <t>EMSG:For eligible contact JAYNE MORRISON credit score is null. Please make sure credit is orderedSTRACE:com.farmers.config.common.credit.CreditScoreHelper.populateRatingCreditDTO(CreditScoreHelper.gs:XXXSTRACERAW:-</t>
  </si>
  <si>
    <t>EMSG:For eligible contact Shijo Joseph credit score is null. Please make sure credit is orderedSTRACE:com.farmers.config.common.credit.CreditScoreHelper.populateRatingCreditDTO(CreditScoreHelper.gs:XXXSTRACERAW:-</t>
  </si>
  <si>
    <t>EMSG:For eligible contact Yesenia Mercado credit score is null. Please make sure credit is orderedSTRACE:com.farmers.config.common.credit.CreditScoreHelper.populateRatingCreditDTO(CreditScoreHelper.gs:XXXSTRACERAW:-</t>
  </si>
  <si>
    <t>EMSG:Found more than one target of the property XXXSTRACE:Byways St, South El Monte,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</si>
  <si>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Autumn Wood Cir Null, Lake Elsinore,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</si>
  <si>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Bouquet Canyon Rd, Santa Clarita,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</si>
  <si>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Brenda Way Apt XXX, Union City,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</si>
  <si>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Brookhaven Pass, Vista,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</si>
  <si>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Buccaneer Way, Penn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</si>
  <si>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Corte Arroyo Vis, Temecula,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</si>
  <si>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County Road XXXB, Esparto,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</si>
  <si>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Dogwood Rd, Carlsbad,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</si>
  <si>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Globe Dr, Springville,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</si>
  <si>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Hollister Ranch Rd, Gaviota,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</si>
  <si>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King Rd, Loomis,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</si>
  <si>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Kona Dr Apt B, Huntington Beach,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</si>
  <si>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La Mirada Ave, Oroville,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</si>
  <si>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Lorin Ave, Sacramento,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</si>
  <si>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Mac Tan Ln, Valley Center,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</si>
  <si>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Mauzy Way, El Cajon,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</si>
  <si>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Moontide Ct, Temecula,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</si>
  <si>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Muscat Ave, Reedley,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</si>
  <si>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North St, Susanville,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</si>
  <si>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Our Rd, Lakehead,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</si>
  <si>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Pueblo Trl, Yucca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</si>
  <si>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Quantico Ave, Bakersfield,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</si>
  <si>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Rhona Dr, Laguna Niguel,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</si>
  <si>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 Trevor St, Anaheim,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</si>
  <si>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Saint Charles St W, San Andreas,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</si>
  <si>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Sandhill Rd, Poway,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</si>
  <si>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Shafter Ave, Shafter,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</si>
  <si>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Sloop Dr, Canyon Lake,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</si>
  <si>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Versailles Rd, Chula Vista,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</si>
  <si>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Vista Conejo, Newbury Park,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</si>
  <si>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 Wilson St, Banning,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</si>
  <si>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 XXXnd St, Hawthorne,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</si>
  <si>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Weber Ave, Moreno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</si>
  <si>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Westridge Dr, Kelseyville,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</si>
  <si>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Wimbledon Dr, Corona,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</si>
  <si>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XXXSTRACE:XXXXXX Pilcher St, Susanville,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</si>
  <si>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EMSG:HUGO LARASTRACE:com.farmers.config.pa.validator.BrightlineValidator.validateQuoteBrightlineRules(BrightlineValidator.gs:XXXSTRACERAW:-</t>
  </si>
  <si>
    <t>EMSG:JORDAN MCGUIRESTRACE:com.farmers.config.pa.validator.BrightlineValidator.validateQuoteBrightlineRules(BrightlineValidator.gs:XXXSTRACERAW:-</t>
  </si>
  <si>
    <t>EMSG:JORDAN MCGUIRESTRACE:gw.job.QuoteProcess.requestQuote(QuoteProcess.gs:XXXSTRACERAW:-</t>
  </si>
  <si>
    <t>EMSG:JORGE ALVARADOSTRACE:com.farmers.config.pa.validator.BrightlineValidator.validateQuoteBrightlineRules(BrightlineValidator.gs:XXXSTRACERAW:-</t>
  </si>
  <si>
    <t>EMSG:Janice AndersonSTRACE:com.farmers.config.pa.validator.BrightlineValidator.validateQuoteBrightlineRules(BrightlineValidator.gs:XXXSTRACERAW:-</t>
  </si>
  <si>
    <t>EMSG:LUW Policy Change Job XXX: The object you are trying to update was XXXSTRACE:XXX/XXX/XXX XXX:XXX AM. Please cancel and retry your change.
The object you are trying to update was 'Policy:CN:05208359960650956593005XXX - CN:05208359960650956593005XXX', and it was changed by Terri Lynne Conwell at XXX/XXX/XXX XXX:XXX AM. Please cancel and retry your change.
	at com.farmers.integ.framework.job.automatejob.AutomatedJob.executeJob(AutomatedJob.gs:XXXSTRACERAW:-</t>
  </si>
  <si>
    <t>EMSG:LUW Policy Change Job XXX: The object you are trying to update was XXXSTRACE:XXX/XXX/XXX XXX:XXX AM. Please cancel and retry your change.
The object you are trying to update was 'Policy:CN:099457023905397904440337XXX - CN:099457023905397904440337XXX', and it was changed by System at XXX/XXX/XXX XXX:XXX AM. Please cancel and retry your change.
	at com.farmers.integ.framework.job.automatejob.AutomatedJob.executeJob(AutomatedJob.gs:XXXSTRACERAW:-</t>
  </si>
  <si>
    <t>EMSG:LUW Policy Change Job XXX: The object you are trying to update was XXXSTRACE:XXX/XXX/XXX XXX:XXX AM. Please cancel and retry your change.
The object you are trying to update was 'Policy:pc:XXX - pc:XXX', and it was changed by Charles Yi at XXX/XXX/XXX XXX:XXX AM. Please cancel and retry your change.
	at com.farmers.integ.framework.job.automatejob.AutomatedJob.executeJob(AutomatedJob.gs:XXXSTRACERAW:-</t>
  </si>
  <si>
    <t>EMSG:LUW Policy Change Job XXX: The object you are trying to update was XXXSTRACE:XXX/XXX/XXX XXX:XXX AM. Please cancel and retry your change.
The object you are trying to update was changed by another user. Please try your change again.
	at com.farmers.integ.framework.job.automatejob.AutomatedJob.executeJob(AutomatedJob.gs:XXXSTRACERAW:-</t>
  </si>
  <si>
    <t>EMSG:LUW Policy Change Job XXX: The object you are trying to update was XXXSTRACE:XXX/XXX/XXX XXX:XXX PM. Please cancel and retry your change.
The object you are trying to update was 'Policy:CN:09236775770402951052XXX - CN:09236775770402951052XXX', and it was changed by System at XXX/XXX/XXX XXX:XXX PM. Please cancel and retry your change.
	at com.farmers.integ.framework.job.automatejob.AutomatedJob.executeJob(AutomatedJob.gs:XXXSTRACERAW:-</t>
  </si>
  <si>
    <t>EMSG:LUW Policy Change Job XXX: The object you are trying to update was XXXSTRACE:XXX/XXX/XXX XXX:XXX PM. Please cancel and retry your change.
The object you are trying to update was 'Policy:pc:XXX - pc:XXX', and it was changed by Anthony Michael Rodriguez at XXX/XXX/XXX XXX:XXX PM. Please cancel and retry your change.
	at com.farmers.integ.framework.job.automatejob.AutomatedJob.executeJob(AutomatedJob.gs:XXXSTRACERAW:-</t>
  </si>
  <si>
    <t>EMSG:Laci McreeSTRACE:com.farmers.config.pa.validator.BrightlineValidator.validateQuoteBrightlineRules(BrightlineValidator.gs:XXXSTRACERAW:-</t>
  </si>
  <si>
    <t>EMSG:Leah BernalSTRACE:com.farmers.config.pa.validator.BrightlineValidator.validateQuoteBrightlineRules(BrightlineValidator.gs:XXXSTRACERAW:-</t>
  </si>
  <si>
    <t>EMSG:Leah BernalSTRACE:gw.job.QuoteProcess.requestQuote(QuoteProcess.gs:XXXSTRACERAW:-</t>
  </si>
  <si>
    <t>EMSG:Re-enter "License #". Duplicate License Number entered for the following Drivers Juliette WoodSTRACE:edge.capabilities.quote.submission.quoting.util.SubmissionUnderwritingIssuesUtil.checkVerifyRateExceptions(SubmissionUnderwritingIssuesUtil.gs:XXXSTRACERAW:-</t>
  </si>
  <si>
    <t>EMSG:Remove duplicate driver Alejandro Don Juan. Two or more non-drivers with the same information exist.STRACE:edge.capabilities.policychange.lob.personalauto.coverables.DefaultPaCoverablePlugin.updateCoverables(DefaultPaCoverablePlugin.gs:XXXSTRACERAW:-</t>
  </si>
  <si>
    <t>EMSG:Remove duplicate driver Veryll Anne Monzolin. Two or more non-drivers with the same information exist.STRACE:edge.capabilities.policychange.lob.personalauto.coverables.DefaultPaCoverablePlugin.updateCoverables(DefaultPaCoverablePlugin.gs:XXXSTRACERAW:-</t>
  </si>
  <si>
    <t>EMSG:STEPHANI BROWNSTRACE:com.farmers.config.pa.validator.BrightlineValidator.validateQuoteBrightlineRules(BrightlineValidator.gs:XXXSTRACERAW:-</t>
  </si>
  <si>
    <t>EMSG:Start a quote in a new account. Non-Binary gender is only available for Farmers Flex products.;STRACE:edge.capabilities.quote.submission.quoting.util.SubmissionUnderwritingIssuesUtil.checkVerifyRateExceptions(SubmissionUnderwritingIssuesUtil.gs:XXXSTRACERAW:-</t>
  </si>
  <si>
    <t>EMSG:The value "ESHWAR BELANI &amp; MADHURA BELANISTRACE:deployment.pc.war//gw.datatype.impl.StringConstraintsHandlerBase.validateStringLength(StringConstraintsHandlerBase.java:XXXSTRACERAW:-</t>
  </si>
  <si>
    <t>EMSG:The value "JAMES L. ERNST AND PATRICIA G ERNST JAMES L. ERNST AND PATRICIA G. ERNSTSTRACE:deployment.pc.war//gw.datatype.impl.StringConstraintsHandlerBase.validateStringLength(StringConstraintsHandlerBase.java:XXXSTRACERAW:-</t>
  </si>
  <si>
    <t>EMSG:The value "PAUL DUC NGUYEN AND DONNA KIM NGUYEN HUSBAND AND WIFESTRACE:deployment.pc.war//gw.datatype.impl.StringConstraintsHandlerBase.validateStringLength(StringConstraintsHandlerBase.java:XXXSTRACERAW:-</t>
  </si>
  <si>
    <t>EMSG:The value "STEPHEN E. AND THERESA L. ENSBERGSTRACE:deployment.pc.war//gw.datatype.impl.StringConstraintsHandlerBase.validateStringLength(StringConstraintsHandlerBase.java:XXXSTRACERAW:-</t>
  </si>
  <si>
    <t>EMSG:The value "THE FAMILY TRUST OF EUGENE R STEWART AND LINDA C STEWARTSTRACE:deployment.pc.war//gw.datatype.impl.StringConstraintsHandlerBase.validateStringLength(StringConstraintsHandlerBase.java:XXXSTRACERAW:-</t>
  </si>
  <si>
    <t>EMSG:The value "XXX% RUTH M MUSATSTRACE:deployment.pc.war//gw.datatype.impl.StringConstraintsHandlerBase.validateStringLength(StringConstraintsHandlerBase.java:XXXSTRACERAW:-</t>
  </si>
  <si>
    <t>EMSG:The value XXX is not formatted correctly for the field "Description": Exceeds the maximum length of XXX characters (XXX)STRACE:deployment.pc.war//gw.datatype.impl.StringConstraintsHandlerBase.validateStringLength(StringConstraintsHandlerBase.java:XXXSTRACERAW:-</t>
  </si>
  <si>
    <t>EMSG:UTFXXX Codepoint XXXxXXX is not valid for XML contentSTRACE:deployment.pc.war//gw.internal.xml.XmlWriter.xmlEncode(XmlWriter.java:XXXSTRACERAW:-</t>
  </si>
  <si>
    <t>EMSG:Update 'What vehicle do you customarily drive?' for Jalisa Drew-copeland. This is required for active drivers.STRACE:vehicle do you customarily drive?' for Jalisa Drew-copeland. This is required for active drivers.
	at edge.capabilities.quote.submission.quoting.util.SubmissionUnderwritingIssuesUtil.checkSideBySideProcessExceptions(SubmissionUnderwritingIssuesUtil.gs:XXXSTRACERAW:-</t>
  </si>
  <si>
    <t>EMSG:Update Age Lic In US/CAN for Rachelle Wilson. Field must be numeric and should be at least XXX years.STRACE:least XXX years.
	at edge.capabilities.quote.submission.quoting.util.SubmissionUnderwritingIssuesUtil.checkSideBySideProcessExceptions(SubmissionUnderwritingIssuesUtil.gs:XXXSTRACERAW:-</t>
  </si>
  <si>
    <t>EMSG:Update Age Lic in US/CAN for HASINA SHINWARY. Age cannot be greater than current year minus Date of birth.STRACE:edge.capabilities.quote.submission.quoting.util.SubmissionUnderwritingIssuesUtil.checkSideBySideProcessExceptions(SubmissionUnderwritingIssuesUtil.gs:XXXSTRACERAW:-</t>
  </si>
  <si>
    <t>EMSG:Update Relationship to PNI. The Primary Named Insured cannot be a Non-Driver.STRACE:edge.capabilities.quote.submission.quoting.util.SubmissionUnderwritingIssuesUtil.checkSideBySideProcessExceptions(SubmissionUnderwritingIssuesUtil.gs:XXXSTRACERAW:-</t>
  </si>
  <si>
    <t>EMSG:Update the garaging address for XXXSTRACE:edge.capabilities.quote.submission.quoting.util.SubmissionUnderwritingIssuesUtil.checkSideBySideProcessExceptions(SubmissionUnderwritingIssuesUtil.gs:XXXSTRACERAW:-</t>
  </si>
  <si>
    <t>EMSG:Update the missing required field. Garaged ZIP Town for vehicle XXX TOYOTA VENZA XXXD XXXWD LE/XLE needs to be selected when Garaging location ZIP code is associated with multiple town names.;STRACE:edge.capabilities.quote.submission.quoting.util.SubmissionUnderwritingIssuesUtil.checkVerifyRateExceptions(SubmissionUnderwritingIssuesUtil.gs:XXXSTRACERAW:-</t>
  </si>
  <si>
    <t>EMSG:XXX JEEP CHEROKEE XXXD XXXXXXX LATITUDE in Colorado: Coverage is on Comprehensive is now available and its value must be verified by the user.; XXX JEEP CHEROKEE XXXD XXXXXXX LATITUDE in Colorado: Coverage is on Collision is now available and its value must be verified by the user.; XXX JEEP CHEROKEE XXXD XXXXXXX LATITUDE in Colorado: Coverage is on Roadside Assistance is now available and its value must be verified by the user.; XXX JEEP CHEROKEE XXXD XXXXXXX LATITUDE in Colorado: Coverage is on Rental Alternative is now available and its value must be verified by the user.; XXX JEEP CHEROKEE XXXD XXXXXXX LATITUDE in Colorado: Coverage is on $XXX Glass Deductible is now available and its value must be verified by the user.STRACE:gw.api.extension.PCExtensionInterfacesMapper$block_XXX_.invoke(PCExtensionInterfacesMapper.gs:XXXSTRACERAW:-</t>
  </si>
  <si>
    <t>EMSG:XXX already belongs to added set?STRACE:deployment.pc.war//com.guidewire.pl.system.bundle.ArrayDelta.add(ArrayDelta.java:XXXSTRACERAW:-</t>
  </si>
  <si>
    <t>EMSG:XXX has exceeded the accident and/or violation threshold for eligibility in this program.STRACE:Siller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</si>
  <si>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program.STRACE:Siller has exceeded the accident and/or violation threshold for eligibility in this program.
	at gw.job.QuoteProcess.requestQuote(QuoteProcess.gs:XXXSTRACERAW:-</t>
  </si>
  <si>
    <t>EMSG:com.guidewire.pl.system.entity.proxy.EffDatedVersionListOverlapException: PersonalAutoLine with FixedID:XXX and window XXXSTRACE:com.farmers.integ.documentmgmt.ondemand.api.transformer.GetPolicyDetailsRestRequestTransformer.transform(GetPolicyDetailsRestRequestTransformer.gs:XXXSTRACERAW:-</t>
  </si>
  <si>
    <t>EMSG:gw.xml.ws.WebServiceException: The server at https://services-mgeisg.farmersinsurance.com/policybillingms/vXXX/billpresentmentservice returned HTTP Response Code XXXSTRACE:https://services-mgeisg.farmersinsurance.com/policybillingms/vXXX/billpresentmentservice returned HTTP Response Code XXX
	at deployment.pc.war//gw.internal.xml.ws.WsdlPortImpl.invoke(WsdlPortImpl.java:XXXSTRACERAW:-</t>
  </si>
  <si>
    <t>EMSG:gw.xml.ws.WebServiceException: The server at https://services-mgeisg.farmersinsurance.com/policybillingms/vXXX/collectionmanagementservice returned HTTP Response Code XXXSTRACE:https://services-mgeisg.farmersinsurance.com/policybillingms/vXXX/collectionmanagementservice returned HTTP Response Code XXX
	at deployment.pc.war//gw.internal.xml.ws.WsdlPortImpl.invoke(WsdlPortImpl.java:XXXSTRACERAW:-</t>
  </si>
  <si>
    <t>EMSG:java.lang.IllegalArgumentException: UTFXXX Codepoint XXXxb is not valid for XML contentSTRACE:deployment.pc.war//gw.internal.xml.ws.WsdlPortImpl.invoke(WsdlPortImpl.java:XXXSTRACERAW:-</t>
  </si>
  <si>
    <t>EMSG:java.lang.IllegalStateException: Attempt to access bean of type "HomeownersLine_HOE" id=XXX with a null bundleSTRACE:com.farmers.integ.framework.service.rest.RestServiceAdapter.invokeService(RestServiceAdapter.gs:XXXSTRACERAW:-</t>
  </si>
  <si>
    <t>EMSG:java.sql.SQLRecoverableException: Closed ConnectionSTRACE:com.farmers.integ.framework.job.automatejob.AutomatedJob.executeJob(AutomatedJob.gs:XXXSTRACERAW:-</t>
  </si>
  <si>
    <t>EMSG:, AOR=XXXSTRACE:com.farmers.integ.fwsConversion.prefill.FWSConversionHomePoliciesProcessor.updateContactData(FWSConversionHomePoliciesProcessor.gs:XXXSTRACERAW:-</t>
  </si>
  <si>
    <t>EMSG:, AOR=XXXSTRACE:com.farmers.rating.pup.prerating.underlyingfactor.impl.UnderlyingFactorCalculatorImpl$block_XXX_.invoke(UnderlyingFactorCalculatorImpl.gs:XXXSTRACERAW:-</t>
  </si>
  <si>
    <t>EMSG:, AOR=XXXSTRACE:deployment.pc.war//com.google.common.base.Preconditions.checkNotNull(Preconditions.java:XXXSTRACERAW:-</t>
  </si>
  <si>
    <t>EMSG:, AOR=XXXSTRACE:deployment.pc.war//gw.api.domain.account.AbstractAccountSyncedFieldImpl.getAccountEntityFieldValue(AbstractAccountSyncedFieldImpl.java:XXXSTRACERAW:-</t>
  </si>
  <si>
    <t>EMSG:-STRACE:-STRACERAW:Feb XXX XXX:XXX:XXX PST XXX, MSG=HTTP POST on resource 'https://decisioning.lexisnexisrisk.com:XXX/farmers/risk' failed: bad gateway (XXX</t>
  </si>
  <si>
    <t>EMSG:-STRACE:-STRACERAW:Feb XXX XXX:XXX:XXX PST XXX, MSG=Transaction Failed. Failed to parse response : Cannot deserialize value of type `java.lang.String` from Array value (token `JsonToken.START_ARRAY`</t>
  </si>
  <si>
    <t>EMSG:-STRACE:-STRACERAW:com.farmers.integ.batch.massmortgagee.plugin.MassMortgageeUpdateDailyBatchImpl.processWorkItem(MassMortgageeUpdateDailyBatchImpl.gs:XXX</t>
  </si>
  <si>
    <t>EMSG:-STRACE:-STRACERAW:com.farmers.rating.pup.prerating.underlyingfactor.impl.UnderlyingFactorCalculatorImpl$block_XXX_.invoke(UnderlyingFactorCalculatorImpl.gs:XXX</t>
  </si>
  <si>
    <t>EMSG:-STRACE:-STRACERAW:com.google.common.base.Preconditions.checkNotNull(Preconditions.java:XXX</t>
  </si>
  <si>
    <t>EMSG:-STRACE:-STRACERAW:com.guidewire.pc.domain.policy.period.impl.PolicyPeriodImpl.checkOfferingAgainstProductModel(PolicyPeriodImpl.java:XXX</t>
  </si>
  <si>
    <t>EMSG:-STRACE:-STRACERAW:com.guidewire.pl.persistence.code.DelegateImplType.equals(DelegateImplType.java:XXX</t>
  </si>
  <si>
    <t>EMSG:-STRACE:-STRACERAW:com.guidewire.pl.system.batchprocessing.BatchProcessStartupHelper.canRunOnThisServer(BatchProcessStartupHelper.java:XXX</t>
  </si>
  <si>
    <t>EMSG:-STRACE:-STRACERAW:com.guidewire.pl.system.bundle.ArrayDelta.rekey(ArrayDelta.java:XXX</t>
  </si>
  <si>
    <t>EMSG:-STRACE:-STRACERAW:deployment.pc.war//com.guidewire.pl.system.entity.proxy.EffDatedBranchProxy.isChanged(EffDatedBranchProxy.java:XXX</t>
  </si>
  <si>
    <t>EMSG:-STRACE:-STRACERAW:gw.lang.reflect.module.TypeSystemLockHelper.dumpAllStackTraces(TypeSystemLockHelper.java:XXX</t>
  </si>
  <si>
    <t>EMSG:-STRACE:-STRACERAW:gw.lob.pup.PUPLineMethods_PUE.getTransactions(PUPLineMethods_PUE.gs:XXX</t>
  </si>
  <si>
    <t>EMSG:-STRACE:-STRACERAW:gw.plugin.productmodel.impl.ReferenceDatePlugin.getCoverageReferenceDate(ReferenceDatePlugin.gs:XXX</t>
  </si>
  <si>
    <t>EMSG:-STRACE:-STRACERAW:gw.util.EffDatedEnhancement.getFixedID(EffDatedEnhancement.gsx:XXX</t>
  </si>
  <si>
    <t>EMSG:-STRACE:-STRACERAW:pcfc.expressions.HOMainCoveragesHOEPanelSetExpressions$DetailViewPanelXXXExpressionsImpl.initialValue_XXX(HOMainCoveragesHOEPanelSetExpressions.gs:XXX</t>
  </si>
  <si>
    <t>EMSG:-STRACE:com.farmers.integ.possiblenow.reconplugin.PossibleNowReconStartablePlugin.onMessage(PossibleNowReconStartablePlugin.gs:XXXSTRACERAW:-</t>
  </si>
  <si>
    <t>EMSG:-STRACE:deployment.pc.war//com.guidewire.pl.system.database.DatabaseChangedBeanWriter.getExpectedBeanVersions(DatabaseChangedBeanWriter.java:XXXSTRACERAW:-</t>
  </si>
  <si>
    <t>EMSG:AARON AlmeidaSTRACE:com.farmers.config.pa.validator.BrightlineValidator.validateQuoteBrightlineRules(BrightlineValidator.gs:XXXSTRACERAW:-</t>
  </si>
  <si>
    <t>EMSG:AARON AlmeidaSTRACE:gw.job.QuoteProcess.requestQuote(QuoteProcess.gs:XXXSTRACERAW:-</t>
  </si>
  <si>
    <t>EMSG:ADAM JOHNSONSTRACE:com.farmers.config.pa.validator.BrightlineValidator.validateQuoteBrightlineRules(BrightlineValidator.gs:XXXSTRACERAW:-</t>
  </si>
  <si>
    <t>EMSG:ADAM JOHNSONSTRACE:gw.job.QuoteProcess.requestQuote(QuoteProcess.gs:XXXSTRACERAW:-</t>
  </si>
  <si>
    <t>EMSG:ADRIAN LOPEZ SERRANOSTRACE:com.farmers.config.pa.validator.BrightlineValidator.validateQuoteBrightlineRules(BrightlineValidator.gs:XXXSTRACERAW:-</t>
  </si>
  <si>
    <t>EMSG:ADRIAN LOPEZ SERRANOSTRACE:gw.job.QuoteProcess.requestQuote(QuoteProcess.gs:XXXSTRACERAW:-</t>
  </si>
  <si>
    <t>EMSG:ALEKSANDR TONKIKHSTRACE:com.farmers.config.pa.validator.BrightlineValidator.validateQuoteBrightlineRules(BrightlineValidator.gs:XXXSTRACERAW:-</t>
  </si>
  <si>
    <t>EMSG:ALEKSANDR TONKIKHSTRACE:gw.job.QuoteProcess.requestQuote(QuoteProcess.gs:XXXSTRACERAW:-</t>
  </si>
  <si>
    <t>EMSG:ANDREW MERAZSTRACE:com.farmers.config.pa.validator.BrightlineValidator.validateQuoteBrightlineRules(BrightlineValidator.gs:XXXSTRACERAW:-</t>
  </si>
  <si>
    <t>EMSG:ANDREW MERAZSTRACE:gw.job.QuoteProcess.requestQuote(QuoteProcess.gs:XXXSTRACERAW:-</t>
  </si>
  <si>
    <t>EMSG:Achyut PrasaiSTRACE:com.farmers.config.pa.validator.BrightlineValidator.validateQuoteBrightlineRules(BrightlineValidator.gs:XXXSTRACERAW:-</t>
  </si>
  <si>
    <t>EMSG:Achyut PrasaiSTRACE:gw.job.QuoteProcess.requestQuote(QuoteProcess.gs:XXXSTRACERAW:-</t>
  </si>
  <si>
    <t>EMSG:Add License State for STEWART CALLOWAYSTRACE:com.farmers.config.pa.mvr.validator.MVRDriverValidator.throwDisplayableExceptionIfNeeded(MVRDriverValidator.gs:XXXSTRACERAW:-</t>
  </si>
  <si>
    <t>EMSG:Add License State for STEWART CALLOWAYSTRACE:gw.job.QuoteProcess.requestQuote(QuoteProcess.gs:XXXSTRACERAW:-</t>
  </si>
  <si>
    <t>EMSG:Albert NelsonSTRACE:com.farmers.config.pa.validator.BrightlineValidator.validateQuoteBrightlineRules(BrightlineValidator.gs:XXXSTRACERAW:-</t>
  </si>
  <si>
    <t>EMSG:Albert WengerdSTRACE:com.farmers.config.pa.validator.BrightlineValidator.validateQuoteBrightlineRules(BrightlineValidator.gs:XXXSTRACERAW:-</t>
  </si>
  <si>
    <t>EMSG:Albert WengerdSTRACE:gw.job.QuoteProcess.requestQuote(QuoteProcess.gs:XXXSTRACERAW:-</t>
  </si>
  <si>
    <t>EMSG:Alonzo AragonSTRACE:com.farmers.config.pa.validator.BrightlineValidator.validateQuoteBrightlineRules(BrightlineValidator.gs:XXXSTRACERAW:-</t>
  </si>
  <si>
    <t>EMSG:Alonzo AragonSTRACE:gw.job.QuoteProcess.requestQuote(QuoteProcess.gs:XXXSTRACERAW:-</t>
  </si>
  <si>
    <t>EMSG:Asia TurnerSTRACE:com.farmers.config.pa.validator.BrightlineValidator.validateQuoteBrightlineRules(BrightlineValidator.gs:XXXSTRACERAW:-</t>
  </si>
  <si>
    <t>EMSG:Attempt to access bean of type "ProducerCode" id=XXX with a null bundleSTRACE:deployment.pc.war//com.guidewire.pl.system.entity.proxy.BeanProxy.checkIsInBundle(BeanProxy.java:XXXSTRACERAW:-</t>
  </si>
  <si>
    <t>EMSG:BAILEY SOUTHERLANDSTRACE:com.farmers.config.pa.validator.BrightlineValidator.validateQuoteBrightlineRules(BrightlineValidator.gs:XXXSTRACERAW:-</t>
  </si>
  <si>
    <t>EMSG:BAILEY SOUTHERLANDSTRACE:gw.job.QuoteProcess.requestQuote(QuoteProcess.gs:XXXSTRACERAW:-</t>
  </si>
  <si>
    <t>EMSG:BECK BUSTAMANTESTRACE:com.farmers.config.pa.validator.BrightlineValidator.validateQuoteBrightlineRules(BrightlineValidator.gs:XXXSTRACERAW:-</t>
  </si>
  <si>
    <t>EMSG:BRITTANY LOWESTRACE:com.farmers.config.pa.validator.BrightlineValidator.validateQuoteBrightlineRules(BrightlineValidator.gs:XXXSTRACERAW:-</t>
  </si>
  <si>
    <t>EMSG:Brianna SmithSTRACE:com.farmers.config.pa.validator.BrightlineValidator.validateQuoteBrightlineRules(BrightlineValidator.gs:XXXSTRACERAW:-</t>
  </si>
  <si>
    <t>EMSG:Bryan CrispSTRACE:com.farmers.config.pa.validator.BrightlineValidator.validateQuoteBrightlineRules(BrightlineValidator.gs:XXXSTRACERAW:-</t>
  </si>
  <si>
    <t>EMSG:Bryan CrispSTRACE:gw.job.QuoteProcess.requestQuote(QuoteProcess.gs:XXXSTRACERAW:-</t>
  </si>
  <si>
    <t>EMSG:CALLUM WILSONSTRACE:com.farmers.config.pa.validator.BrightlineValidator.validateQuoteBrightlineRules(BrightlineValidator.gs:XXXSTRACERAW:-</t>
  </si>
  <si>
    <t>EMSG:CALLUM WILSONSTRACE:gw.job.QuoteProcess.requestQuote(QuoteProcess.gs:XXXSTRACERAW:-</t>
  </si>
  <si>
    <t>EMSG:CAYDEN EVANSSTRACE:com.farmers.config.pa.validator.BrightlineValidator.validateQuoteBrightlineRules(BrightlineValidator.gs:XXXSTRACERAW:-</t>
  </si>
  <si>
    <t>EMSG:CECILIA EfuetlachaSTRACE:com.farmers.config.pa.validator.BrightlineValidator.validateQuoteBrightlineRules(BrightlineValidator.gs:XXXSTRACERAW:-</t>
  </si>
  <si>
    <t>EMSG:CECILIA EfuetlachaSTRACE:gw.job.QuoteProcess.requestQuote(QuoteProcess.gs:XXXSTRACERAW:-</t>
  </si>
  <si>
    <t>EMSG:CECILIA GUTIERREZSTRACE:com.farmers.config.pa.validator.BrightlineValidator.validateQuoteBrightlineRules(BrightlineValidator.gs:XXXSTRACERAW:-</t>
  </si>
  <si>
    <t>EMSG:CECILIA GUTIERREZSTRACE:gw.job.QuoteProcess.requestQuote(QuoteProcess.gs:XXXSTRACERAW:-</t>
  </si>
  <si>
    <t>EMSG:COLE TURNERSTRACE:com.farmers.config.pa.validator.BrightlineValidator.validateQuoteBrightlineRules(BrightlineValidator.gs:XXXSTRACERAW:-</t>
  </si>
  <si>
    <t>EMSG:COLE TURNERSTRACE:gw.job.QuoteProcess.requestQuote(QuoteProcess.gs:XXXSTRACERAW:-</t>
  </si>
  <si>
    <t>EMSG:CZESLAW PILATSTRACE:com.farmers.config.pa.validator.BrightlineValidator.validateQuoteBrightlineRules(BrightlineValidator.gs:XXXSTRACERAW:-</t>
  </si>
  <si>
    <t>EMSG:CZESLAW PILATSTRACE:gw.job.QuoteProcess.requestQuote(QuoteProcess.gs:XXXSTRACERAW:-</t>
  </si>
  <si>
    <t>EMSG:Can't change the bundle of a bean without first removing it from the bundleSTRACE:deployment.pc.war//com.guidewire.pl.system.entity.proxy.BeanProxy.setBundle(BeanProxy.java:XXXSTRACERAW:-</t>
  </si>
  <si>
    <t>EMSG:Cannot resolve an incident record XXX of contact role Incident Entity PCR - XXX to a single driver with Contact Roles Gary Green : XXXSusanne Green : XXXSTRACE:com.farmers.chargeability.pa.info.PAIncidentInfoDto.mapFromEntity(PAIncidentInfoDto.gs:XXXSTRACERAW:-</t>
  </si>
  <si>
    <t>EMSG:Cannot resolve an incident record XXX of contact role Incident Entity PCR - XXX to a single driver with Contact Roles Nicolas Favela : XXXMaria Favela : XXXSTRACE:com.farmers.chargeability.pa.info.PAIncidentInfoDto.mapFromEntity(PAIncidentInfoDto.gs:XXXSTRACERAW:-</t>
  </si>
  <si>
    <t>EMSG:Cannot resolve an incident record XXX of contact role Incident Entity PCR - XXX to a single driver with Contact Roles Patricia Zamora Ramirez : XXXSTRACE:com.farmers.chargeability.pa.info.PAIncidentInfoDto.mapFromEntity(PAIncidentInfoDto.gs:XXXSTRACERAW:-</t>
  </si>
  <si>
    <t>EMSG:Chang AnSTRACE:com.farmers.config.pa.validator.BrightlineValidator.validateQuoteBrightlineRules(BrightlineValidator.gs:XXXSTRACERAW:-</t>
  </si>
  <si>
    <t>EMSG:Chang AnSTRACE:gw.job.QuoteProcess.requestQuote(QuoteProcess.gs:XXXSTRACERAW:-</t>
  </si>
  <si>
    <t>EMSG:Charles RussellSTRACE:com.farmers.config.pa.validator.BrightlineValidator.validateQuoteBrightlineRules(BrightlineValidator.gs:XXXSTRACERAW:-</t>
  </si>
  <si>
    <t>EMSG:Charles RussellSTRACE:gw.job.QuoteProcess.requestQuote(QuoteProcess.gs:XXXSTRACERAW:-</t>
  </si>
  <si>
    <t>EMSG:Christopher ByramSTRACE:com.farmers.config.pa.validator.BrightlineValidator.validateQuoteBrightlineRules(BrightlineValidator.gs:XXXSTRACERAW:-</t>
  </si>
  <si>
    <t>EMSG:Christopher ByramSTRACE:gw.job.QuoteProcess.requestQuote(QuoteProcess.gs:XXXSTRACERAW:-</t>
  </si>
  <si>
    <t>EMSG:Christy BurdittSTRACE:com.farmers.config.pa.validator.BrightlineValidator.validateQuoteBrightlineRules(BrightlineValidator.gs:XXXSTRACERAW:-</t>
  </si>
  <si>
    <t>EMSG:Christy BurdittSTRACE:gw.job.QuoteProcess.requestQuote(QuoteProcess.gs:XXXSTRACERAW:-</t>
  </si>
  <si>
    <t>EMSG:Christy SnyderSTRACE:com.farmers.config.pa.validator.BrightlineValidator.validateQuoteBrightlineRules(BrightlineValidator.gs:XXXSTRACERAW:-</t>
  </si>
  <si>
    <t>EMSG:Christy SnyderSTRACE:gw.job.QuoteProcess.requestQuote(QuoteProcess.gs:XXXSTRACERAW:-</t>
  </si>
  <si>
    <t>EMSG:Clint MerithewSTRACE:com.farmers.config.pa.validator.BrightlineValidator.validateQuoteBrightlineRules(BrightlineValidator.gs:XXXSTRACERAW:-</t>
  </si>
  <si>
    <t>EMSG:Clint MerithewSTRACE:gw.job.QuoteProcess.requestQuote(QuoteProcess.gs:XXXSTRACERAW:-</t>
  </si>
  <si>
    <t>EMSG:Could not map property (entity-PolicyDriver).DriverSignal_Ext.DiscountAppliedSTRACE:deployment.pc.war//gw.internal.xml.gx.GxRuntime.createElement(GxRuntime.java:XXXSTRACERAW:-</t>
  </si>
  <si>
    <t>EMSG:Could not map property AccmNBPremium_ExtSTRACE:deployment.pc.war//gw.internal.xml.gx.GxRuntime.createElement(GxRuntime.java:XXXSTRACERAW:-</t>
  </si>
  <si>
    <t>EMSG:Could not map property AccmTrnNaturalDisMitFee_ExtSTRACE:deployment.pc.war//gw.internal.xml.gx.GxRuntime.createElement(GxRuntime.java:XXXSTRACERAW:-</t>
  </si>
  <si>
    <t>EMSG:Could not map property CappingResult_Ext.ScenarioPremiums[]STRACE:deployment.pc.war//gw.internal.xml.gx.GxRuntime.createElement(GxRuntime.java:XXXSTRACERAW:-</t>
  </si>
  <si>
    <t>EMSG:Could not map property Policy.LatestPeriodSTRACE:deployment.pc.war//gw.internal.xml.gx.GxRuntime.createElement(GxRuntime.java:XXXSTRACERAW:-</t>
  </si>
  <si>
    <t>EMSG:Could not map property PremiumComponents[]STRACE:deployment.pc.war//gw.internal.xml.gx.GxRuntime.createElement(GxRuntime.java:XXXSTRACERAW:-</t>
  </si>
  <si>
    <t>EMSG:Could not map property RenewalFullTermPremium_ExtSTRACE:deployment.pc.war//gw.internal.xml.gx.GxRuntime.createElement(GxRuntime.java:XXXSTRACERAW:-</t>
  </si>
  <si>
    <t>EMSG:DAT BAOSTRACE:com.farmers.config.pa.validator.BrightlineValidator.validateQuoteBrightlineRules(BrightlineValidator.gs:XXXSTRACERAW:-</t>
  </si>
  <si>
    <t>EMSG:Database bean version conflict : XXXSTRACE:Minh Niem at XXX/XXX/XXX XXX:XXX PM. Please cancel and retry your change.
	at deployment.pc.war//com.guidewire.pl.system.database.DatabaseChangedBeanWriter.createConcurrentDataChangeException(DatabaseChangedBeanWriter.java:XXXSTRACERAW:-</t>
  </si>
  <si>
    <t>EMSG:David GobboSTRACE:com.farmers.config.pa.validator.BrightlineValidator.validateQuoteBrightlineRules(BrightlineValidator.gs:XXXSTRACERAW:-</t>
  </si>
  <si>
    <t>EMSG:Delinda SotoSTRACE:com.farmers.config.pa.validator.BrightlineValidator.validateQuoteBrightlineRules(BrightlineValidator.gs:XXXSTRACERAW:-</t>
  </si>
  <si>
    <t>EMSG:Delinda SotoSTRACE:gw.job.QuoteProcess.requestQuote(QuoteProcess.gs:XXXSTRACERAW:-</t>
  </si>
  <si>
    <t>EMSG:Donna RainesSTRACE:com.farmers.config.pa.validator.BrightlineValidator.validateQuoteBrightlineRules(BrightlineValidator.gs:XXXSTRACERAW:-</t>
  </si>
  <si>
    <t>EMSG:Donna RainesSTRACE:gw.job.QuoteProcess.requestQuote(QuoteProcess.gs:XXXSTRACERAW:-</t>
  </si>
  <si>
    <t>EMSG:Dwelling at XXXSTRACE:XXX Hawk Pride Mountain Rd, Tuscumbia, AL: Perils on Personal Property is now available and its value must be verified by the user.
	at gw.api.extension.PCExtensionInterfacesMapper$block_XXX_.invoke(PCExtensionInterfacesMapper.gs:XXXSTRACERAW:-</t>
  </si>
  <si>
    <t>EMSG:Dwelling at XXXSTRACE:XXX LLAMA CT, VENTURA, CA: $XXX,XXX All Perils on Deductibles is no longer available and has been removed. Please enter a new value.; XXX, XXX/XXX/XXX, XXX/XXX/XXX, XXX: No message configured for MissingQuestionIssue; XXX, XXX/XXX/XXX, XXX/XXX/XXX, XXX: No message configured for MissingQuestionIssue; XXX, XXX/XXX/XXX, XXX/XXX/XXX, XXX: No message configured for MissingQuestionIssue; XXX, XXX/XXX/XXX, XXX/XXX/XXX, XXX: No message configured for MissingQuestionIssue
	at gw.api.extension.PCExtensionInterfacesMapper$block_XXX_.invoke(PCExtensionInterfacesMapper.gs:XXXSTRACERAW:-</t>
  </si>
  <si>
    <t>EMSG:Dwelling at XXXSTRACE:XXX Mary Ln, Coraopolis, PA: Perils on Personal Property is now available and its value must be verified by the user.
	at gw.api.extension.PCExtensionInterfacesMapper$block_XXX_.invoke(PCExtensionInterfacesMapper.gs:XXXSTRACERAW:-</t>
  </si>
  <si>
    <t>EMSG:Dwelling at XXXSTRACE:XXX PINEVIEW, IRVINE, CA: $XXX,XXX All Perils on Deductibles is no longer available and has been removed. Please enter a new value.; XXX, XXX/XXX/XXX, XXX/XXX/XXX, XXX: No message configured for MissingQuestionIssue; XXX, XXX/XXX/XXX, XXX/XXX/XXX, XXX: No message configured for MissingQuestionIssue; XXX, XXX/XXX/XXX, XXX/XXX/XXX, XXX: No message configured for MissingQuestionIssue; XXX, XXX/XXX/XXX, XXX/XXX/XXX, XXX: No message configured for MissingQuestionIssue
	at gw.api.extension.PCExtensionInterfacesMapper$block_XXX_.invoke(PCExtensionInterfacesMapper.gs:XXXSTRACERAW:-</t>
  </si>
  <si>
    <t>EMSG:Dwelling at XXXSTRACE:XXX Rosebud Ter, Southside, AL: Perils on Personal Property is now available and its value must be verified by the user.; Dwelling at XXX Rosebud Ter, Southside, AL: No message configured
	at gw.api.extension.PCExtensionInterfacesMapper$block_XXX_.invoke(PCExtensionInterfacesMapper.gs:XXXSTRACERAW:-</t>
  </si>
  <si>
    <t>EMSG:Dwelling at XXXSTRACE:XXX XXXrd St SE, Lafayette, AL: Perils on Personal Property is now available and its value must be verified by the user.
	at gw.api.extension.PCExtensionInterfacesMapper$block_XXX_.invoke(PCExtensionInterfacesMapper.gs:XXXSTRACERAW:-</t>
  </si>
  <si>
    <t>EMSG:Dwelling at XXXSTRACE:XXX XXXth Ave, Phenix City, AL: Perils on Personal Property is now available and its value must be verified by the user.
	at gw.api.extension.PCExtensionInterfacesMapper$block_XXX_.invoke(PCExtensionInterfacesMapper.gs:XXXSTRACERAW:-</t>
  </si>
  <si>
    <t>EMSG:EFFIE WILLINGSTRACE:com.farmers.config.pa.validator.BrightlineValidator.validateQuoteBrightlineRules(BrightlineValidator.gs:XXXSTRACERAW:-</t>
  </si>
  <si>
    <t>EMSG:Effective ranges overlap for HODwellingAddlInt_HOE with BranchID XXX and with FixedID XXXSTRACE:Apr XXX XXX:XXX:XXX PDT XXX - Sun Apr XXX XXX:XXX:XXX PDT XXX, Sat Apr XXX XXX:XXX:XXX PDT XXX - Sun Apr XXX XXX:XXX:XXX PDT XXX
	at deployment.pc.war//com.guidewire.pl.system.entity.proxy.EffDatedBeanProxy.checkForOverlaps(EffDatedBeanProxy.java:XXXSTRACERAW:-</t>
  </si>
  <si>
    <t>EMSG:Effective ranges overlap for IndividualDriverClassFactor_Ext with BranchID XXX and with FixedID XXXSTRACE:deployment.pc.war//com.guidewire.pl.system.entity.proxy.EffDatedBeanProxy.checkForOverlaps(EffDatedBeanProxy.java:XXXSTRACERAW:-</t>
  </si>
  <si>
    <t>EMSG:Effie WillingSTRACE:gw.job.QuoteProcess.requestQuote(QuoteProcess.gs:XXXSTRACERAW:-</t>
  </si>
  <si>
    <t>EMSG:Failed to execute a querySTRACE:com.farmers.integ.documentmgmt.ondemand.api.transformer.GetPolicyDetailsRestRequestTransformer.transform(GetPolicyDetailsRestRequestTransformer.gs:XXXSTRACERAW:-</t>
  </si>
  <si>
    <t>EMSG:Fatima Giron LazoSTRACE:com.farmers.config.pa.validator.BrightlineValidator.validateQuoteBrightlineRules(BrightlineValidator.gs:XXXSTRACERAW:-</t>
  </si>
  <si>
    <t>EMSG:Fatima Giron LazoSTRACE:gw.job.QuoteProcess.requestQuote(QuoteProcess.gs:XXXSTRACERAW:-</t>
  </si>
  <si>
    <t>EMSG:Francisco ChapaSTRACE:com.farmers.config.pa.validator.BrightlineValidator.validateQuoteBrightlineRules(BrightlineValidator.gs:XXXSTRACERAW:-</t>
  </si>
  <si>
    <t>EMSG:Francisco ChapaSTRACE:gw.job.QuoteProcess.requestQuote(QuoteProcess.gs:XXXSTRACERAW:-</t>
  </si>
  <si>
    <t>EMSG:GRETA ERDMANSTRACE:com.farmers.config.pa.validator.BrightlineValidator.validateQuoteBrightlineRules(BrightlineValidator.gs:XXXSTRACERAW:-</t>
  </si>
  <si>
    <t>EMSG:GRETA ERDMANSTRACE:gw.job.QuoteProcess.requestQuote(QuoteProcess.gs:XXXSTRACERAW:-</t>
  </si>
  <si>
    <t>EMSG:HUGO LARASTRACE:gw.job.QuoteProcess.requestQuote(QuoteProcess.gs:XXXSTRACERAW:-</t>
  </si>
  <si>
    <t>EMSG:Heather WilliamsSTRACE:com.farmers.config.pa.validator.BrightlineValidator.validateQuoteBrightlineRules(BrightlineValidator.gs:XXXSTRACERAW:-</t>
  </si>
  <si>
    <t>EMSG:Heather WilliamsSTRACE:gw.job.QuoteProcess.requestQuote(QuoteProcess.gs:XXXSTRACERAW:-</t>
  </si>
  <si>
    <t>EMSG:IP=XXX.XXX.XXX.XXXSTRACE:-STRACERAW:</t>
  </si>
  <si>
    <t>EMSG:Index XXX out of bounds for length XXXSTRACE:java.base/java.util.ArrayDeque.elementAt(ArrayDeque.java:XXXSTRACERAW:-</t>
  </si>
  <si>
    <t>EMSG:Internal error: bean entity.PolicyAddlNamedInsured:XXX was not staged for edit.STRACE:deployment.pc.war//com.guidewire.pl.system.bundle.EntityBundleImpl.handleBeanChange(EntityBundleImpl.java:XXXSTRACERAW:-</t>
  </si>
  <si>
    <t>EMSG:JASON KRUSESTRACE:com.farmers.config.pa.validator.BrightlineValidator.validateQuoteBrightlineRules(BrightlineValidator.gs:XXXSTRACERAW:-</t>
  </si>
  <si>
    <t>EMSG:JASON KRUSESTRACE:gw.job.QuoteProcess.requestQuote(QuoteProcess.gs:XXXSTRACERAW:-</t>
  </si>
  <si>
    <t>EMSG:JONATHAN LASSSTRACE:com.farmers.config.pa.validator.BrightlineValidator.validateQuoteBrightlineRules(BrightlineValidator.gs:XXXSTRACERAW:-</t>
  </si>
  <si>
    <t>EMSG:JONATHAN LASSSTRACE:gw.job.QuoteProcess.requestQuote(QuoteProcess.gs:XXXSTRACERAW:-</t>
  </si>
  <si>
    <t>EMSG:JOSE PORTILLOSTRACE:com.farmers.config.pa.validator.BrightlineValidator.validateQuoteBrightlineRules(BrightlineValidator.gs:XXXSTRACERAW:-</t>
  </si>
  <si>
    <t>EMSG:JOSE PORTILLOSTRACE:gw.job.QuoteProcess.requestQuote(QuoteProcess.gs:XXXSTRACERAW:-</t>
  </si>
  <si>
    <t>EMSG:Jack ShawSTRACE:com.farmers.config.pa.validator.BrightlineValidator.validateQuoteBrightlineRules(BrightlineValidator.gs:XXXSTRACERAW:-</t>
  </si>
  <si>
    <t>EMSG:Jack ShawSTRACE:gw.job.QuoteProcess.requestQuote(QuoteProcess.gs:XXXSTRACERAW:-</t>
  </si>
  <si>
    <t>EMSG:James KingSTRACE:com.farmers.config.pa.validator.BrightlineValidator.validateQuoteBrightlineRules(BrightlineValidator.gs:XXXSTRACERAW:-</t>
  </si>
  <si>
    <t>EMSG:James KingSTRACE:gw.job.QuoteProcess.requestQuote(QuoteProcess.gs:XXXSTRACERAW:-</t>
  </si>
  <si>
    <t>EMSG:James NealSTRACE:com.farmers.config.pa.validator.BrightlineValidator.validateQuoteBrightlineRules(BrightlineValidator.gs:XXXSTRACERAW:-</t>
  </si>
  <si>
    <t>EMSG:James NealSTRACE:gw.job.QuoteProcess.requestQuote(QuoteProcess.gs:XXXSTRACERAW:-</t>
  </si>
  <si>
    <t>EMSG:Jay CohenSTRACE:com.farmers.config.pa.validator.BrightlineValidator.validateQuoteBrightlineRules(BrightlineValidator.gs:XXXSTRACERAW:-</t>
  </si>
  <si>
    <t>EMSG:Jay CohenSTRACE:gw.job.QuoteProcess.requestQuote(QuoteProcess.gs:XXXSTRACERAW:-</t>
  </si>
  <si>
    <t>EMSG:Jeff DanielsSTRACE:com.farmers.config.pa.validator.BrightlineValidator.validateQuoteBrightlineRules(BrightlineValidator.gs:XXXSTRACERAW:-</t>
  </si>
  <si>
    <t>EMSG:Jeff DanielsSTRACE:gw.job.QuoteProcess.requestQuote(QuoteProcess.gs:XXXSTRACERAW:-</t>
  </si>
  <si>
    <t>EMSG:Jennifer HughesSTRACE:gw.job.QuoteProcess.requestQuote(QuoteProcess.gs:XXXSTRACERAW:-</t>
  </si>
  <si>
    <t>EMSG:Jesus Rangel TellezSTRACE:com.farmers.config.pa.validator.BrightlineValidator.validateQuoteBrightlineRules(BrightlineValidator.gs:XXXSTRACERAW:-</t>
  </si>
  <si>
    <t>EMSG:Josue ZapataSTRACE:com.farmers.config.pa.validator.BrightlineValidator.validateQuoteBrightlineRules(BrightlineValidator.gs:XXXSTRACERAW:-</t>
  </si>
  <si>
    <t>EMSG:Josue ZapataSTRACE:gw.job.QuoteProcess.requestQuote(QuoteProcess.gs:XXXSTRACERAW:-</t>
  </si>
  <si>
    <t>EMSG:Juan GutierrezSTRACE:com.farmers.config.pa.validator.BrightlineValidator.validateQuoteBrightlineRules(BrightlineValidator.gs:XXXSTRACERAW:-</t>
  </si>
  <si>
    <t>EMSG:Juan GutierrezSTRACE:gw.job.QuoteProcess.requestQuote(QuoteProcess.gs:XXXSTRACERAW:-</t>
  </si>
  <si>
    <t>EMSG:KATHERINE PRUETSTRACE:com.farmers.config.pa.validator.BrightlineValidator.validateQuoteBrightlineRules(BrightlineValidator.gs:XXXSTRACERAW:-</t>
  </si>
  <si>
    <t>EMSG:KATHRYN TASHIANSTRACE:com.farmers.config.pa.validator.BrightlineValidator.validateQuoteBrightlineRules(BrightlineValidator.gs:XXXSTRACERAW:-</t>
  </si>
  <si>
    <t>EMSG:KATHRYN TASHIANSTRACE:gw.job.QuoteProcess.requestQuote(QuoteProcess.gs:XXXSTRACERAW:-</t>
  </si>
  <si>
    <t>EMSG:KELLY THOMPSONSTRACE:com.farmers.config.pa.validator.BrightlineValidator.validateQuoteBrightlineRules(BrightlineValidator.gs:XXXSTRACERAW:-</t>
  </si>
  <si>
    <t>EMSG:KELLY THOMPSONSTRACE:gw.job.QuoteProcess.requestQuote(QuoteProcess.gs:XXXSTRACERAW:-</t>
  </si>
  <si>
    <t>EMSG:LEONARD MIGUELSTRACE:com.farmers.config.pa.validator.BrightlineValidator.validateQuoteBrightlineRules(BrightlineValidator.gs:XXXSTRACERAW:-</t>
  </si>
  <si>
    <t>EMSG:LEONARD MIGUELSTRACE:gw.job.QuoteProcess.requestQuote(QuoteProcess.gs:XXXSTRACERAW:-</t>
  </si>
  <si>
    <t>EMSG:LHPI Ordering Failed due to TimeOut! - [java.lang.RuntimeException: javax.net.ssl.SSLException: Couldn't kickstart handshaking]STRACE:java.base/jdk.internal.reflect.NativeConstructorAccessorImpl.newInstanceXXX(Native MethodSTRACERAW:-</t>
  </si>
  <si>
    <t>EMSG:LILY KEESEESTRACE:com.farmers.config.pa.validator.BrightlineValidator.validateQuoteBrightlineRules(BrightlineValidator.gs:XXXSTRACERAW:-</t>
  </si>
  <si>
    <t>EMSG:LILY KEESEESTRACE:gw.job.QuoteProcess.requestQuote(QuoteProcess.gs:XXXSTRACERAW:-</t>
  </si>
  <si>
    <t>EMSG:LINDSEY CHUKKIRIYANSTRACE:com.farmers.config.pa.validator.BrightlineValidator.validateQuoteBrightlineRules(BrightlineValidator.gs:XXXSTRACERAW:-</t>
  </si>
  <si>
    <t>EMSG:LINDSEY CHUKKIRIYANSTRACE:gw.job.QuoteProcess.requestQuote(QuoteProcess.gs:XXXSTRACERAW:-</t>
  </si>
  <si>
    <t>EMSG:LUW Policy Change Job XXX: Cannot traverse in window modeSTRACE:gw.acc.luw.LUWExceptionHelper.processException(LUWExceptionHelper.gs:XXXSTRACERAW:-</t>
  </si>
  <si>
    <t>EMSG:LUW Policy Change Job XXX: Effective ranges overlap for DiscountDetail_Ext with BranchID XXX and with FixedID XXXSTRACE:Feb XXX XXX:XXX:XXX PST XXX
Effective ranges overlap for DiscountDetail_Ext with BranchID XXX and with FixedID XXX: Fri Feb XXX XXX:XXX:XXX PST XXX - Thu Mar XXX XXX:XXX:XXX PST XXX, Thu Mar XXX XXX:XXX:XXX PST XXX - Mon Oct XXX XXX:XXX:XXX PDT XXX, Mon Oct XXX XXX:XXX:XXX PDT XXX - Tue Feb XXX XXX:XXX:XXX PST XXX, Mon Oct XXX XXX:XXX:XXX PDT XXX - Tue Feb XXX XXX:XXX:XXX PST XXX, Tue Feb XXX XXX:XXX:XXX PST XXX - Sat Feb XXX XXX:XXX:XXX PST XXX
	at gw.acc.luw.LUWExceptionHelper.processException(LUWExceptionHelper.gs:XXXSTRACERAW:-</t>
  </si>
  <si>
    <t>EMSG:Laura FernandezSTRACE:com.farmers.config.pa.validator.BrightlineValidator.validateQuoteBrightlineRules(BrightlineValidator.gs:XXXSTRACERAW:-</t>
  </si>
  <si>
    <t>EMSG:MARYRYAN DEVERSTRACE:com.farmers.config.pa.validator.BrightlineValidator.validateQuoteBrightlineRules(BrightlineValidator.gs:XXXSTRACERAW:-</t>
  </si>
  <si>
    <t>EMSG:MARYRYAN DEVERSTRACE:gw.job.QuoteProcess.requestQuote(QuoteProcess.gs:XXXSTRACERAW:-</t>
  </si>
  <si>
    <t>EMSG:MVR APP ERROR: WV-LEXISNEXIS REJECT:LAST NAME INVALID OR MISSING for unit GXXXWVMVR APP ERROR: WV-LEXISNEXIS REJECT:LAST NAME INVALID OR MISSING for unit GXXXWVSTRACE:com.farmers.config.common.mvr.MVRProcess.createCacheFromResponse(MVRProcess.gs:XXXSTRACERAW:-</t>
  </si>
  <si>
    <t>EMSG:MVR APP ERROR: WV-LEXISNEXIS REJECT:LAST NAME INVALID OR MISSING for unit GXXXWVSTRACE:com.farmers.config.common.mvr.MVRProcess.createCacheFromResponse(MVRProcess.gs:XXXSTRACERAW:-</t>
  </si>
  <si>
    <t>EMSG:MVR Ordering Failed! - [java.lang.RuntimeException: javax.net.ssl.SSLException: Couldn't kickstart handshaking]STRACE:com.farmers.config.common.mvr.MVRProcess.orderMVR(MVRProcess.gs:XXXSTRACERAW:-</t>
  </si>
  <si>
    <t>EMSG:Mark TrudellSTRACE:com.farmers.config.pa.validator.BrightlineValidator.validateQuoteBrightlineRules(BrightlineValidator.gs:XXXSTRACERAW:-</t>
  </si>
  <si>
    <t>EMSG:Mark TrudellSTRACE:gw.job.QuoteProcess.requestQuote(QuoteProcess.gs:XXXSTRACERAW:-</t>
  </si>
  <si>
    <t>EMSG:Mayada BegumSTRACE:com.farmers.config.pa.validator.BrightlineValidator.validateQuoteBrightlineRules(BrightlineValidator.gs:XXXSTRACERAW:-</t>
  </si>
  <si>
    <t>EMSG:Merida SolumSTRACE:com.farmers.config.pa.validator.BrightlineValidator.validateQuoteBrightlineRules(BrightlineValidator.gs:XXXSTRACERAW:-</t>
  </si>
  <si>
    <t>EMSG:Millie MarlattSTRACE:com.farmers.config.pa.validator.BrightlineValidator.validateQuoteBrightlineRules(BrightlineValidator.gs:XXXSTRACERAW:-</t>
  </si>
  <si>
    <t>EMSG:Millie MarlattSTRACE:gw.job.QuoteProcess.requestQuote(QuoteProcess.gs:XXXSTRACERAW:-</t>
  </si>
  <si>
    <t>EMSG:One or more null constraint violations detected for MessageSTRACE:deployment.pc.war//com.guidewire.pl.system.database.entitywriter.DatabaseEntityWriterImpl.checkForNullConstraintViolation(DatabaseEntityWriterImpl.java:XXXSTRACERAW:-</t>
  </si>
  <si>
    <t>EMSG:PAMELA HUBERSTRACE:com.farmers.config.pa.validator.BrightlineValidator.validateQuoteBrightlineRules(BrightlineValidator.gs:XXXSTRACERAW:-</t>
  </si>
  <si>
    <t>EMSG:PAMELA HUBERSTRACE:gw.job.QuoteProcess.requestQuote(QuoteProcess.gs:XXXSTRACERAW:-</t>
  </si>
  <si>
    <t>EMSG:PHILLIP USHERSTRACE:com.farmers.config.pa.validator.BrightlineValidator.validateQuoteBrightlineRules(BrightlineValidator.gs:XXXSTRACERAW:-</t>
  </si>
  <si>
    <t>EMSG:PHILLIP USHERSTRACE:gw.job.QuoteProcess.requestQuote(QuoteProcess.gs:XXXSTRACERAW:-</t>
  </si>
  <si>
    <t>EMSG:Question Is there a pool located on the premises? already has an answer definedSTRACE:deployment.pc.war//com.guidewire.pc.domain.question.impl.AnswerContainerImpl.createAnswer(AnswerContainerImpl.java:XXXSTRACERAW:-</t>
  </si>
  <si>
    <t>EMSG:Quote cannot be provided due to security alert message.Â  To proceed with this quoteSTRACE:com.farmers.integ.multireport.helper.ThirdPartyReportExperienceAPIHelper.handleFraudAlertForQuotesFromOtherSources(ThirdPartyReportExperienceAPIHelper.gs:XXXSTRACERAW:-</t>
  </si>
  <si>
    <t>EMSG:ROBIN ISLAMSTRACE:com.farmers.config.pa.validator.BrightlineValidator.validateQuoteBrightlineRules(BrightlineValidator.gs:XXXSTRACERAW:-</t>
  </si>
  <si>
    <t>EMSG:ROGER PARKERSTRACE:com.farmers.config.pa.validator.BrightlineValidator.validateQuoteBrightlineRules(BrightlineValidator.gs:XXXSTRACERAW:-</t>
  </si>
  <si>
    <t>EMSG:RONNIE MATTHEWSSTRACE:com.farmers.config.pa.validator.BrightlineValidator.validateQuoteBrightlineRules(BrightlineValidator.gs:XXXSTRACERAW:-</t>
  </si>
  <si>
    <t>EMSG:RONNIE MATTHEWSSTRACE:gw.job.QuoteProcess.requestQuote(QuoteProcess.gs:XXXSTRACERAW:-</t>
  </si>
  <si>
    <t>EMSG:Re-enter "License #". Duplicate License Number entered for the following Drivers Efrain TrevinoSTRACE:edge.capabilities.quote.submission.quoting.util.SubmissionUnderwritingIssuesUtil.checkVerifyRateExceptions(SubmissionUnderwritingIssuesUtil.gs:XXXSTRACERAW:-</t>
  </si>
  <si>
    <t>EMSG:Re-enter "License #". Duplicate License Number entered for the following Drivers Jay LAYCOB IISTRACE:edge.capabilities.quote.submission.quoting.util.SubmissionUnderwritingIssuesUtil.checkVerifyRateExceptions(SubmissionUnderwritingIssuesUtil.gs:XXXSTRACERAW:-</t>
  </si>
  <si>
    <t>EMSG:Remove Kory Phanthavong in order to add the contact as a driverSTRACE:edge.capabilities.policychange.lob.personalauto.coverables.DefaultPaCoverablePlugin.updateCoverables(DefaultPaCoverablePlugin.gs:XXXSTRACERAW:-</t>
  </si>
  <si>
    <t>EMSG:Remove Tristyn Jansen in order to add the contact as a driverSTRACE:edge.capabilities.policychange.lob.personalauto.coverables.DefaultPaCoverablePlugin.updateCoverables(DefaultPaCoverablePlugin.gs:XXXSTRACERAW:-</t>
  </si>
  <si>
    <t>EMSG:Remove duplicate driver Austin Gore. Two or more drivers with the same information exist.STRACE:edge.capabilities.policychange.lob.personalauto.coverables.DefaultPaCoverablePlugin.updateCoverables(DefaultPaCoverablePlugin.gs:XXXSTRACERAW:-</t>
  </si>
  <si>
    <t>EMSG:Remove duplicate driver Darlyn Gillespie. Two or more drivers with the same information exist.STRACE:edge.capabilities.policychange.lob.personalauto.coverables.DefaultPaCoverablePlugin.updateCoverables(DefaultPaCoverablePlugin.gs:XXXSTRACERAW:-</t>
  </si>
  <si>
    <t>EMSG:Remove duplicate driver Joon Bum Lee. Two or more non-drivers with the same information exist.STRACE:edge.capabilities.policychange.lob.personalauto.coverables.DefaultPaCoverablePlugin.updateCoverables(DefaultPaCoverablePlugin.gs:XXXSTRACERAW:-</t>
  </si>
  <si>
    <t>EMSG:Remove duplicate driver Richard Jerome De Guzman. Two or more non-drivers with the same information exist.STRACE:edge.capabilities.policychange.lob.personalauto.coverables.DefaultPaCoverablePlugin.updateCoverables(DefaultPaCoverablePlugin.gs:XXXSTRACERAW:-</t>
  </si>
  <si>
    <t>EMSG:Revise the effective date of change. Policy changes must be effective prior to the policy cancellation date.STRACE:gw.web.policyfile.PolicyFileMenuActionsUIHelper.validateChangeEffectiveDate(PolicyFileMenuActionsUIHelper.gs:XXXSTRACERAW:-</t>
  </si>
  <si>
    <t>EMSG:Rhiannon RileySTRACE:com.farmers.config.pa.validator.BrightlineValidator.validateQuoteBrightlineRules(BrightlineValidator.gs:XXXSTRACERAW:-</t>
  </si>
  <si>
    <t>EMSG:Rhiannon RileySTRACE:gw.job.QuoteProcess.requestQuote(QuoteProcess.gs:XXXSTRACERAW:-</t>
  </si>
  <si>
    <t>EMSG:Robert DominguezSTRACE:com.farmers.config.pa.validator.BrightlineValidator.validateQuoteBrightlineRules(BrightlineValidator.gs:XXXSTRACERAW:-</t>
  </si>
  <si>
    <t>EMSG:Robert DominguezSTRACE:gw.job.QuoteProcess.requestQuote(QuoteProcess.gs:XXXSTRACERAW:-</t>
  </si>
  <si>
    <t>EMSG:Roy ShueSTRACE:com.farmers.config.pa.validator.BrightlineValidator.validateQuoteBrightlineRules(BrightlineValidator.gs:XXXSTRACERAW:-</t>
  </si>
  <si>
    <t>EMSG:Roy ShueSTRACE:gw.job.QuoteProcess.requestQuote(QuoteProcess.gs:XXXSTRACERAW:-</t>
  </si>
  <si>
    <t>EMSG:SABRINA LUGOSTRACE:com.farmers.config.pa.validator.BrightlineValidator.validateQuoteBrightlineRules(BrightlineValidator.gs:XXXSTRACERAW:-</t>
  </si>
  <si>
    <t>EMSG:SABRINA LUGOSTRACE:gw.job.QuoteProcess.requestQuote(QuoteProcess.gs:XXXSTRACERAW:-</t>
  </si>
  <si>
    <t>EMSG:SUSAN BLAKESTRACE:com.farmers.config.pa.validator.BrightlineValidator.validateQuoteBrightlineRules(BrightlineValidator.gs:XXXSTRACERAW:-</t>
  </si>
  <si>
    <t>EMSG:SUSAN BLAKESTRACE:gw.job.QuoteProcess.requestQuote(QuoteProcess.gs:XXXSTRACERAW:-</t>
  </si>
  <si>
    <t>EMSG:Susan CohenSTRACE:com.farmers.config.pa.validator.BrightlineValidator.validateQuoteBrightlineRules(BrightlineValidator.gs:XXXSTRACERAW:-</t>
  </si>
  <si>
    <t>EMSG:TAKYRAH BARNESSTRACE:com.farmers.config.pa.validator.BrightlineValidator.validateQuoteBrightlineRules(BrightlineValidator.gs:XXXSTRACERAW:-</t>
  </si>
  <si>
    <t>EMSG:TAKYRAH BARNESSTRACE:gw.job.QuoteProcess.requestQuote(QuoteProcess.gs:XXXSTRACERAW:-</t>
  </si>
  <si>
    <t>EMSG:Taylor SettlesSTRACE:com.farmers.config.pa.validator.BrightlineValidator.validateQuoteBrightlineRules(BrightlineValidator.gs:XXXSTRACERAW:-</t>
  </si>
  <si>
    <t>EMSG:Taylor SettlesSTRACE:gw.job.QuoteProcess.requestQuote(QuoteProcess.gs:XXXSTRACERAW:-</t>
  </si>
  <si>
    <t>EMSG:The object you are trying to update was XXXSTRACE:at XXX/XXX/XXX XXX:XXX AM. Please cancel and retry your change.
	at edge.capabilities.quote.submission.GatewayQuoteHandler.handleOrThrowException(GatewayQuoteHandler.gs:XXXSTRACERAW:-</t>
  </si>
  <si>
    <t>EMSG:The value "&lt;?xml version="XXX.XXX" encoding="UTFXXX" standalone="no"?&gt;&lt;tns:Result xmlns:tns="urn:lnrisk:ws:wsinsurancerules:ruleplan@ver=XXX"&gt;&lt;tns:PolicyNumber&gt;XXX&lt;/tns:PolicyNumber&gt;&lt;tns:MVRReport&gt;&lt;tns:ProcessingInfo&gt;&lt;tns:OrderID&gt;XXXZNJTXXX&lt;/tns:OrderID&gt;&lt;tns:Quoteback&gt;XXXPAXXX           XXXNXXX&lt;/tns:Quoteback&gt;&lt;tns:StatePostalCode&gt;CA&lt;/tns:StatePostalCode&gt;&lt;tns:MVRStatus&gt;Activity File Clear&lt;/tns:MVRStatus&gt;&lt;tns:ProcessDate&gt;&lt;tns:Year&gt;XXX&lt;/tns:Year&gt;&lt;tns:Month&gt;XXX&lt;/tns:Month&gt;&lt;tns:Day&gt;XXX&lt;/tns:Day&gt;&lt;/tns:ProcessDate&gt;&lt;tns:AccountNumber&gt;XXXARS&lt;/tns:AccountNumber&gt;&lt;tns:DriversLicense&gt;&lt;tns:DriversLicenseNumber&gt;NXXX&lt;/tns:DriversLicenseNumber&gt;&lt;tns:DriversLicenseState&gt;CA&lt;/tns:DriversLicenseState&gt;&lt;/tns:DriversLicense&gt;&lt;tns:InformationSource&gt;DatabaseFile&lt;/tns:InformationSource&gt;&lt;tns:InformationOrigin&gt;Unknown&lt;/tns:InformationOrigin&gt;&lt;tns:RecordCount&gt;XXX&lt;/tns:RecordCount&gt;&lt;tns:ReturnCount&gt;XXX&lt;/tns:ReturnCount&gt;&lt;tns:NoHitCreditIndicator&gt;XXX&lt;/tns:NoHitCreditIndicator&gt;&lt;/tns:ProcessingInfo&gt;&lt;tns:Response&gt;&lt;tns:â€¦</t>
  </si>
  <si>
    <t>EMSG:The value "ARTHUR L. COLLEY AND SHIRLEY R. COLLEYSTRACE:deployment.pc.war//gw.datatype.impl.StringConstraintsHandlerBase.validateStringLength(StringConstraintsHandlerBase.java:XXXSTRACERAW:-</t>
  </si>
  <si>
    <t>EMSG:The value "BERNARD F. ASHKAR AND MICHELE ASHKARSTRACE:deployment.pc.war//gw.datatype.impl.StringConstraintsHandlerBase.validateStringLength(StringConstraintsHandlerBase.java:XXXSTRACERAW:-</t>
  </si>
  <si>
    <t>EMSG:The value "BIJAN NEIMAN AND LILA NEIMANSTRACE:deployment.pc.war//gw.datatype.impl.StringConstraintsHandlerBase.validateStringLength(StringConstraintsHandlerBase.java:XXXSTRACERAW:-</t>
  </si>
  <si>
    <t>EMSG:The value "DON K ERSHIG AND IRENE P Y INGSTRACE:deployment.pc.war//gw.datatype.impl.StringConstraintsHandlerBase.validateStringLength(StringConstraintsHandlerBase.java:XXXSTRACERAW:-</t>
  </si>
  <si>
    <t>EMSG:The value "EVETTE TAYLOR MONACHINOSTRACE:deployment.pc.war//gw.datatype.impl.StringConstraintsHandlerBase.validateStringLength(StringConstraintsHandlerBase.java:XXXSTRACERAW:-</t>
  </si>
  <si>
    <t>EMSG:The value "JEFFREY L. LEVINSON AND JEANETTE F. LEVINSONSTRACE:deployment.pc.war//gw.datatype.impl.StringConstraintsHandlerBase.validateStringLength(StringConstraintsHandlerBase.java:XXXSTRACERAW:-</t>
  </si>
  <si>
    <t>EMSG:The value "JOHN BOZIK AND PATRICIA JOE BOZIK BOZIK LIVING TRUSTSTRACE:deployment.pc.war//gw.datatype.impl.StringConstraintsHandlerBase.validateStringLength(StringConstraintsHandlerBase.java:XXXSTRACERAW:-</t>
  </si>
  <si>
    <t>EMSG:The value "JON HOWESTRACE:deployment.pc.war//gw.datatype.impl.StringConstraintsHandlerBase.validateStringLength(StringConstraintsHandlerBase.java:XXXSTRACERAW:-</t>
  </si>
  <si>
    <t>EMSG:The value "LEONARD R BRIDGESSTRACE:deployment.pc.war//gw.datatype.impl.StringConstraintsHandlerBase.validateStringLength(StringConstraintsHandlerBase.java:XXXSTRACERAW:-</t>
  </si>
  <si>
    <t>EMSG:The value "LEONARD R. BRIDGESSTRACE:deployment.pc.war//gw.datatype.impl.StringConstraintsHandlerBase.validateStringLength(StringConstraintsHandlerBase.java:XXXSTRACERAW:-</t>
  </si>
  <si>
    <t>EMSG:The value "LUW Policy Change Job XXX: The object you are trying to update was XXXSTRACE:XXX/XXX/XXX XXX:XXX AM. Please cancel and retry your change.
The object you are trying to update was 'Policy:CN:1951304809023348015201XXX - CN:1951304809023348015201XXX', and it was changed by System at XXX/XXX/XXX XXX:XXX AM. Please cancel and retry your change." is not formatted correctly for the field "Comments": Exceeds the maximum length of XXX characters (XXXSTRACERAW:-</t>
  </si>
  <si>
    <t>EMSG:The value "MARC A. BROWN AND DIANA A. BROWNSTRACE:deployment.pc.war//gw.datatype.impl.StringConstraintsHandlerBase.validateStringLength(StringConstraintsHandlerBase.java:XXXSTRACERAW:-</t>
  </si>
  <si>
    <t>EMSG:The value "MICKEY JIMERSON AND CAROLYN JIMERSON HW FIDUCIARY REAL ESTATE SERVICESSTRACE:deployment.pc.war//gw.datatype.impl.StringConstraintsHandlerBase.validateStringLength(StringConstraintsHandlerBase.java:XXXSTRACERAW:-</t>
  </si>
  <si>
    <t>EMSG:The value "NHAN KHAC NGUYEN AND AMY PHAN TRANSTRACE:deployment.pc.war//gw.datatype.impl.StringConstraintsHandlerBase.validateStringLength(StringConstraintsHandlerBase.java:XXXSTRACERAW:-</t>
  </si>
  <si>
    <t>EMSG:The value "PAUL ROMEY AND SHEILA GARCIASTRACE:deployment.pc.war//gw.datatype.impl.StringConstraintsHandlerBase.validateStringLength(StringConstraintsHandlerBase.java:XXXSTRACERAW:-</t>
  </si>
  <si>
    <t>EMSG:The value "PETER SEEGER AND NINA SCHUYLERSTRACE:deployment.pc.war//gw.datatype.impl.StringConstraintsHandlerBase.validateStringLength(StringConstraintsHandlerBase.java:XXXSTRACERAW:-</t>
  </si>
  <si>
    <t>EMSG:The value "PHI THAI AND HELEN PHANSTRACE:deployment.pc.war//gw.datatype.impl.StringConstraintsHandlerBase.validateStringLength(StringConstraintsHandlerBase.java:XXXSTRACERAW:-</t>
  </si>
  <si>
    <t>EMSG:The value "PIERRE A. TOWNS AND ANISA D. TOWNSSTRACE:deployment.pc.war//gw.datatype.impl.StringConstraintsHandlerBase.validateStringLength(StringConstraintsHandlerBase.java:XXXSTRACERAW:-</t>
  </si>
  <si>
    <t>EMSG:The value "RAMAN NAYARSTRACE:deployment.pc.war//gw.datatype.impl.StringConstraintsHandlerBase.validateStringLength(StringConstraintsHandlerBase.java:XXXSTRACERAW:-</t>
  </si>
  <si>
    <t>EMSG:The value "TAI CHIU WONG AND POLLY LEUNGSTRACE:deployment.pc.war//gw.datatype.impl.StringConstraintsHandlerBase.validateStringLength(StringConstraintsHandlerBase.java:XXXSTRACERAW:-</t>
  </si>
  <si>
    <t>EMSG:The value "THE ANN FRANKLIN TRUSTSTRACE:deployment.pc.war//gw.datatype.impl.StringConstraintsHandlerBase.validateStringLength(StringConstraintsHandlerBase.java:XXXSTRACERAW:-</t>
  </si>
  <si>
    <t>EMSG:The value "THE GUILLERMO&amp;ANGELA TORRES REVOCABLE LIVING TRUST DATED NOV. XXXSTRACE:deployment.pc.war//gw.datatype.impl.StringConstraintsHandlerBase.validateStringLength(StringConstraintsHandlerBase.java:XXXSTRACERAW:-</t>
  </si>
  <si>
    <t>EMSG:The value XXX is not formatted correctly for the field "AddressLineXXX": Please edit address as only the following special characters are acceptable:   # STRACE:com.farmers.integ.framework.job.automatejob.AutomatedJob.executeJob(AutomatedJob.gs:XXXSTRACERAW:-</t>
  </si>
  <si>
    <t>EMSG:Too hard to try picking up all versions of version lists in disparate bundlesSTRACE:deployment.pc.war//com.google.common.base.Preconditions.checkArgument(Preconditions.java:XXXSTRACERAW:-</t>
  </si>
  <si>
    <t>EMSG:Try again later. Equifax credit reporting is unavailable.STRACE:com.farmers.integ.framework.job.automatejob.AutomatedJob.executeJob(AutomatedJob.gs:XXXSTRACERAW:-</t>
  </si>
  <si>
    <t>EMSG:Unsupported pay plan: nullSTRACE:com.farmers.enhancement.HomeownersLine_HOEEnhancement.getRatingPaymentFrequency(HomeownersLine_HOEEnhancement.gsx:XXXSTRACERAW:-</t>
  </si>
  <si>
    <t>EMSG:William JordanSTRACE:com.farmers.config.pa.validator.BrightlineValidator.validateQuoteBrightlineRules(BrightlineValidator.gs:XXXSTRACERAW:-</t>
  </si>
  <si>
    <t>EMSG:William JordanSTRACE:gw.job.QuoteProcess.requestQuote(QuoteProcess.gs:XXXSTRACERAW:-</t>
  </si>
  <si>
    <t>EMSG:XXX CHEVROLET TRUCK ASTRO EXT VAN  XXXXXXX MPV in Washington: Comprehensive is required and must be added. XXXSTRACE:gw.api.extension.PCExtensionInterfacesMapper$block_XXX_.invoke(PCExtensionInterfacesMapper.gs:XXXSTRACERAW:-</t>
  </si>
  <si>
    <t>EMSG:XXX DODGE RAM XXX CREW C PU XXXXXXX QUAD in Texas: Comprehensive is required and must be added. XXXSTRACE:gw.api.extension.PCExtensionInterfacesMapper$block_XXX_.invoke(PCExtensionInterfacesMapper.gs:XXXSTRACERAW:-</t>
  </si>
  <si>
    <t>EMSG:XXX FORD TRUCK FXXX CC P XXXXXXX SPRCRWRPTR R SVT in Colorado: Coverage is on Comprehensive is now available and its value must be verified by the user.; XXX FORD TRUCK FXXX CC P XXXXXXX SPRCRWRPTR R SVT in Colorado: Coverage is on Collision is now available and its value must be verified by the user.; XXX FORD TRUCK FXXX CC P XXXXXXX SPRCRWRPTR R SVT in Colorado: Coverage is on Roadside Assistance is now available and its value must be verified by the user.; XXX FORD TRUCK FXXX CC P XXXXXXX SPRCRWRPTR R SVT in Colorado: Coverage is on Rental Alternative is now available and its value must be verified by the user.; XXX FORD TRUCK FXXX CC P XXXXXXX SPRCRWRPTR R SVT in Colorado: Coverage is on $XXX Glass Deductible is now available and its value must be verified by the user.; XXXSTRACE:gw.api.extension.PCExtensionInterfacesMapper$block_XXX_.invoke(PCExtensionInterfacesMapper.gs:XXXSTRACERAW:-</t>
  </si>
  <si>
    <t>EMSG:XXX HONDA ACCORD XXXD EX in Minnesota: Comprehensive is required and must be added. XXXSTRACE:gw.api.extension.PCExtensionInterfacesMapper$block_XXX_.invoke(PCExtensionInterfacesMapper.gs:XXXSTRACERAW:-</t>
  </si>
  <si>
    <t>EMSG:XXX HYUNDAI ACCENT XXXD GS in Colorado: Coverage is on Comprehensive is now available and its value must be verified by the user.; XXX HYUNDAI ACCENT XXXD GS in Colorado: Coverage is on Collision is now available and its value must be verified by the user.; XXX HYUNDAI ACCENT XXXD GS in Colorado: Coverage is on Roadside Assistance is now available and its value must be verified by the user.; XXX HYUNDAI ACCENT XXXD GS in Colorado: Coverage is on Rental Alternative is now available and its value must be verified by the user.; XXX HYUNDAI ACCENT XXXD GS in Colorado: Coverage is on $XXX Glass Deductible is now available and its value must be verified by the user.STRACE:gw.api.extension.PCExtensionInterfacesMapper$block_XXX_.invoke(PCExtensionInterfacesMapper.gs:XXXSTRACERAW:-</t>
  </si>
  <si>
    <t>EMSG:XXX HYUNDAI SONATA HYBRID XXXD in Colorado: Coverage is on Comprehensive is now available and its value must be verified by the user.; XXX HYUNDAI SONATA HYBRID XXXD in Colorado: Coverage is on Collision is now available and its value must be verified by the user.; XXX HYUNDAI SONATA HYBRID XXXD in Colorado: Coverage is on Roadside Assistance is now available and its value must be verified by the user.; XXX HYUNDAI SONATA HYBRID XXXD in Colorado: Coverage is on Rental Alternative is now available and its value must be verified by the user.; XXX HYUNDAI SONATA HYBRID XXXD in Colorado: No message configuredSTRACE:gw.api.extension.PCExtensionInterfacesMapper$block_XXX_.invoke(PCExtensionInterfacesMapper.gs:XXXSTRACERAW:-</t>
  </si>
  <si>
    <t>EMSG:XXX JEEP LIBERTY XXXD XXXXXXX SPORT in Colorado: Coverage is on Comprehensive is now available and its value must be verified by the user.; XXX JEEP LIBERTY XXXD XXXXXXX SPORT in Colorado: Coverage is on Collision is now available and its value must be verified by the user.; XXX JEEP LIBERTY XXXD XXXXXXX SPORT in Colorado: Coverage is on Roadside Assistance is now available and its value must be verified by the user.; XXX JEEP LIBERTY XXXD XXXXXXX SPORT in Colorado: Coverage is on Rental Alternative is now available and its value must be verified by the user.; XXX JEEP LIBERTY XXXD XXXXXXX SPORT in Colorado: No message configuredSTRACE:gw.api.extension.PCExtensionInterfacesMapper$block_XXX_.invoke(PCExtensionInterfacesMapper.gs:XXXSTRACERAW:-</t>
  </si>
  <si>
    <t>EMSG:XXX LEXUS GX XXX XXXD XXXXXXX in Colorado: Coverage is on Comprehensive is now available and its value must be verified by the user.; XXX LEXUS GX XXX XXXD XXXXXXX in Colorado: Coverage is on Collision is now available and its value must be verified by the user.; XXX LEXUS GX XXX XXXD XXXXXXX in Colorado: Coverage is on Roadside Assistance is now available and its value must be verified by the user.; XXX LEXUS GX XXX XXXD XXXXXXX in Colorado: Coverage is on Rental Alternative is now available and its value must be verified by the user.; XXX LEXUS GX XXX XXXD XXXXXXX in Colorado: Coverage is on $XXX Glass Deductible is now available and its value must be verified by the user.; XXXSTRACE:gw.api.extension.PCExtensionInterfacesMapper$block_XXX_.invoke(PCExtensionInterfacesMapper.gs:XXXSTRACERAW:-</t>
  </si>
  <si>
    <t>EMSG:XXX MERCEDES BENZ CLA CLASS XXXD XXXWD XXX in Texas: Comprehensive is required and must be added. XXXSTRACE:gw.api.extension.PCExtensionInterfacesMapper$block_XXX_.invoke(PCExtensionInterfacesMapper.gs:XXXSTRACERAW:-</t>
  </si>
  <si>
    <t>EMSG:XXX NISSAN NV VAN XXX/XXX STANDARD ROOF in Colorado: Coverage is on Comprehensive is now available and its value must be verified by the user.; XXX NISSAN NV VAN XXX/XXX STANDARD ROOF in Colorado: Coverage is on Collision is now available and its value must be verified by the user.; XXX NISSAN NV VAN XXX/XXX STANDARD ROOF in Colorado: Coverage is on Roadside Assistance is now available and its value must be verified by the user.; XXX NISSAN NV VAN XXX/XXX STANDARD ROOF in Colorado: Coverage is on Rental Alternative is now available and its value must be verified by the user.; XXX NISSAN NV VAN XXX/XXX STANDARD ROOF in Colorado: Coverage is on $XXX Glass Deductible is now available and its value must be verified by the user.; XXX DODGE TRUCK RAM XXX PU XXXXXXX REG CAB in Colorado: Coverage is on Comprehensive is now available and its value must be verified by the user.; XXX DODGE TRUCK RAM XXX PU XXXXXXX REG CAB in Colorado: Coverage is on Collision is now available and its value â€¦</t>
  </si>
  <si>
    <t>EMSG:XXX PONTIAC GXXX/WAVE XXXD in Michigan: Comprehensive is required and must be added. XXXSTRACE:gw.api.extension.PCExtensionInterfacesMapper$block_XXX_.invoke(PCExtensionInterfacesMapper.gs:XXXSTRACERAW:-</t>
  </si>
  <si>
    <t>EMSG:XXX SUBARU FORESTER XXXD XXXWD XXX.XXXI VDC in Colorado: Coverage is on Comprehensive is now available and its value must be verified by the user.; XXX SUBARU FORESTER XXXD XXXWD XXX.XXXI VDC in Colorado: Coverage is on Collision is now available and its value must be verified by the user.; XXX SUBARU FORESTER XXXD XXXWD XXX.XXXI VDC in Colorado: Coverage is on Roadside Assistance is now available and its value must be verified by the user.; XXX SUBARU FORESTER XXXD XXXWD XXX.XXXI VDC in Colorado: Coverage is on Rental Alternative is now available and its value must be verified by the user.; XXX SUBARU FORESTER XXXD XXXWD XXX.XXXI VDC in Colorado: Coverage is on $XXX Glass Deductible is now available and its value must be verified by the user.STRACE:gw.api.extension.PCExtensionInterfacesMapper$block_XXX_.invoke(PCExtensionInterfacesMapper.gs:XXXSTRACERAW:-</t>
  </si>
  <si>
    <t>EMSG:XXX TESLA MODEL Y EV XXXD XXXWD STANDARD in Colorado: Coverage is on Comprehensive is now available and its value must be verified by the user.; XXX TESLA MODEL Y EV XXXD XXXWD STANDARD in Colorado: Coverage is on Collision is now available and its value must be verified by the user.; XXX TESLA MODEL Y EV XXXD XXXWD STANDARD in Colorado: Coverage is on Roadside Assistance is now available and its value must be verified by the user.; XXX TESLA MODEL Y EV XXXD XXXWD STANDARD in Colorado: Coverage is on Rental Alternative is now available and its value must be verified by the user.; XXX TESLA MODEL Y EV XXXD XXXWD STANDARD in Colorado: Coverage is on $XXX Glass Deductible is now available and its value must be verified by the user.STRACE:gw.api.extension.PCExtensionInterfacesMapper$block_XXX_.invoke(PCExtensionInterfacesMapper.gs:XXXSTRACERAW:-</t>
  </si>
  <si>
    <t>EMSG:XXX TOYOTA CAMRY XXXD XXXWD TRD/XSE VXXX in New Mexico: UM/UIM - Bodily Injury is required and must be added. XXXSTRACE:-STRACERAW:</t>
  </si>
  <si>
    <t>EMSG:XXX TOYOTA HIGHLANDER HYBRID XXXD XXXWD in Colorado: Coverage is on Comprehensive is now available and its value must be verified by the user.; XXX TOYOTA HIGHLANDER HYBRID XXXD XXXWD in Colorado: Coverage is on Collision is now available and its value must be verified by the user.; XXX TOYOTA HIGHLANDER HYBRID XXXD XXXWD in Colorado: Coverage is on Roadside Assistance is now available and its value must be verified by the user.; XXX TOYOTA HIGHLANDER HYBRID XXXD XXXWD in Colorado: Coverage is on Rental Alternative is now available and its value must be verified by the user.; XXX TOYOTA HIGHLANDER HYBRID XXXD XXXWD in Colorado: Coverage is on $XXX Glass Deductible is now available and its value must be verified by the user.STRACE:gw.api.extension.PCExtensionInterfacesMapper$block_XXX_.invoke(PCExtensionInterfacesMapper.gs:XXXSTRACERAW:-</t>
  </si>
  <si>
    <t>EMSG:XXX TOYOTA PU X CAB XXX/XXXT XXXXXXX DELUXE in Colorado: Coverage is on Comprehensive is now available and its value must be verified by the user.; XXX TOYOTA PU X CAB XXX/XXXT XXXXXXX DELUXE in Colorado: Coverage is on Collision is now available and its value must be verified by the user.; XXX TOYOTA PU X CAB XXX/XXXT XXXXXXX DELUXE in Colorado: Coverage is on Roadside Assistance is now available and its value must be verified by the user.; XXX TOYOTA PU X CAB XXX/XXXT XXXXXXX DELUXE in Colorado: Coverage is on Rental Alternative is now available and its value must be verified by the user.; XXX TOYOTA PU X CAB XXX/XXXT XXXXXXX DELUXE in Colorado: Coverage is on $XXX Glass Deductible is now available and its value must be verified by the user.; XXX TOYOTA CAMRY XXXD XXXWD LE/XLE/SE/XSE in Colorado: Coverage is on Comprehensive is now available and its value must be verified by the user.; XXX TOYOTA CAMRY XXXD XXXWD LE/XLE/SE/XSE in Colorado: Coverage is on Collision is now availaâ€¦</t>
  </si>
  <si>
    <t>EMSG:XXX has exceeded the accident and/or violation threshold for eligibility in this program.STRACE:Pojanasomboon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</si>
  <si>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program.STRACE:Pojanasomboon has exceeded the accident and/or violation threshold for eligibility in this program.
	at gw.job.QuoteProcess.requestQuote(QuoteProcess.gs:XXXSTRACERAW:-</t>
  </si>
  <si>
    <t>EMSG:XXX has exceeded the accident and/or violation threshold for eligibility in this program.STRACE:Sama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</si>
  <si>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program.STRACE:Tias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</si>
  <si>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program.STRACE:White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</si>
  <si>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program.STRACE:White has exceeded the accident and/or violation threshold for eligibility in this program.
	at gw.job.QuoteProcess.requestQuote(QuoteProcess.gs:XXXSTRACERAW:-</t>
  </si>
  <si>
    <t>EMSG:XXX has exceeded the accident and/or violation threshold for eligibility in this program.STRACE:Zaki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</si>
  <si>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program.STRACE:Zaki has exceeded the accident and/or violation threshold for eligibility in this program.
	at gw.job.QuoteProcess.requestQuote(QuoteProcess.gs:XXXSTRACERAW:-</t>
  </si>
  <si>
    <t>EMSG:XXX in added and removed?STRACE:deployment.pc.war//com.guidewire.pl.system.bundle.ArrayDelta.rekey(ArrayDelta.java:XXXSTRACERAW:-</t>
  </si>
  <si>
    <t>EMSG:Yongan LISTRACE:com.farmers.config.pa.validator.BrightlineValidator.validateQuoteBrightlineRules(BrightlineValidator.gs:XXXSTRACERAW:-</t>
  </si>
  <si>
    <t>EMSG:Yongan LISTRACE:gw.job.QuoteProcess.requestQuote(QuoteProcess.gs:XXXSTRACERAW:-</t>
  </si>
  <si>
    <t>EMSG:You do not have the permission required to perform this action: User doesn't have permission: STRACE:deployment.pc.war//com.guidewire.pl.domain.community.impl.UserImpl.assertPermission(UserImpl.java:XXXSTRACERAW:-</t>
  </si>
  <si>
    <t>EMSG:ZULLY CARRANZASTRACE:com.farmers.config.pa.validator.BrightlineValidator.validateQuoteBrightlineRules(BrightlineValidator.gs:XXXSTRACERAW:-</t>
  </si>
  <si>
    <t>EMSG:[BUSINESS_ERROR::Agent not available philXXXz]STRACE:com.farmers.edge.capabilities.communitymodel.checkgrantaccess.processor.CheckGrantAccessProcessor.processGrantAccess(CheckGrantAccessProcessor.gs:XXXSTRACERAW:-</t>
  </si>
  <si>
    <t>EMSG:[BUSINESS_ERROR::Agent not available richXXXp]STRACE:com.farmers.edge.capabilities.communitymodel.checkgrantaccess.processor.CheckGrantAccessProcessor.processGrantAccess(CheckGrantAccessProcessor.gs:XXXSTRACERAW:-</t>
  </si>
  <si>
    <t>EMSG:[BUSINESS_ERROR::Agent not available utleXXX]STRACE:com.farmers.edge.capabilities.communitymodel.checkgrantaccess.processor.CheckGrantAccessProcessor.processGrantAccess(CheckGrantAccessProcessor.gs:XXXSTRACERAW:-</t>
  </si>
  <si>
    <t>EMSG:[BUSINESS_ERROR::Agent not available vancXXXv]STRACE:com.farmers.edge.capabilities.communitymodel.checkgrantaccess.processor.CheckGrantAccessProcessor.processGrantAccess(CheckGrantAccessProcessor.gs:XXXSTRACERAW:-</t>
  </si>
  <si>
    <t>EMSG:class com.guidewire.pl.system.exception.DBException cannot be cast to class edge.validation.EdgeValidationException (com.guidewire.pl.system.exception.DBException is in unnamed module of loader 'deployment.pc.war' @XXX; edge.validation.EdgeValidationException is in unnamed module of loader com.guidewire.pl.system.gosu.GosuPluginContainer @XXXSTRACE:edge.capabilities.policychange.GatewayPolicyChangeHandler$block_XXX_.invoke(GatewayPolicyChangeHandler.gs:XXXSTRACERAW:-</t>
  </si>
  <si>
    <t>EMSG:class com.guidewire.pl.system.exception.DBException cannot be cast to class edge.validation.EdgeValidationException (com.guidewire.pl.system.exception.DBException is in unnamed module of loader 'deployment.pc.war' @XXXfXXXe;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</si>
  <si>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@XXXfXXX; edge.validation.EdgeValidationException is in unnamed module of loader com.guidewire.pl.system.gosu.GosuPluginContainer @XXXSTRACE:edge.capabilities.policychange.GatewayPolicyChangeHandler$block_XXX_.invoke(GatewayPolicyChangeHandler.gs:XXXSTRACERAW:-</t>
  </si>
  <si>
    <t>EMSG:class gw.lang.parser.EvaluationException cannot be cast to class edge.validation.EdgeValidationException (gw.lang.parser.EvaluationException is in unnamed module of loader 'deployment.pc.war' @XXXfXXXdXXX; edge.validation.EdgeValidationException is in unnamed module of loader com.guidewire.pl.system.gosu.GosuPluginContainer @XXXSTRACE:edge.capabilities.policychange.GatewayPolicyChangeHandler$block_XXX_.invoke(GatewayPolicyChangeHandler.gs:XXXSTRACERAW:-</t>
  </si>
  <si>
    <t>EMSG:error trying to execute query of type entity.PolicyContactRoleSTRACE:deployment.pc.war//com.guidewire.pl.system.database.entitysource.DatabaseEntitySource.executeQueryAndPopulateBeans(DatabaseEntitySource.java:XXXSTRACERAW:-</t>
  </si>
  <si>
    <t>EMSG:java.lang.IllegalStateException: Attempt to access bean of type "HomeownersLine_HOE" id=XXX with a null bundleSTRACE:com.farmers.integ.documentmgmt.ondemand.api.transformer.GetPolicyDetailsRestRequestTransformer.transform(GetPolicyDetailsRestRequestTransformer.gs:XXXSTRACERAW:-</t>
  </si>
  <si>
    <t>EMSG:-STRACE:-STRACERAW:com.guidewire.pl.system.bundle.EntityBundleImpl.loadBeans(EntityBundleImpl.java:XXX</t>
  </si>
  <si>
    <t>EMSG:Re-enter "License #". Duplicate License Number entered for the following Drivers James Baker JrSTRACE:edge.capabilities.quote.submission.quoting.util.SubmissionUnderwritingIssuesUtil.checkVerifyRateExceptions(SubmissionUnderwritingIssuesUtil.gs:XXXSTRACERAW:-</t>
  </si>
  <si>
    <t>EMSG:Unable to set property '_Name' of 'com.farmers.integ.distribution.lms.wsc.uploadcustomerwsc.ecms_quote_xsd.types.complex.ClientApp_Type instance'STRACE:deployment.pc.war//gw.internal.xml.XmlSchemaProperty.setValue(XmlSchemaProperty.java:XXXSTRACERAW:-</t>
  </si>
  <si>
    <t>EMSG:A report shows that the XXXSTRACE:the  XXX FORD FXXX CHASSIS C XXXXXXX DRW has been flagged as having Vehicle History activity.;
	at edge.capabilities.quote.submission.quoting.util.SubmissionUnderwritingIssuesUtil.checkVerifyRateExceptions(SubmissionUnderwritingIssuesUtil.gs:XXXSTRACERAW:-</t>
  </si>
  <si>
    <t>EMSG:A report shows that the XXXSTRACE:the  XXX MERCEDES BENZ M CLASS XXXD XXXXXXX MLXXX has been flagged as having Vehicle History activity.;
	at edge.capabilities.quote.submission.quoting.util.SubmissionUnderwritingIssuesUtil.checkVerifyRateExceptions(SubmissionUnderwritingIssuesUtil.gs:XXXSTRACERAW:-</t>
  </si>
  <si>
    <t>EMSG:Albert GarciaSTRACE:com.farmers.config.pa.validator.BrightlineValidator.validateQuoteBrightlineRules(BrightlineValidator.gs:XXXSTRACERAW:-</t>
  </si>
  <si>
    <t>EMSG:Could not deserialize typecode  for typelist typekey.GenderTypeSTRACE:edge.servlet.jsonrpc.marshalling.TypeKeyInstantiator.createFromString(TypeKeyInstantiator.gs:XXXSTRACERAW:-</t>
  </si>
  <si>
    <t>EMSG:Dwelling at XXXSTRACE:XXX Hawthorne Ln, Grand Prairie, TX: Replacement Cost Value Valuation Method on Personal Property is no longer available and has been removed. Please enter a new value.
	at gw.api.extension.PCExtensionInterfacesMapper$block_XXX_.invoke(PCExtensionInterfacesMapper.gs:XXXSTRACERAW:-</t>
  </si>
  <si>
    <t>EMSG:Dwelling at XXXSTRACE:XXX Pecan St, Ozark, AL: Perils on Personal Property is now available and its value must be verified by the user.; Dwelling at XXX Pecan St, Ozark, AL: No message configured; Dwelling at XXX Pecan St, Ozark, AL: No message configured
	at gw.api.extension.PCExtensionInterfacesMapper$block_XXX_.invoke(PCExtensionInterfacesMapper.gs:XXXSTRACERAW:-</t>
  </si>
  <si>
    <t>EMSG:For eligible contact John Aboumrad credit score is null. Please make sure credit is orderedSTRACE:com.farmers.config.common.credit.CreditScoreHelper.populateRatingCreditDTO(CreditScoreHelper.gs:XXXSTRACERAW:-</t>
  </si>
  <si>
    <t>EMSG:Jared QuinteroSTRACE:com.farmers.config.pa.validator.BrightlineValidator.validateQuoteBrightlineRules(BrightlineValidator.gs:XXXSTRACERAW:-</t>
  </si>
  <si>
    <t>EMSG:Jared QuinteroSTRACE:gw.job.QuoteProcess.requestQuote(QuoteProcess.gs:XXXSTRACERAW:-</t>
  </si>
  <si>
    <t>EMSG:Re-enter "License #". Duplicate License Number entered for the following Drivers James BakerSTRACE:edge.capabilities.quote.submission.quoting.util.SubmissionUnderwritingIssuesUtil.checkVerifyRateExceptions(SubmissionUnderwritingIssuesUtil.gs:XXXSTRACERAW:-</t>
  </si>
  <si>
    <t>EMSG:Unable to retrieve Mortgagee details for code - XXXHCSTRACE:com.farmers.edge.capabilities.quote.mortgagee.MortgageePlugin$block_XXX_.invoke(MortgageePlugin.gs:XXXSTRACERAW:-</t>
  </si>
  <si>
    <t>EMSG:Update Signal Phone number for JOE PAIZ. Each driver enrolled in the Signal program needs a unique cell phone number.;Update Signal Phone number for Paul Ward. Each driver enrolled in the Signal program needs a unique cell phone number.;STRACE:edge.capabilities.quote.submission.quoting.util.SubmissionUnderwritingIssuesUtil.checkVerifyRateExceptions(SubmissionUnderwritingIssuesUtil.gs:XXXSTRACERAW:-</t>
  </si>
  <si>
    <t>EMSG:Update the Primary Driver selection for XXXSTRACE:le. Since the number of drivers is equal to or greater than the number of vehicles, a driver can only be selected as Primary Driver for one vehicle.
	at com.farmers.lob.pa.driverassignment.DriverAssignment.validateData(DriverAssignment.gs:XXXSTRACERAW:-</t>
  </si>
  <si>
    <t>EMSG:Update the missing required field. Garaged ZIP Town for vehicle XXX BMW XXXX XXXD XXXWD XDRIVE XXXI needs to be selected when Garaging location ZIP code is associated with multiple town names.;STRACE:edge.capabilities.quote.submission.quoting.util.SubmissionUnderwritingIssuesUtil.checkVerifyRateExceptions(SubmissionUnderwritingIssuesUtil.gs:XXXSTRACERAW:-</t>
  </si>
  <si>
    <t>EMSG:-STRACE:-STRACERAW:com.farmers.integ.common.utils.AgentTransferHelper$block_XXX_$block_XXX_.invoke(AgentTransferHelper.gs:XXX</t>
  </si>
  <si>
    <t>EMSG:-STRACE:-STRACERAW:deployment.pc.war//gw.util.cache.FqnCache.get(FqnCache.java:XXX</t>
  </si>
  <si>
    <t>EMSG:-STRACE:-STRACERAW:gw.util.cache.FqnCache.get(FqnCache.java:XXX</t>
  </si>
  <si>
    <t>EMSG:-STRACE:-STRACERAW:java.base/java.util.WeakHashMap.getTable(WeakHashMap.java:XXX</t>
  </si>
  <si>
    <t>EMSG:-STRACE:-STRACERAW:java.util.WeakHashMap.getTable(WeakHashMap.java:XXX</t>
  </si>
  <si>
    <t>EMSG:A report shows that the XXXSTRACE:the  XXX FORD TRUCK FXXX SUPER PU XXXXXXX  SUPER CAB has been flagged as having Vehicle History activity.
	at edge.capabilities.quote.submission.quoting.util.SubmissionUnderwritingIssuesUtil.checkSideBySideProcessExceptions(SubmissionUnderwritingIssuesUtil.gs:XXXSTRACERAW:-</t>
  </si>
  <si>
    <t>EMSG:A report shows that the XXXSTRACE:the  XXX RAM XXX CREW SHORT XXXXXXX SLT has been flagged as having Vehicle History activity.
	at edge.capabilities.quote.submission.quoting.util.SubmissionUnderwritingIssuesUtil.checkSideBySideProcessExceptions(SubmissionUnderwritingIssuesUtil.gs:XXXSTRACERAW:-</t>
  </si>
  <si>
    <t>EMSG:A report shows that the XXXSTRACE:the  XXX TOYOTA CAMRY SOLARA XXXD SE/SLE VXXX has been flagged as having Vehicle History activity.
	at edge.capabilities.quote.submission.quoting.util.SubmissionUnderwritingIssuesUtil.checkSideBySideProcessExceptions(SubmissionUnderwritingIssuesUtil.gs:XXXSTRACERAW:-</t>
  </si>
  <si>
    <t>EMSG:Attempt to remove required coverage for pattern Special Limits on Personal Property  Pattern nullSTRACE:edge.capabilities.policycommon.coverage.util.CoverageUtil.updateFrom XXXSTRACERAW:-</t>
  </si>
  <si>
    <t>EMSG:Dwelling at XXXSTRACE:XXX Martys Way, Gales Ferry, CT: Personal Property is no longer available and has been removed.; Dwelling at XXX Martys Way, Gales Ferry, CT: Loss of Use is no longer available and has been removed.; Dwelling at XXX Martys Way, Gales Ferry, CT: Building Ordinance is no longer available and has been removed.; Dwelling at XXX Martys Way, Gales Ferry, CT: Scheduled Payment Valuation Method on Roof is no longer available and has been removed. Please enter a new value.; Dwelling at XXX Martys Way, Gales Ferry, CT: Actual Cash Value Valuation Method on Fences is no longer available and has been removed. Please enter a new value.; Dwelling at XXX Martys Way, Gales Ferry, CT: Special Limits on Personal Property is no longer available and has been removed.
	at gw.api.extension.PCExtensionInterfacesMapper$block_XXX_.invoke(PCExtensionInterfacesMapper.gs:XXXSTRACERAW:-</t>
  </si>
  <si>
    <t>EMSG:For eligible contact Jacob Eldredge credit score is null. Please make sure credit is orderedSTRACE:com.farmers.config.common.credit.CreditScoreHelper.populateRatingCreditDTO(CreditScoreHelper.gs:XXXSTRACERAW:-</t>
  </si>
  <si>
    <t>EMSG:For eligible contact Luis Canseco credit score is null. Please make sure credit is orderedSTRACE:com.farmers.config.common.credit.CreditScoreHelper.populateRatingCreditDTO(CreditScoreHelper.gs:XXXSTRACERAW:-</t>
  </si>
  <si>
    <t>EMSG:For eligible contact Michael Tavey credit score is null. Please make sure credit is orderedSTRACE:com.farmers.config.common.credit.CreditScoreHelper.populateRatingCreditDTO(CreditScoreHelper.gs:XXXSTRACERAW:-</t>
  </si>
  <si>
    <t>EMSG:For eligible contact Samantha Schmittinger credit score is null. Please make sure credit is orderedSTRACE:com.farmers.config.common.credit.CreditScoreHelper.populateRatingCreditDTO(CreditScoreHelper.gs:XXXSTRACERAW:-</t>
  </si>
  <si>
    <t>EMSG:For eligible contact Treshaun Brantley credit score is null. Please make sure credit is orderedSTRACE:com.farmers.config.common.credit.CreditScoreHelper.populateRatingCreditDTO(CreditScoreHelper.gs:XXXSTRACERAW:-</t>
  </si>
  <si>
    <t>EMSG:Found more than one target of the property XXXSTRACE:XXX Budlong Ave, Torrance,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</si>
  <si>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Charlemagne Ct, Tracy,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</si>
  <si>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N Shady St, Visalia,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</si>
  <si>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Royal St George, LA Quinta,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</si>
  <si>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Vista Del Rio, Santa Maria,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</si>
  <si>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EMSG:PolicyAddress with FixedID:XXX and window XXXSTRACE:Jan XXX XXX:XXX:XXX PST XXX - Mon Feb XXX XXX:XXX:XXX PST XXX overlaps with Sat Jan XXX XXX:XXX:XXX PST XXX - Tue Mar XXX XXX:XXX:XXX PDT XXX
	at deployment.pc.war//com.guidewire.pl.system.entity.proxy.EffDatedVersionListImpl.lambda$isNonOverlapping$XXX(EffDatedVersionListImpl.java:XXXSTRACERAW:-</t>
  </si>
  <si>
    <t>EMSG:Re-enter "License #". Duplicate License Number entered for the following Drivers Anthony MalcolmSTRACE:edge.capabilities.quote.submission.quoting.util.SubmissionUnderwritingIssuesUtil.checkVerifyRateExceptions(SubmissionUnderwritingIssuesUtil.gs:XXXSTRACERAW:-</t>
  </si>
  <si>
    <t>EMSG:Update Signal Phone number for Jillian Jules-mcintosh. Each driver enrolled in the Signal program needs a unique cell phone number.;Update Signal Phone number for Michael R Mcintosh. Each driver enrolled in the Signal program needs a unique cell phone number.;STRACE:edge.capabilities.quote.submission.quoting.util.SubmissionUnderwritingIssuesUtil.checkVerifyRateExceptions(SubmissionUnderwritingIssuesUtil.gs:XXXSTRACERAW:-</t>
  </si>
  <si>
    <t>EMSG:Update Signal Phone number for Paul Ward. Each driver enrolled in the Signal program needs a unique cell phone number.;Update Signal Phone number for JOE PAIZ. Each driver enrolled in the Signal program needs a unique cell phone number.;STRACE:edge.capabilities.quote.submission.quoting.util.SubmissionUnderwritingIssuesUtil.checkVerifyRateExceptions(SubmissionUnderwritingIssuesUtil.gs:XXXSTRACERAW:-</t>
  </si>
  <si>
    <t>EMSG:[XXX] Cannot load a temporary id from the backing entity source: AccountLocation:XXXSTRACE:deployment.pc.war//com.guidewire.pl.system.bundle.EntityBundleImpl.loadBeans(EntityBundleImpl.java:XXXSTRACERAW:-</t>
  </si>
  <si>
    <t>EMSG:-STRACE:com.farmers.edge.capabilities.policyjob.lob.personalauto.util.VehicleUtil$block_XXX_$block_XXX_.invoke(VehicleUtil.gs:XXXSTRACERAW:-</t>
  </si>
  <si>
    <t>EMSG:-STRACE:least one vehicle. Since the number of vehicles is greater than the number of drivers, each driver must be a Primary Driver on at least one vehicle.
Update Primary Driver on the Vehicle XXX HONDA ACCORD XXXD SPORT. Primary Driver not found on the policy.
	at com.farmers.lob.pa.driverassignment.DriverAssignment.validateData(DriverAssignment.gs:XXXSTRACERAW:-</t>
  </si>
  <si>
    <t>EMSG:-STRACE:least one vehicle. Since the number of vehicles is greater than the number of drivers, each driver must be a Primary Driver on at least one vehicle.
Update Primary Driver on the Vehicle XXX TOYOTA COROLLA SEDAN XXXWD CE/LE/S. Primary Driver not found on the policy.
Update Primary Driver on the Vehicle XXX MAZDA XXX XXXD XXXWD GRAND TOURING. Primary Driver not found on the policy.
	at com.farmers.lob.pa.driverassignment.DriverAssignment.validateData(DriverAssignment.gs:XXXSTRACERAW:-</t>
  </si>
  <si>
    <t>EMSG:Dwelling at XXXSTRACE:XXX Bear Creek Rd, Madera, CA: XXX% Limit on Loss of Use is no longer available and has been removed. Please enter a new value.
	at gw.api.extension.PCExtensionInterfacesMapper$block_XXX_.invoke(PCExtensionInterfacesMapper.gs:XXXSTRACERAW:-</t>
  </si>
  <si>
    <t>EMSG:Dwelling at XXXSTRACE:XXX Cattle Baron Rd, Fairview, TX: Replacement Cost Value Valuation Method on Personal Property is no longer available and has been removed. Please enter a new value.
	at gw.api.extension.PCExtensionInterfacesMapper$block_XXX_.invoke(PCExtensionInterfacesMapper.gs:XXXSTRACERAW:-</t>
  </si>
  <si>
    <t>EMSG:Dwelling at XXXSTRACE:XXX Claremont Dr, Concord, CA: XXX% Limit on Loss of Use is no longer available and has been removed. Please enter a new value.
	at gw.api.extension.PCExtensionInterfacesMapper$block_XXX_.invoke(PCExtensionInterfacesMapper.gs:XXXSTRACERAW:-</t>
  </si>
  <si>
    <t>EMSG:Dwelling at XXXSTRACE:XXX Dehia St, Poway, CA: XXX% Limit on Loss of Use is no longer available and has been removed. Please enter a new value.
	at gw.api.extension.PCExtensionInterfacesMapper$block_XXX_.invoke(PCExtensionInterfacesMapper.gs:XXXSTRACERAW:-</t>
  </si>
  <si>
    <t>EMSG:Dwelling at XXXSTRACE:XXX Eastvale Rd, Poway, CA: XXX% Limit on Loss of Use is no longer available and has been removed. Please enter a new value.
	at gw.api.extension.PCExtensionInterfacesMapper$block_XXX_.invoke(PCExtensionInterfacesMapper.gs:XXXSTRACERAW:-</t>
  </si>
  <si>
    <t>EMSG:Dwelling at XXXSTRACE:XXX Grey Stone Rd, Poway, CA: XXX% Limit on Loss of Use is no longer available and has been removed. Please enter a new value.
	at gw.api.extension.PCExtensionInterfacesMapper$block_XXX_.invoke(PCExtensionInterfacesMapper.gs:XXXSTRACERAW:-</t>
  </si>
  <si>
    <t>EMSG:Dwelling at XXXSTRACE:XXX Iron Creek Dr, Friant, CA: XXX% Limit on Loss of Use is no longer available and has been removed. Please enter a new value.
	at gw.api.extension.PCExtensionInterfacesMapper$block_XXX_.invoke(PCExtensionInterfacesMapper.gs:XXXSTRACERAW:-</t>
  </si>
  <si>
    <t>EMSG:Dwelling at XXXSTRACE:XXX Jenell St, Poway, CA: XXX% Limit on Loss of Use is no longer available and has been removed. Please enter a new value.
	at gw.api.extension.PCExtensionInterfacesMapper$block_XXX_.invoke(PCExtensionInterfacesMapper.gs:XXXSTRACERAW:-</t>
  </si>
  <si>
    <t>EMSG:Dwelling at XXXSTRACE:XXX Mistyhill Rd, North Chesterfield, VA: No message configured; Dwelling at XXX Mistyhill Rd, North Chesterfield, VA: Standard Limit on Special Limits on Personal Property is no longer available and has been removed. Please enter a new value.
	at gw.api.extension.PCExtensionInterfacesMapper$block_XXX_.invoke(PCExtensionInterfacesMapper.gs:XXXSTRACERAW:-</t>
  </si>
  <si>
    <t>EMSG:Dwelling at XXXSTRACE:XXX Mistyhill Rd, North Chesterfield, VA: Standard Limit on Special Limits on Personal Property is no longer available and has been removed. Please enter a new value.
	at gw.api.extension.PCExtensionInterfacesMapper$block_XXX_.invoke(PCExtensionInterfacesMapper.gs:XXXSTRACERAW:-</t>
  </si>
  <si>
    <t>EMSG:Dwelling at XXXSTRACE:XXX Oak Trail Ct, Alamo, CA: XXX% Limit on Loss of Use is no longer available and has been removed. Please enter a new value.
	at gw.api.extension.PCExtensionInterfacesMapper$block_XXX_.invoke(PCExtensionInterfacesMapper.gs:XXXSTRACERAW:-</t>
  </si>
  <si>
    <t>EMSG:Dwelling at XXXSTRACE:XXX Overview Rd, Poway, CA: XXX% Limit on Loss of Use is no longer available and has been removed. Please enter a new value.
	at gw.api.extension.PCExtensionInterfacesMapper$block_XXX_.invoke(PCExtensionInterfacesMapper.gs:XXXSTRACERAW:-</t>
  </si>
  <si>
    <t>EMSG:Dwelling at XXXSTRACE:XXX Ranger Rd, Clovis, CA: XXX% Limit on Loss of Use is no longer available and has been removed. Please enter a new value.
	at gw.api.extension.PCExtensionInterfacesMapper$block_XXX_.invoke(PCExtensionInterfacesMapper.gs:XXXSTRACERAW:-</t>
  </si>
  <si>
    <t>EMSG:Dwelling at XXXSTRACE:XXX Sagewood Dr, Poway, CA: XXX% Limit on Loss of Use is no longer available and has been removed. Please enter a new value.
	at gw.api.extension.PCExtensionInterfacesMapper$block_XXX_.invoke(PCExtensionInterfacesMapper.gs:XXXSTRACERAW:-</t>
  </si>
  <si>
    <t>EMSG:Dwelling at XXXSTRACE:XXX Whisonant Ln, Warrior, AL: Perils on Personal Property is now available and its value must be verified by the user.
	at gw.api.extension.PCExtensionInterfacesMapper$block_XXX_.invoke(PCExtensionInterfacesMapper.gs:XXXSTRACERAW:-</t>
  </si>
  <si>
    <t>EMSG:Dwelling at XXXSTRACE:XXX White Ave, King Of Prussia, PA: Perils on Personal Property is now available and its value must be verified by the user.
	at gw.api.extension.PCExtensionInterfacesMapper$block_XXX_.invoke(PCExtensionInterfacesMapper.gs:XXXSTRACERAW:-</t>
  </si>
  <si>
    <t>EMSG:For eligible contact VANNESSA THOMAS credit score is null. Please make sure credit is orderedSTRACE:com.farmers.config.common.credit.CreditScoreHelper.populateRatingCreditDTO(CreditScoreHelper.gs:XXXSTRACERAW:-</t>
  </si>
  <si>
    <t>EMSG:LUW Policy Change Job XXX: The object you are trying to update was XXXSTRACE:XXX/XXX/XXX XXX:XXX AM. Please cancel and retry your change.
The object you are trying to update was 'Policy:CN:0529771367094XXX - CN:0529771367094XXX', and it was changed by System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</si>
  <si>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'Policy:CN:19041655250789680011063XXX - CN:19041655250789680011063XXX', and it was changed by Joshua Michael Romano at XXX/XXX/XXX XXX:XXX AM.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</si>
  <si>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'Policy:CN:010043445106256545560262XXX - CN:010043445106256545560262XXX', and it was changed by Lisa Agnes Matney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</si>
  <si>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'Policy:CN:01014251730011203564001XXX - CN:01014251730011203564001XXX', and it was changed by Jessica Elizabeth Trucksess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</si>
  <si>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'Policy:CN:093390259900919368750092XXX - CN:093390259900919368750092XXX', and it was changed by Ali Mohtashim Shah at XXX/XXX/XXX XXX:XXX PM. Please cancel and retry your change.
	at gw.acc.luw.LUWExceptionHelper.processUserDisplayableException(LUWExceptionHelper.gs:XXXSTRACERAW:-</t>
  </si>
  <si>
    <t>EMSG:LUW Policy Change Job XXX: The object you are trying to update was XXXSTRACE:XXX/XXX/XXX XXX:XXX PM. Please cancel and retry your change.
The object you are trying to update was 'Policy:CN:202778541805254647050201XXX - CN:202778541805254647050201XXX', and it was changed by Rachelle Ray Bozeman at XXX/XXX/XXX XXX:XXX PM. Please cancel and retry your change.
	at gw.acc.luw.LUWExceptionHelper.processUserDisplayableException(LUWExceptionHelper.gs:XXXSTRACERAW:-</t>
  </si>
  <si>
    <t>EMSG:MADISYNE SYKESSTRACE:com.farmers.config.pa.validator.BrightlineValidator.validateQuoteBrightlineRules(BrightlineValidator.gs:XXXSTRACERAW:-</t>
  </si>
  <si>
    <t>EMSG:MADISYNE SYKESSTRACE:gw.job.QuoteProcess.requestQuote(QuoteProcess.gs:XXXSTRACERAW:-</t>
  </si>
  <si>
    <t>EMSG:MVR APP ERROR: OH-LEXISNEXIS REJECT:LAST NAME INVALID OR MISSING for unit VQXXXOHSTRACE:com.farmers.config.common.mvr.MVRProcess.createCacheFromResponse(MVRProcess.gs:XXXSTRACERAW:-</t>
  </si>
  <si>
    <t>EMSG:One or more null constraint violations detected for PAIncidentRecord_ExtSTRACE:deployment.pc.war//com.guidewire.pl.system.database.entitywriter.DatabaseEntityWriterImpl.checkForNullConstraintViolation(DatabaseEntityWriterImpl.java:XXXSTRACERAW:-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</si>
  <si>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Cody Ferrer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</si>
  <si>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EMSG:Select XXX as the Primary Driver on at least one vehicle. Since the number of vehicles is greater than the number of driversSTRACE:least one vehicle. Since the number of vehicles is greater than the number of drivers, each driver must be a Primary Driver on at least one vehicle.
Select ELIZABETH AVETYAN as the Primary Driver on at least one vehicle. Since the number of vehicles is greater than the number of drivers, each driver must be a Primary Driver on at least one vehicle.
	at com.farmers.lob.pa.driverassignment.DriverAssignment.validateData(DriverAssignment.gs:XXXSTRACERAW:-</t>
  </si>
  <si>
    <t>EMSG:Update the Primary Driver selection for XXXSTRACE:Brar. Since the number of drivers is equal to or greater than the number of vehicles, a driver can only be selected as Primary Driver for one vehicle.
	at com.farmers.lob.pa.driverassignment.DriverAssignment.validateData(DriverAssignment.gs:XXXSTRACERAW:-</t>
  </si>
  <si>
    <t>EMSG:XXX has exceeded the accident and/or violation threshold for eligibility in this program.STRACE:Selshtut has exceeded the accident and/or violation threshold for eligibility in this program.
	at com.farmers.config.pa.validator.BrightlineValidator.validateQuoteBrightlineRules(BrightlineValidator.gs:XXXSTRACERAW:-</t>
  </si>
  <si>
    <t>EMSG:, AOR=XXXSTRACE:deployment.pc.war//com.guidewire.pc.domain.account.impl.AccountImpl.beforeUpdate(AccountImpl.java:XXXSTRACERAW:-</t>
  </si>
  <si>
    <t>EMSG:, AOR=XXXSTRACE:deployment.pc.war//entity.AutoCheckReportDetail_Ext.&lt;init&gt;(AutoCheckReportDetail_Ext.java:XXXSTRACERAW:-</t>
  </si>
  <si>
    <t>EMSG:-STRACE:-STRACERAW:Feb XXX XXX:XXX:XXX PST XXX (attempted merging values Dwelling at XXX Lechuga Rd, Vado, NM and Dwelling at XXX Lechuga Rd, Vado, NM</t>
  </si>
  <si>
    <t>EMSG:-STRACE:-STRACERAW:com.farmers.rating.util.FarmersRatingUtility.closestRenewalTerm(FarmersRatingUtility.gs:XXX</t>
  </si>
  <si>
    <t>EMSG:-STRACE:-STRACERAW:com.guidewire.pc.domain.account.impl.AccountImpl.beforeUpdate(AccountImpl.java:XXX</t>
  </si>
  <si>
    <t>EMSG:A report shows that the XXXSTRACE:the  XXX BUICK ENCORE GX XXXD XXXWD SELECT has been flagged as having Vehicle History activity.
	at edge.capabilities.quote.submission.quoting.util.SubmissionUnderwritingIssuesUtil.checkSideBySideProcessExceptions(SubmissionUnderwritingIssuesUtil.gs:XXXSTRACERAW:-</t>
  </si>
  <si>
    <t>EMSG:A report shows that the XXXSTRACE:the  XXX CHEVROLET CRUZE XXXD LS has been flagged as having Vehicle History activity.
	at edge.capabilities.quote.submission.quoting.util.SubmissionUnderwritingIssuesUtil.checkSideBySideProcessExceptions(SubmissionUnderwritingIssuesUtil.gs:XXXSTRACERAW:-</t>
  </si>
  <si>
    <t>EMSG:A report shows that the XXXSTRACE:the  XXX CHEVROLET TRUCK SLVRDO XXX CR XXXXXXX LTZ has been flagged as having Vehicle History activity.
	at edge.capabilities.quote.submission.quoting.util.SubmissionUnderwritingIssuesUtil.checkSideBySideProcessExceptions(SubmissionUnderwritingIssuesUtil.gs:XXXSTRACERAW:-</t>
  </si>
  <si>
    <t>EMSG:A report shows that the XXXSTRACE:the  XXX DODGE TRUCK GRAND CARAVAN XXXWD SXT has been flagged as having Vehicle History activity.
	at edge.capabilities.quote.submission.quoting.util.SubmissionUnderwritingIssuesUtil.checkSideBySideProcessExceptions(SubmissionUnderwritingIssuesUtil.gs:XXXSTRACERAW:-</t>
  </si>
  <si>
    <t>EMSG:A report shows that the XXXSTRACE:the  XXX HONDA ELEMENT XXXD XXXWD SC has been flagged as having Vehicle History activity.
	at edge.capabilities.quote.submission.quoting.util.SubmissionUnderwritingIssuesUtil.checkSideBySideProcessExceptions(SubmissionUnderwritingIssuesUtil.gs:XXXSTRACERAW:-</t>
  </si>
  <si>
    <t>EMSG:A report shows that the XXXSTRACE:the  XXX TOYOTA TACOMA PU DBL CAB SH XXXXXXX PRE has been flagged as having Vehicle History activity.
	at edge.capabilities.quote.submission.quoting.util.SubmissionUnderwritingIssuesUtil.checkSideBySideProcessExceptions(SubmissionUnderwritingIssuesUtil.gs:XXXSTRACERAW:-</t>
  </si>
  <si>
    <t>EMSG:Attempt to access bean of type "CreditScore_Ext" id=XXX with a null bundleSTRACE:deployment.pc.war//com.guidewire.pl.system.entity.proxy.BeanProxy.checkIsInBundle(BeanProxy.java:XXXSTRACERAW:-</t>
  </si>
  <si>
    <t>EMSG:Avistine ParkerSTRACE:com.farmers.config.pa.validator.BrightlineValidator.validateQuoteBrightlineRules(BrightlineValidator.gs:XXXSTRACERAW:-</t>
  </si>
  <si>
    <t>EMSG:Avistine ParkerSTRACE:gw.job.QuoteProcess.requestQuote(QuoteProcess.gs:XXXSTRACERAW:-</t>
  </si>
  <si>
    <t>EMSG:Database bean version conflict : XXXSTRACE:XXXXXXXXX XXX:XXX a.m.. Please cancel and retry your change.
	at deployment.pc.war//com.guidewire.pl.system.database.DatabaseChangedBeanWriter.createConcurrentDataChangeException(DatabaseChangedBeanWriter.java:XXXSTRACERAW:-</t>
  </si>
  <si>
    <t>EMSG:Dwelling at XXXSTRACE:XXX Martys Way, Gales Ferry, CT: Scheduled Payment Valuation Method on Roof is no longer available and has been removed. Please enter a new value.; Dwelling at XXX Martys Way, Gales Ferry, CT: Actual Cash Value Valuation Method on Fences is no longer available and has been removed. Please enter a new value.
	at gw.api.extension.PCExtensionInterfacesMapper$block_XXX_.invoke(PCExtensionInterfacesMapper.gs:XXXSTRACERAW:-</t>
  </si>
  <si>
    <t>EMSG:Dwelling at XXXSTRACE:XXX Roxbury Rd, Niantic, CT: Scheduled Payment Valuation Method on Roof is no longer available and has been removed. Please enter a new value.; Dwelling at XXX Roxbury Rd, Niantic, CT: Actual Cash Value Valuation Method on Fences is no longer available and has been removed. Please enter a new value.
	at gw.api.extension.PCExtensionInterfacesMapper$block_XXX_.invoke(PCExtensionInterfacesMapper.gs:XXXSTRACERAW:-</t>
  </si>
  <si>
    <t>EMSG:Dwelling at XXXSTRACE:XXX Whippoorwill Rd, Old Lyme, CT: Scheduled Payment Valuation Method on Roof is no longer available and has been removed. Please enter a new value.
	at gw.api.extension.PCExtensionInterfacesMapper$block_XXX_.invoke(PCExtensionInterfacesMapper.gs:XXXSTRACERAW:-</t>
  </si>
  <si>
    <t>EMSG:Dwelling at XXXSTRACE:XXX Whippoorwill Rd, Old Lyme, CT: Scheduled Payment Valuation Method on Roof is no longer available and has been removed. Please enter a new value.; Dwelling at XXX Whippoorwill Rd, Old Lyme, CT: Actual Cash Value Valuation Method on Fences is no longer available and has been removed. Please enter a new value.
	at gw.api.extension.PCExtensionInterfacesMapper$block_XXX_.invoke(PCExtensionInterfacesMapper.gs:XXXSTRACERAW:-</t>
  </si>
  <si>
    <t>EMSG:Effective ranges overlap for AutoCheckReportDetail_Ext with BranchID XXX and with FixedID XXXSTRACE:deployment.pc.war//com.guidewire.pl.system.entity.proxy.EffDatedBeanProxy.checkForOverlaps(EffDatedBeanProxy.java:XXXSTRACERAW:-</t>
  </si>
  <si>
    <t>EMSG:Error : XXXSTRACE:deployment.pc.war//gw.pl.util.ExceptionUtil.convertToRuntimeException(ExceptionUtil.java:XXXSTRACERAW:-</t>
  </si>
  <si>
    <t>EMSG:Exception occurs while transforming response for RetrieveMVRReportResponseInfo STRACE:com.farmers.integ.erti.riskanalysis.riskreports.transformer.MVRReportResponseTransformer.transform(MVRReportResponseTransformer.gs:XXXSTRACERAW:-</t>
  </si>
  <si>
    <t>EMSG:FarmersRatingUtility:closestRenewalTerm(XXXSTRACE:com.farmers.rating.util.FarmersRatingUtility.closestRenewalTerm(FarmersRatingUtility.gs:XXXSTRACERAW:-</t>
  </si>
  <si>
    <t>EMSG:For eligible contact Alaiham Alkamakhly credit score is null. Please make sure credit is orderedSTRACE:com.farmers.config.common.credit.CreditScoreHelper.populateRatingCreditDTO(CreditScoreHelper.gs:XXXSTRACERAW:-</t>
  </si>
  <si>
    <t>EMSG:For eligible contact Angel Hodges credit score is null. Please make sure credit is orderedSTRACE:com.farmers.config.common.credit.CreditScoreHelper.populateRatingCreditDTO(CreditScoreHelper.gs:XXXSTRACERAW:-</t>
  </si>
  <si>
    <t>EMSG:For eligible contact Anthony Alvarado credit score is null. Please make sure credit is orderedSTRACE:com.farmers.config.common.credit.CreditScoreHelper.populateRatingCreditDTO(CreditScoreHelper.gs:XXXSTRACERAW:-</t>
  </si>
  <si>
    <t>EMSG:For eligible contact Audrey James credit score is null. Please make sure credit is orderedSTRACE:com.farmers.config.common.credit.CreditScoreHelper.populateRatingCreditDTO(CreditScoreHelper.gs:XXXSTRACERAW:-</t>
  </si>
  <si>
    <t>EMSG:For eligible contact Bryan Kolppa credit score is null. Please make sure credit is orderedSTRACE:com.farmers.config.common.credit.CreditScoreHelper.populateRatingCreditDTO(CreditScoreHelper.gs:XXXSTRACERAW:-</t>
  </si>
  <si>
    <t>EMSG:For eligible contact Chad Robertson credit score is null. Please make sure credit is orderedSTRACE:com.farmers.config.common.credit.CreditScoreHelper.populateRatingCreditDTO(CreditScoreHelper.gs:XXXSTRACERAW:-</t>
  </si>
  <si>
    <t>EMSG:For eligible contact Danny Bowles credit score is null. Please make sure credit is orderedSTRACE:com.farmers.config.common.credit.CreditScoreHelper.populateRatingCreditDTO(CreditScoreHelper.gs:XXXSTRACERAW:-</t>
  </si>
  <si>
    <t>EMSG:For eligible contact David Huerta credit score is null. Please make sure credit is orderedSTRACE:com.farmers.config.common.credit.CreditScoreHelper.populateRatingCreditDTO(CreditScoreHelper.gs:XXXSTRACERAW:-</t>
  </si>
  <si>
    <t>EMSG:For eligible contact Dongho Hyun credit score is null. Please make sure credit is orderedSTRACE:com.farmers.config.common.credit.CreditScoreHelper.populateRatingCreditDTO(CreditScoreHelper.gs:XXXSTRACERAW:-</t>
  </si>
  <si>
    <t>EMSG:For eligible contact Eathan Morales credit score is null. Please make sure credit is orderedSTRACE:com.farmers.config.common.credit.CreditScoreHelper.populateRatingCreditDTO(CreditScoreHelper.gs:XXXSTRACERAW:-</t>
  </si>
  <si>
    <t>EMSG:For eligible contact Erika Corrales credit score is null. Please make sure credit is orderedSTRACE:com.farmers.config.common.credit.CreditScoreHelper.populateRatingCreditDTO(CreditScoreHelper.gs:XXXSTRACERAW:-</t>
  </si>
  <si>
    <t>EMSG:For eligible contact Hayley Douglas credit score is null. Please make sure credit is orderedSTRACE:com.farmers.config.common.credit.CreditScoreHelper.populateRatingCreditDTO(CreditScoreHelper.gs:XXXSTRACERAW:-</t>
  </si>
  <si>
    <t>EMSG:For eligible contact Hilda Sahagian credit score is null. Please make sure credit is orderedSTRACE:com.farmers.config.common.credit.CreditScoreHelper.populateRatingCreditDTO(CreditScoreHelper.gs:XXXSTRACERAW:-</t>
  </si>
  <si>
    <t>EMSG:For eligible contact Jayprakash Patel credit score is null. Please make sure credit is orderedSTRACE:com.farmers.config.common.credit.CreditScoreHelper.populateRatingCreditDTO(CreditScoreHelper.gs:XXXSTRACERAW:-</t>
  </si>
  <si>
    <t>EMSG:For eligible contact Julie Tripp credit score is null. Please make sure credit is orderedSTRACE:com.farmers.config.common.credit.CreditScoreHelper.populateRatingCreditDTO(CreditScoreHelper.gs:XXXSTRACERAW:-</t>
  </si>
  <si>
    <t>EMSG:For eligible contact Kara Powlison credit score is null. Please make sure credit is orderedSTRACE:com.farmers.config.common.credit.CreditScoreHelper.populateRatingCreditDTO(CreditScoreHelper.gs:XXXSTRACERAW:-</t>
  </si>
  <si>
    <t>EMSG:For eligible contact Keith Mitchell credit score is null. Please make sure credit is orderedSTRACE:com.farmers.config.common.credit.CreditScoreHelper.populateRatingCreditDTO(CreditScoreHelper.gs:XXXSTRACERAW:-</t>
  </si>
  <si>
    <t>EMSG:For eligible contact Ladwaun Turk credit score is null. Please make sure credit is orderedSTRACE:com.farmers.config.common.credit.CreditScoreHelper.populateRatingCreditDTO(CreditScoreHelper.gs:XXXSTRACERAW:-</t>
  </si>
  <si>
    <t>EMSG:For eligible contact Melanie Joseph credit score is null. Please make sure credit is orderedSTRACE:com.farmers.config.common.credit.CreditScoreHelper.populateRatingCreditDTO(CreditScoreHelper.gs:XXXSTRACERAW:-</t>
  </si>
  <si>
    <t>EMSG:For eligible contact Meridith Childers credit score is null. Please make sure credit is orderedSTRACE:com.farmers.config.common.credit.CreditScoreHelper.populateRatingCreditDTO(CreditScoreHelper.gs:XXXSTRACERAW:-</t>
  </si>
  <si>
    <t>EMSG:For eligible contact Michael Tilus credit score is null. Please make sure credit is orderedSTRACE:com.farmers.config.common.credit.CreditScoreHelper.populateRatingCreditDTO(CreditScoreHelper.gs:XXXSTRACERAW:-</t>
  </si>
  <si>
    <t>EMSG:For eligible contact Mohame Hrimich credit score is null. Please make sure credit is orderedSTRACE:com.farmers.config.common.credit.CreditScoreHelper.populateRatingCreditDTO(CreditScoreHelper.gs:XXXSTRACERAW:-</t>
  </si>
  <si>
    <t>EMSG:For eligible contact Patricia Hawkins credit score is null. Please make sure credit is orderedSTRACE:com.farmers.config.common.credit.CreditScoreHelper.populateRatingCreditDTO(CreditScoreHelper.gs:XXXSTRACERAW:-</t>
  </si>
  <si>
    <t>EMSG:For eligible contact Qiong Yang credit score is null. Please make sure credit is orderedSTRACE:com.farmers.config.common.credit.CreditScoreHelper.populateRatingCreditDTO(CreditScoreHelper.gs:XXXSTRACERAW:-</t>
  </si>
  <si>
    <t>EMSG:For eligible contact Rick Potterton credit score is null. Please make sure credit is orderedSTRACE:com.farmers.config.common.credit.CreditScoreHelper.populateRatingCreditDTO(CreditScoreHelper.gs:XXXSTRACERAW:-</t>
  </si>
  <si>
    <t>EMSG:For eligible contact Rosa Barcenas credit score is null. Please make sure credit is orderedSTRACE:com.farmers.config.common.credit.CreditScoreHelper.populateRatingCreditDTO(CreditScoreHelper.gs:XXXSTRACERAW:-</t>
  </si>
  <si>
    <t>EMSG:For eligible contact Ryan Hargis credit score is null. Please make sure credit is orderedSTRACE:com.farmers.config.common.credit.CreditScoreHelper.populateRatingCreditDTO(CreditScoreHelper.gs:XXXSTRACERAW:-</t>
  </si>
  <si>
    <t>EMSG:For eligible contact Samuel Holm credit score is null. Please make sure credit is orderedSTRACE:com.farmers.config.common.credit.CreditScoreHelper.populateRatingCreditDTO(CreditScoreHelper.gs:XXXSTRACERAW:-</t>
  </si>
  <si>
    <t>EMSG:For eligible contact Shelby Linze credit score is null. Please make sure credit is orderedSTRACE:com.farmers.config.common.credit.CreditScoreHelper.populateRatingCreditDTO(CreditScoreHelper.gs:XXXSTRACERAW:-</t>
  </si>
  <si>
    <t>EMSG:For eligible contact Steven Kukla credit score is null. Please make sure credit is orderedSTRACE:com.farmers.config.common.credit.CreditScoreHelper.populateRatingCreditDTO(CreditScoreHelper.gs:XXXSTRACERAW:-</t>
  </si>
  <si>
    <t>EMSG:For eligible contact Taylor Black credit score is null. Please make sure credit is orderedSTRACE:com.farmers.config.common.credit.CreditScoreHelper.populateRatingCreditDTO(CreditScoreHelper.gs:XXXSTRACERAW:-</t>
  </si>
  <si>
    <t>EMSG:For eligible contact Thanh Phan credit score is null. Please make sure credit is orderedSTRACE:com.farmers.config.common.credit.CreditScoreHelper.populateRatingCreditDTO(CreditScoreHelper.gs:XXXSTRACERAW:-</t>
  </si>
  <si>
    <t>EMSG:For eligible contact Todd Cutlip credit score is null. Please make sure credit is orderedSTRACE:com.farmers.config.common.credit.CreditScoreHelper.populateRatingCreditDTO(CreditScoreHelper.gs:XXXSTRACERAW:-</t>
  </si>
  <si>
    <t>EMSG:Found more than one target of the property XXXSTRACE:XXX Alburtis Ave, Lakewood,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</si>
  <si>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Alliston Loop, Dublin,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</si>
  <si>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Avignon, Irvine,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</si>
  <si>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Aztec St, Sylmar,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</si>
  <si>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Caballero Rd, Apple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</si>
  <si>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Canyon Blvd, Mammoth Lakes,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</si>
  <si>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Clara Rd, Bakersfield,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</si>
  <si>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 Avenue T # XXX, Littlerock,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</si>
  <si>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 Avenue TXXX, Palmdale,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</si>
  <si>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 Buena Vista Ave, Visalia,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</si>
  <si>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Electra Dr, Los Angeles,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</si>
  <si>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Estate Way, Victorville,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</si>
  <si>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Fairview Pl, Hanford,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</si>
  <si>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Falcon Ave, Long Beach,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</si>
  <si>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Forest Ave, Chico,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</si>
  <si>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Grace Ave, Carson,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</si>
  <si>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Hacienda St, San Mateo,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</si>
  <si>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Hazel Way, Paradise,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</si>
  <si>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Hunter Ct, Alpine,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</si>
  <si>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Isleta St, Los Angeles,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</si>
  <si>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Laguna Trl, Pine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</si>
  <si>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Limestone Cir, Yreka,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</si>
  <si>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Madison St, Cambria,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</si>
  <si>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Oakengate Dr, San Dimas,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</si>
  <si>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Orange Ave, Beaumont,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</si>
  <si>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Oxford Ln, Santa Clarita,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</si>
  <si>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Pevero Ct, Palmdale,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</si>
  <si>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Redondo Norte, Coachella,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</si>
  <si>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Saint Andrews Way, Livermore,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</si>
  <si>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Soda Canyon Ct, Ceres,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</si>
  <si>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Stonethrow Ct, Redding,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</si>
  <si>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Torch St, Baldwin Park,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</si>
  <si>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Valley Crest Ter, Apple Valley,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</si>
  <si>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 Foothill Blvd, Glendora,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</si>
  <si>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W Wagstaff Rd, Paradise,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</si>
  <si>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EMSG:Found more than one target of the property XXXSTRACE:XXX XXXth Ave Unit XXX, San Diego, CA': ['HOConstructionDetails_Ext:pc:XXX - Dwelling Construction Details', 'HOConstructionDetails_Ext:pc:XXX - Dwelling Construction Details']. This could be due to a concurrent data change, or a programming error.
	at deployment.pc.war//com.guidewire.pl.system.entity.proxy.AbstractKeyableBeanProxy.getOneToOneForeignKeyId(AbstractKeyableBeanProxy.java:XXXSTRACERAW:-</t>
  </si>
  <si>
    <t>EMSG:Illegal value for keySTRACE:com.farmers.integ.framework.job.automatejob.AutomatedJob.executeJob(AutomatedJob.gs:XXXSTRACERAW:-</t>
  </si>
  <si>
    <t>EMSG:JEFFREY SUTTONSTRACE:com.farmers.config.pa.validator.BrightlineValidator.validateQuoteBrightlineRules(BrightlineValidator.gs:XXXSTRACERAW:-</t>
  </si>
  <si>
    <t>EMSG:JOSEPH MERHAISTRACE:com.farmers.config.pa.validator.BrightlineValidator.validateQuoteBrightlineRules(BrightlineValidator.gs:XXXSTRACERAW:-</t>
  </si>
  <si>
    <t>EMSG:JOSEPH MERHAISTRACE:gw.job.QuoteProcess.requestQuote(QuoteProcess.gs:XXXSTRACERAW:-</t>
  </si>
  <si>
    <t>EMSG:LUW Policy Change Job XXX: The object you are trying to update was XXXSTRACE:XXX/XXX/XXX XXX:XXX PM. Please cancel and retry your change.
	at com.farmers.integ.framework.job.automatejob.AutomatedJob.executeJob(AutomatedJob.gs:XXXSTRACERAW:-</t>
  </si>
  <si>
    <t>EMSG:LUW Policy Change Job XXX: The object you are trying to update was XXXSTRACE:XXX/XXX/XXX XXX:XXX PM. Please cancel and retry your change.
The object you are trying to update was 'Policy:CN:2370248450080735227305XXX - CN:2370248450080735227305XXX', and it was changed by System at XXX/XXX/XXX XXX:XXX PM. Please cancel and retry your change.
	at gw.acc.luw.LUWExceptionHelper.processUserDisplayableException(LUWExceptionHelper.gs:XXXSTRACERAW:-</t>
  </si>
  <si>
    <t>EMSG:Missing/Invalid Mandatory Fields - LicenseExpDateSTRACE:com.farmers.integ.framework.annotations.WsiAnnotationValidationHandler.validateInboundService(WsiAnnotationValidationHandler.gs:XXXSTRACERAW:-</t>
  </si>
  <si>
    <t>EMSG:RONALD POSEYSTRACE:com.farmers.config.pa.validator.BrightlineValidator.validateQuoteBrightlineRules(BrightlineValidator.gs:XXXSTRACERAW:-</t>
  </si>
  <si>
    <t>EMSG:RONALD POSEYSTRACE:gw.job.QuoteProcess.requestQuote(QuoteProcess.gs:XXXSTRACERAW:-</t>
  </si>
  <si>
    <t>EMSG:Re-enter "License #". Duplicate License Number entered for the following Drivers Anthony Malcolm JRSTRACE:edge.capabilities.quote.submission.quoting.util.SubmissionUnderwritingIssuesUtil.checkVerifyRateExceptions(SubmissionUnderwritingIssuesUtil.gs:XXXSTRACERAW:-</t>
  </si>
  <si>
    <t>EMSG:Re-enter "License #". Duplicate License Number entered for the following Drivers KELLYN CASTILLO ALVARDOSTRACE:edge.capabilities.quote.submission.quoting.util.SubmissionUnderwritingIssuesUtil.checkVerifyRateExceptions(SubmissionUnderwritingIssuesUtil.gs:XXXSTRACERAW:-</t>
  </si>
  <si>
    <t>EMSG:Remove duplicate driver Felipe Vasquez. Two or more non-drivers with the same information exist.STRACE:edge.capabilities.policychange.lob.personalauto.coverables.DefaultPaCoverablePlugin.updateCoverables(DefaultPaCoverablePlugin.gs:XXXSTRACERAW:-</t>
  </si>
  <si>
    <t>EMSG:Review the Valuation ID. XXX Value was unable to locate a match.STRACE:com.farmers.config.ho.dwelling.propertyvaluation.process.HOPropertyValuationProcess.retrieveEvaluationProcess(HOPropertyValuationProcess.gs:XXXSTRACERAW:-</t>
  </si>
  <si>
    <t>EMSG:The value "BERTHA VAZQUEZSTRACE:deployment.pc.war//gw.datatype.impl.StringConstraintsHandlerBase.validateStringLength(StringConstraintsHandlerBase.java:XXXSTRACERAW:-</t>
  </si>
  <si>
    <t>EMSG:The value "CHARLES E GRIFFINSTRACE:deployment.pc.war//gw.datatype.impl.StringConstraintsHandlerBase.validateStringLength(StringConstraintsHandlerBase.java:XXXSTRACERAW:-</t>
  </si>
  <si>
    <t>EMSG:Timothy BowmanSTRACE:com.farmers.config.pa.validator.BrightlineValidator.validateQuoteBrightlineRules(BrightlineValidator.gs:XXXSTRACERAW:-</t>
  </si>
  <si>
    <t>EMSG:Unable to retrieve Mortgagee details for code - XXXFESTRACE:com.farmers.edge.capabilities.quote.mortgagee.MortgageePlugin$block_XXX_.invoke(MortgageePlugin.gs:XXXSTRACERAW:-</t>
  </si>
  <si>
    <t>EMSG:Update 'What vehicle do you customarily drive?' for Tara Nehring. This is required for active drivers.STRACE:vehicle do you customarily drive?' for Tara Nehring. This is required for active drivers.
	at edge.capabilities.quote.submission.quoting.util.SubmissionUnderwritingIssuesUtil.checkSideBySideProcessExceptions(SubmissionUnderwritingIssuesUtil.gs:XXXSTRACERAW:-</t>
  </si>
  <si>
    <t>EMSG:Update Signal Phone number for Michael R Mcintosh. Each driver enrolled in the Signal program needs a unique cell phone number.;Update Signal Phone number for Jillian Jules-mcintosh. Each driver enrolled in the Signal program needs a unique cell phone number.;STRACE:edge.capabilities.quote.submission.quoting.util.SubmissionUnderwritingIssuesUtil.checkVerifyRateExceptions(SubmissionUnderwritingIssuesUtil.gs:XXXSTRACERAW:-</t>
  </si>
  <si>
    <t>EMSG:Update the Age First Licensed for Betty Sanders. This is required for active drivers.STRACE:edge.capabilities.quote.submission.quoting.util.SubmissionUnderwritingIssuesUtil.checkSideBySideProcessExceptions(SubmissionUnderwritingIssuesUtil.gs:XXXSTRACERAW:-</t>
  </si>
  <si>
    <t>EMSG:Update the First Foreign Licensed Date for Jose Zuno. The date must be at least XXX years or more from the Date of BirthSTRACE:least XXX years or more from the Date of Birth
	at edge.capabilities.quote.submission.quoting.util.SubmissionUnderwritingIssuesUtil.checkSideBySideProcessExceptions(SubmissionUnderwritingIssuesUtil.gs:XXXSTRACERAW:-</t>
  </si>
  <si>
    <t>EMSG:Warren RossSTRACE:com.farmers.config.pa.validator.BrightlineValidator.validateQuoteBrightlineRules(BrightlineValidator.gs:XXXSTRACERAW:-</t>
  </si>
  <si>
    <t>EMSG:XXX CHEVROLET EQUINOX XXXD XXXWD FLEET in Colorado: Coverage is on Comprehensive is now available and its value must be verified by the user.; XXX CHEVROLET EQUINOX XXXD XXXWD FLEET in Colorado: Coverage is on Collision is now available and its value must be verified by the user.; XXX CHEVROLET EQUINOX XXXD XXXWD FLEET in Colorado: Coverage is on Roadside Assistance is now available and its value must be verified by the user.; XXX CHEVROLET EQUINOX XXXD XXXWD FLEET in Colorado: Coverage is on Rental Alternative is now available and its value must be verified by the user.; XXX CHEVROLET EQUINOX XXXD XXXWD FLEET in Colorado: Coverage is on $XXX Glass Deductible is now available and its value must be verified by the user.STRACE:gw.api.extension.PCExtensionInterfacesMapper$block_XXX_.invoke(PCExtensionInterfacesMapper.gs:XXXSTRACERAW:-</t>
  </si>
  <si>
    <t>EMSG:XXX FORD EXPLORER XXXD XXXXXXX PLATINUM has a lienholder/lessor.  Remove lienholder/lessorSTRACE:edge.capabilities.quote.submission.quoting.util.SubmissionUnderwritingIssuesUtil.checkVerifyRateExceptions(SubmissionUnderwritingIssuesUtil.gs:XXXSTRACERAW:-</t>
  </si>
  <si>
    <t>EMSG:XXX GMC TRUCK YUKON XXXD XXXXXXX DENALI in Kansas: Comprehensive is required and must be added. XXXSTRACE:gw.api.extension.PCExtensionInterfacesMapper$block_XXX_.invoke(PCExtensionInterfacesMapper.gs:XXXSTRACERAW:-</t>
  </si>
  <si>
    <t>EMSG:XXX has exceeded the accident and/or violation threshold for eligibility in this program.STRACE:Munir has exceeded the accident and/or violation threshold for eligibility in this program.
	at com.farmers.config.pa.validator.BrightlineValidator.validateQuoteBrightlineRules(BrightlineValidator.gs:XXXSTRACERAW:-</t>
  </si>
  <si>
    <t>EMSG:XXX is unable to be reinstated based on underwriting guidelines and a new policy cannot be issued.STRACE:gw.job.ReinstatementEnhancement.startReinstatePolicy(ReinstatementEnhancement.gsx:XXXSTRACERAW:-</t>
  </si>
  <si>
    <t>EMSG:java.lang.StringIndexOutOfBoundsException: begin XXXSTRACE:com.farmers.integ.documentmgmt.vipdocument.multilobformgen.transformer.VIPFormGenRequestTransformer.transform(VIPFormGenRequestTransformer.gs:XXXSTRACERAW:-</t>
  </si>
  <si>
    <t>EMSG:, AOR=XXXSTRACE:com.farmers.config.ho.productmodel.enhancements.Dwelling_HOEEnhancement.valCADeductables(Dwelling_HOEEnhancement.gsx:XXXSTRACERAW:-</t>
  </si>
  <si>
    <t>EMSG:-STRACE:-STRACERAW:May XXX XXX:XXX:XXX PDT XXX (attempted merging values Homeowners Line and Homeowners Line</t>
  </si>
  <si>
    <t>EMSG:-STRACE:-STRACERAW:com.farmers.config.common.ydd.dao.YouthfulDriverDiscoveryDAO.getAgeRecord(YouthfulDriverDiscoveryDAO.gs:XXX</t>
  </si>
  <si>
    <t>EMSG:-STRACE:-STRACERAW:com.guidewire.pl.persistence.code.DelegateMap.getImplType(DelegateMap.java:XXX</t>
  </si>
  <si>
    <t>EMSG:-STRACE:-STRACERAW:deployment.pc.war//gw.internal.gosu.parser.TypeLoaderAccess.getIntrinsicTypeFromObject(TypeLoaderAccess.java:XXX</t>
  </si>
  <si>
    <t>EMSG:-STRACE:-STRACERAW:deployment.pc.war//gw.lang.reflect.TypeSystem.get(TypeSystem.java:XXX</t>
  </si>
  <si>
    <t>EMSG:-STRACE:-STRACERAW:deployment.pc.war//gw.lang.reflect.TypeSystem.popGlobalModule(TypeSystem.java:XXX</t>
  </si>
  <si>
    <t>EMSG:-STRACE:-STRACERAW:gw.internal.gosu.parser.TypeLoaderAccess.getIntrinsicTypeFromObject(TypeLoaderAccess.java:XXX</t>
  </si>
  <si>
    <t>EMSG:-STRACE:-STRACERAW:gw.lang.reflect.TypeSystem.get(TypeSystem.java:XXX</t>
  </si>
  <si>
    <t>EMSG:-STRACE:-STRACERAW:gw.lang.reflect.TypeSystem.popGlobalModule(TypeSystem.java:XXX</t>
  </si>
  <si>
    <t>EMSG:-STRACE:-STRACERAW:gwservices.pc.dm.api.DMSubmissionAPI.processRecordInternal(DMSubmissionAPI.gs:XXX</t>
  </si>
  <si>
    <t>EMSG:-STRACE:-STRACERAW:includes: Arena, Auto Water, Barn, Corral(S</t>
  </si>
  <si>
    <t>EMSG:-STRACE:-STRACERAW:pcfc.expressions.CostOverridesWarningPanelSetExpressions$CostOverridesWarningPanelSetExpressionsImpl.visible_XXX(CostOverridesWarningPanelSetExpressions.gs:XXX</t>
  </si>
  <si>
    <t>EMSG:-STRACE:-STRACERAW:pcfc.expressions.PolicyFile_ParticipantsExpressions$PolicyFile_ParticipantsExpressionsImpl.getGroupBasedonUser(PolicyFile_ParticipantsExpressions.gs:XXX</t>
  </si>
  <si>
    <t>EMSG:ALVARO ARRIOLA JIMENEZSTRACE:com.farmers.config.pa.validator.BrightlineValidator.validateQuoteBrightlineRules(BrightlineValidator.gs:XXXSTRACERAW:-</t>
  </si>
  <si>
    <t>EMSG:AMELIA CORDOVASTRACE:com.farmers.config.pa.validator.BrightlineValidator.validateQuoteBrightlineRules(BrightlineValidator.gs:XXXSTRACERAW:-</t>
  </si>
  <si>
    <t>EMSG:AMELIA CORDOVASTRACE:gw.job.QuoteProcess.requestQuote(QuoteProcess.gs:XXXSTRACERAW:-</t>
  </si>
  <si>
    <t>EMSG:Adriana BerumenSTRACE:com.farmers.config.pa.validator.BrightlineValidator.validateQuoteBrightlineRules(BrightlineValidator.gs:XXXSTRACERAW:-</t>
  </si>
  <si>
    <t>EMSG:Adriana BerumenSTRACE:gw.job.QuoteProcess.requestQuote(QuoteProcess.gs:XXXSTRACERAW:-</t>
  </si>
  <si>
    <t>EMSG:Albert GarciaSTRACE:gw.job.QuoteProcess.requestQuote(QuoteProcess.gs:XXXSTRACERAW:-</t>
  </si>
  <si>
    <t>EMSG:Alejandra YanezSTRACE:com.farmers.config.pa.validator.BrightlineValidator.validateQuoteBrightlineRules(BrightlineValidator.gs:XXXSTRACERAW:-</t>
  </si>
  <si>
    <t>EMSG:Alejandra YanezSTRACE:gw.job.QuoteProcess.requestQuote(QuoteProcess.gs:XXXSTRACERAW:-</t>
  </si>
  <si>
    <t>EMSG:Amarjeet BediSTRACE:com.farmers.config.pa.validator.BrightlineValidator.validateQuoteBrightlineRules(BrightlineValidator.gs:XXXSTRACERAW:-</t>
  </si>
  <si>
    <t>EMSG:Amarjeet BediSTRACE:gw.job.QuoteProcess.requestQuote(QuoteProcess.gs:XXXSTRACERAW:-</t>
  </si>
  <si>
    <t>EMSG:BAILEY GATSONSTRACE:com.farmers.config.pa.validator.BrightlineValidator.validateQuoteBrightlineRules(BrightlineValidator.gs:XXXSTRACERAW:-</t>
  </si>
  <si>
    <t>EMSG:BAILEY GATSONSTRACE:gw.job.QuoteProcess.requestQuote(QuoteProcess.gs:XXXSTRACERAW:-</t>
  </si>
  <si>
    <t>EMSG:BENJAMIN PEASLEYSTRACE:com.farmers.config.pa.validator.BrightlineValidator.validateQuoteBrightlineRules(BrightlineValidator.gs:XXXSTRACERAW:-</t>
  </si>
  <si>
    <t>EMSG:BENJAMIN PEASLEYSTRACE:gw.job.QuoteProcess.requestQuote(QuoteProcess.gs:XXXSTRACERAW:-</t>
  </si>
  <si>
    <t>EMSG:BRAEDEN WILSONSTRACE:com.farmers.config.pa.validator.BrightlineValidator.validateQuoteBrightlineRules(BrightlineValidator.gs:XXXSTRACERAW:-</t>
  </si>
  <si>
    <t>EMSG:BRAEDEN WILSONSTRACE:gw.job.QuoteProcess.requestQuote(QuoteProcess.gs:XXXSTRACERAW:-</t>
  </si>
  <si>
    <t>EMSG:Bao Yen LuuSTRACE:com.farmers.config.pa.validator.BrightlineValidator.validateQuoteBrightlineRules(BrightlineValidator.gs:XXXSTRACERAW:-</t>
  </si>
  <si>
    <t>EMSG:Bao Yen LuuSTRACE:gw.job.QuoteProcess.requestQuote(QuoteProcess.gs:XXXSTRACERAW:-</t>
  </si>
  <si>
    <t>EMSG:Brian GoodingSTRACE:com.farmers.config.pa.validator.BrightlineValidator.validateQuoteBrightlineRules(BrightlineValidator.gs:XXXSTRACERAW:-</t>
  </si>
  <si>
    <t>EMSG:Brian GoodingSTRACE:gw.job.QuoteProcess.requestQuote(QuoteProcess.gs:XXXSTRACERAW:-</t>
  </si>
  <si>
    <t>EMSG:CALVIN WRIGHTSTRACE:com.farmers.config.pa.validator.BrightlineValidator.validateQuoteBrightlineRules(BrightlineValidator.gs:XXXSTRACERAW:-</t>
  </si>
  <si>
    <t>EMSG:CAROL A BRAZIL is already a Household Member.STRACE:deployment.pc.war//com.guidewire.pc.domain.policy.period.impl.PolicyPeriodImpl.checkAccountContactIsNotAlreadyAPolicyContactRoleOfType(PolicyPeriodImpl.java:XXXSTRACERAW:-</t>
  </si>
  <si>
    <t>EMSG:CAYDEN EVANSSTRACE:gw.job.QuoteProcess.requestQuote(QuoteProcess.gs:XXXSTRACERAW:-</t>
  </si>
  <si>
    <t>EMSG:Can't remove a bean during message generation: Jeff  SilvermanSTRACE:deployment.pc.war//com.guidewire.pl.system.database.DatabaseBundleWriter.executeBeanCallbacksAfterMessageGen(DatabaseBundleWriter.java:XXXSTRACERAW:-</t>
  </si>
  <si>
    <t>EMSG:Can't remove a bean during message generation: John  EnszSTRACE:deployment.pc.war//com.guidewire.pl.system.database.DatabaseBundleWriter.executeBeanCallbacksAfterMessageGen(DatabaseBundleWriter.java:XXXSTRACERAW:-</t>
  </si>
  <si>
    <t>EMSG:Cannot resolve an incident record XXX of contact role Incident Entity PCR - XXX to a single driver with Contact Roles Michael Griffin : XXXSTRACE:com.farmers.chargeability.pa.info.PAIncidentInfoDto.mapFromEntity(PAIncidentInfoDto.gs:XXXSTRACERAW:-</t>
  </si>
  <si>
    <t>EMSG:Cannot resolve an incident record XXX of contact role Incident Entity PCR - XXX to a single driver with Contact Roles Miguel Ordinola : XXXSTRACE:com.farmers.chargeability.pa.info.PAIncidentInfoDto.mapFromEntity(PAIncidentInfoDto.gs:XXXSTRACERAW:-</t>
  </si>
  <si>
    <t>EMSG:Change pay plan to XXX Pay and/or remove automatic payment method. Only XXX Pay Manual policies may change Who Pays.;STRACE:edge.capabilities.quote.submission.quoting.util.SubmissionUnderwritingIssuesUtil.checkVerifyRateExceptions(SubmissionUnderwritingIssuesUtil.gs:XXXSTRACERAW:-</t>
  </si>
  <si>
    <t>EMSG:Charlene AdamsSTRACE:com.farmers.config.pa.validator.BrightlineValidator.validateQuoteBrightlineRules(BrightlineValidator.gs:XXXSTRACERAW:-</t>
  </si>
  <si>
    <t>EMSG:Chody ValenzuelaSTRACE:com.farmers.config.pa.validator.BrightlineValidator.validateQuoteBrightlineRules(BrightlineValidator.gs:XXXSTRACERAW:-</t>
  </si>
  <si>
    <t>EMSG:Correct VIN on XXX.  VIN failed verification.;Correct VIN on XXX.  VIN failed verification.;Correct VIN on XXX.  VIN failed verification.;STRACE:edge.capabilities.quote.submission.quoting.util.SubmissionUnderwritingIssuesUtil.checkVerifyRateExceptions(SubmissionUnderwritingIssuesUtil.gs:XXXSTRACERAW:-</t>
  </si>
  <si>
    <t>EMSG:Danitza MejiaSTRACE:com.farmers.config.pa.validator.BrightlineValidator.validateQuoteBrightlineRules(BrightlineValidator.gs:XXXSTRACERAW:-</t>
  </si>
  <si>
    <t>EMSG:Danitza MejiaSTRACE:gw.job.QuoteProcess.requestQuote(QuoteProcess.gs:XXXSTRACERAW:-</t>
  </si>
  <si>
    <t>EMSG:Database bean version conflict : XXXSTRACE:Bend, KS XXXXXX', and it was changed by Averi Alice Spitzer-Fox at XXX/XXX/XXX XXX:XXX AM. Please cancel and retry your change.
	at deployment.pc.war//com.guidewire.pl.system.database.DatabaseChangedBeanWriter.createConcurrentDataChangeException(DatabaseChangedBeanWriter.java:XXXSTRACERAW:-</t>
  </si>
  <si>
    <t>EMSG:Database bean version conflict : XXXSTRACE:Harutyunyan', and it was changed by System at XXX/XXX/XXX XXX:XXX PM. Please cancel and retry your change.
	at deployment.pc.war//com.guidewire.pl.system.database.DatabaseChangedBeanWriter.createConcurrentDataChangeException(DatabaseChangedBeanWriter.java:XXXSTRACERAW:-</t>
  </si>
  <si>
    <t>EMSG:Database bean version conflict : XXXSTRACE:Lowry', and it was changed by Ariaona Johnson at XXX/XXX/XXX XXX:XXX PM. Please cancel and retry your change.
	at deployment.pc.war//com.guidewire.pl.system.database.DatabaseChangedBeanWriter.createConcurrentDataChangeException(DatabaseChangedBeanWriter.java:XXXSTRACERAW:-</t>
  </si>
  <si>
    <t>EMSG:Duplicate key in AccountLocation "XXX Rancho Mission Rd Unit XXXSTRACE:deployment.pc.war//com.guidewire.pl.system.database.entitywriter.TableWriterImpl.throwDBDuplicateKeyException(TableWriterImpl.java:XXXSTRACERAW:-</t>
  </si>
  <si>
    <t>EMSG:Dwelling at XXXSTRACE:XXX Brisstol Ln, Birmingham, AL: Perils on Personal Property is now available and its value must be verified by the user.
	at gw.api.extension.PCExtensionInterfacesMapper$block_XXX_.invoke(PCExtensionInterfacesMapper.gs:XXXSTRACERAW:-</t>
  </si>
  <si>
    <t>EMSG:Dwelling at XXXSTRACE:XXX MOUNTAIN VIEW DR, SOUTHSIDE, AL: Perils on Personal Property is now available and its value must be verified by the user.
	at gw.api.extension.PCExtensionInterfacesMapper$block_XXX_.invoke(PCExtensionInterfacesMapper.gs:XXXSTRACERAW:-</t>
  </si>
  <si>
    <t>EMSG:Dwelling at XXXSTRACE:XXX Shady Grove Rd, Mount Olive, AL: Perils on Personal Property is now available and its value must be verified by the user.
	at gw.api.extension.PCExtensionInterfacesMapper$block_XXX_.invoke(PCExtensionInterfacesMapper.gs:XXXSTRACERAW:-</t>
  </si>
  <si>
    <t>EMSG:Dwelling at XXXSTRACE:XXX Stone Ridge Dr, Springville, AL: Perils on Personal Property is now available and its value must be verified by the user.
	at gw.api.extension.PCExtensionInterfacesMapper$block_XXX_.invoke(PCExtensionInterfacesMapper.gs:XXXSTRACERAW:-</t>
  </si>
  <si>
    <t>EMSG:Dwelling at XXXSTRACE:XXX Sussex Dr SW, Huntsville, AL: Perils on Personal Property is now available and its value must be verified by the user.
	at gw.api.extension.PCExtensionInterfacesMapper$block_XXX_.invoke(PCExtensionInterfacesMapper.gs:XXXSTRACERAW:-</t>
  </si>
  <si>
    <t>EMSG:Dwelling at XXXSTRACE:XXX Sycamore Ave, Croydon, PA: Perils on Personal Property is now available and its value must be verified by the user.
	at gw.api.extension.PCExtensionInterfacesMapper$block_XXX_.invoke(PCExtensionInterfacesMapper.gs:XXXSTRACERAW:-</t>
  </si>
  <si>
    <t>EMSG:Dwelling at XXXSTRACE:null: Deductibles is required and must be added.; Dwelling at null: Loss of Use is required and must be added.; Dwelling at null: Personal Property is no longer available and has been removed.; Dwelling at null: Loss of Use is no longer available and has been removed.;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message configured; Homeowners Line: No meâ€¦</t>
  </si>
  <si>
    <t>EMSG:Effective ranges overlap for DriverSignal_Ext with BranchID XXX and with FixedID XXXSTRACE:Oct XXX XXX:XXX:XXX PDT XXX, Fri Apr XXX XXX:XXX:XXX PDT XXX - Sat Oct XXX XXX:XXX:XXX PDT XXX
	at deployment.pc.war//com.guidewire.pl.system.entity.proxy.EffDatedBeanProxy.checkForOverlaps(EffDatedBeanProxy.java:XXXSTRACERAW:-</t>
  </si>
  <si>
    <t>EMSG:Enoch GatsonSTRACE:com.farmers.config.pa.validator.BrightlineValidator.validateQuoteBrightlineRules(BrightlineValidator.gs:XXXSTRACERAW:-</t>
  </si>
  <si>
    <t>EMSG:Enoch GatsonSTRACE:gw.job.QuoteProcess.requestQuote(QuoteProcess.gs:XXXSTRACERAW:-</t>
  </si>
  <si>
    <t>EMSG:Enter Signal Phone number for Betty Yockers. A cell phone number is required for Signal enrollment.;STRACE:edge.capabilities.quote.submission.quoting.util.SubmissionUnderwritingIssuesUtil.checkVerifyRateExceptions(SubmissionUnderwritingIssuesUtil.gs:XXXSTRACERAW:-</t>
  </si>
  <si>
    <t>EMSG:Erin HubbardSTRACE:com.farmers.config.pa.validator.BrightlineValidator.validateQuoteBrightlineRules(BrightlineValidator.gs:XXXSTRACERAW:-</t>
  </si>
  <si>
    <t>EMSG:Erin HubbardSTRACE:gw.job.QuoteProcess.requestQuote(QuoteProcess.gs:XXXSTRACERAW:-</t>
  </si>
  <si>
    <t>EMSG:Exception during Rating ExecuteIterationsMultiThreaded : gw.api.rating.RatingException: Unable to determine chargeability for loss.  Please ensure correctness of chargeability table 'ho_chargeability' EligibleForChargeability: true OriginalLossPeril: WNH ChargeabilityLossPeril: WNH FarmersLossInd: false MatchCode: IL ActuallyChargeable: false IncidentDate: XXXXXXXXXSTRACE:com.farmers.rating.common.flow.iteration.impl.IterationsExecutorImpl$block_XXX_.invoke(IterationsExecutorImpl.gs:XXXSTRACERAW:-</t>
  </si>
  <si>
    <t>EMSG:For eligible contact Blanca Langford credit score is null. Please make sure credit is orderedSTRACE:com.farmers.config.common.credit.CreditScoreHelper.populateRatingCreditDTO(CreditScoreHelper.gs:XXXSTRACERAW:-</t>
  </si>
  <si>
    <t>EMSG:For eligible contact James Huffine credit score is null. Please make sure credit is orderedSTRACE:com.farmers.config.common.credit.CreditScoreHelper.populateRatingCreditDTO(CreditScoreHelper.gs:XXXSTRACERAW:-</t>
  </si>
  <si>
    <t>EMSG:For eligible contact Raymond Dunn credit score is null. Please make sure credit is orderedSTRACE:com.farmers.config.common.credit.CreditScoreHelper.populateRatingCreditDTO(CreditScoreHelper.gs:XXXSTRACERAW:-</t>
  </si>
  <si>
    <t>EMSG:Francisco Salazar VillaSTRACE:com.farmers.config.pa.validator.BrightlineValidator.validateQuoteBrightlineRules(BrightlineValidator.gs:XXXSTRACERAW:-</t>
  </si>
  <si>
    <t>EMSG:Francisco Salazar VillaSTRACE:gw.job.QuoteProcess.requestQuote(QuoteProcess.gs:XXXSTRACERAW:-</t>
  </si>
  <si>
    <t>EMSG:Francisco YanezSTRACE:com.farmers.config.pa.validator.BrightlineValidator.validateQuoteBrightlineRules(BrightlineValidator.gs:XXXSTRACERAW:-</t>
  </si>
  <si>
    <t>EMSG:Francisco YanezSTRACE:gw.job.QuoteProcess.requestQuote(QuoteProcess.gs:XXXSTRACERAW:-</t>
  </si>
  <si>
    <t>EMSG:GABRIEL TORRESSTRACE:com.farmers.config.pa.validator.BrightlineValidator.validateQuoteBrightlineRules(BrightlineValidator.gs:XXXSTRACERAW:-</t>
  </si>
  <si>
    <t>EMSG:GABRIEL TORRESSTRACE:gw.job.QuoteProcess.requestQuote(QuoteProcess.gs:XXXSTRACERAW:-</t>
  </si>
  <si>
    <t>EMSG:Grady MorrisSTRACE:com.farmers.config.pa.validator.BrightlineValidator.validateQuoteBrightlineRules(BrightlineValidator.gs:XXXSTRACERAW:-</t>
  </si>
  <si>
    <t>EMSG:Grady MorrisSTRACE:gw.job.QuoteProcess.requestQuote(QuoteProcess.gs:XXXSTRACERAW:-</t>
  </si>
  <si>
    <t>EMSG:HELEN HASTRACE:com.farmers.config.pa.validator.BrightlineValidator.validateQuoteBrightlineRules(BrightlineValidator.gs:XXXSTRACERAW:-</t>
  </si>
  <si>
    <t>EMSG:HELEN HASTRACE:gw.job.QuoteProcess.requestQuote(QuoteProcess.gs:XXXSTRACERAW:-</t>
  </si>
  <si>
    <t>EMSG:JACIE COTTERELLSTRACE:com.farmers.config.pa.validator.BrightlineValidator.validateQuoteBrightlineRules(BrightlineValidator.gs:XXXSTRACERAW:-</t>
  </si>
  <si>
    <t>EMSG:JACIE COTTERELLSTRACE:gw.job.QuoteProcess.requestQuote(QuoteProcess.gs:XXXSTRACERAW:-</t>
  </si>
  <si>
    <t>EMSG:JAMES GARCIASTRACE:com.farmers.config.pa.validator.BrightlineValidator.validateQuoteBrightlineRules(BrightlineValidator.gs:XXXSTRACERAW:-</t>
  </si>
  <si>
    <t>EMSG:JAMES GARCIASTRACE:gw.job.QuoteProcess.requestQuote(QuoteProcess.gs:XXXSTRACERAW:-</t>
  </si>
  <si>
    <t>EMSG:JAMES WILLIAMSSTRACE:com.farmers.config.pa.validator.BrightlineValidator.validateQuoteBrightlineRules(BrightlineValidator.gs:XXXSTRACERAW:-</t>
  </si>
  <si>
    <t>EMSG:JAMES WILLIAMSSTRACE:gw.job.QuoteProcess.requestQuote(QuoteProcess.gs:XXXSTRACERAW:-</t>
  </si>
  <si>
    <t>EMSG:JENNIFER ALLISONSTRACE:com.farmers.config.pa.validator.BrightlineValidator.validateQuoteBrightlineRules(BrightlineValidator.gs:XXXSTRACERAW:-</t>
  </si>
  <si>
    <t>EMSG:JENNIFER ALLISONSTRACE:gw.job.QuoteProcess.requestQuote(QuoteProcess.gs:XXXSTRACERAW:-</t>
  </si>
  <si>
    <t>EMSG:James DunniganSTRACE:com.farmers.config.pa.validator.BrightlineValidator.validateQuoteBrightlineRules(BrightlineValidator.gs:XXXSTRACERAW:-</t>
  </si>
  <si>
    <t>EMSG:Janice DurandSTRACE:com.farmers.config.pa.validator.BrightlineValidator.validateQuoteBrightlineRules(BrightlineValidator.gs:XXXSTRACERAW:-</t>
  </si>
  <si>
    <t>EMSG:Janice DurandSTRACE:gw.job.QuoteProcess.requestQuote(QuoteProcess.gs:XXXSTRACERAW:-</t>
  </si>
  <si>
    <t>EMSG:Jaynie RustSTRACE:com.farmers.config.pa.validator.BrightlineValidator.validateQuoteBrightlineRules(BrightlineValidator.gs:XXXSTRACERAW:-</t>
  </si>
  <si>
    <t>EMSG:Jaynie RustSTRACE:gw.job.QuoteProcess.requestQuote(QuoteProcess.gs:XXXSTRACERAW:-</t>
  </si>
  <si>
    <t>EMSG:Jose GonzalezSTRACE:com.farmers.config.pa.validator.BrightlineValidator.validateQuoteBrightlineRules(BrightlineValidator.gs:XXXSTRACERAW:-</t>
  </si>
  <si>
    <t>EMSG:Jose GonzalezSTRACE:gw.job.QuoteProcess.requestQuote(QuoteProcess.gs:XXXSTRACERAW:-</t>
  </si>
  <si>
    <t>EMSG:Jose TavarezSTRACE:com.farmers.config.pa.validator.BrightlineValidator.validateQuoteBrightlineRules(BrightlineValidator.gs:XXXSTRACERAW:-</t>
  </si>
  <si>
    <t>EMSG:Joseph MartinezSTRACE:com.farmers.config.pa.validator.BrightlineValidator.validateQuoteBrightlineRules(BrightlineValidator.gs:XXXSTRACERAW:-</t>
  </si>
  <si>
    <t>EMSG:Joseph MartinezSTRACE:gw.job.QuoteProcess.requestQuote(QuoteProcess.gs:XXXSTRACERAW:-</t>
  </si>
  <si>
    <t>EMSG:Juanita MorrisSTRACE:com.farmers.config.pa.validator.BrightlineValidator.validateQuoteBrightlineRules(BrightlineValidator.gs:XXXSTRACERAW:-</t>
  </si>
  <si>
    <t>EMSG:Juanita MorrisSTRACE:gw.job.QuoteProcess.requestQuote(QuoteProcess.gs:XXXSTRACERAW:-</t>
  </si>
  <si>
    <t>EMSG:KAIDEN HIGGSSTRACE:com.farmers.config.pa.validator.BrightlineValidator.validateQuoteBrightlineRules(BrightlineValidator.gs:XXXSTRACERAW:-</t>
  </si>
  <si>
    <t>EMSG:KAIDEN HIGGSSTRACE:gw.job.QuoteProcess.requestQuote(QuoteProcess.gs:XXXSTRACERAW:-</t>
  </si>
  <si>
    <t>EMSG:KRISTA WOODSSTRACE:com.farmers.config.pa.validator.BrightlineValidator.validateQuoteBrightlineRules(BrightlineValidator.gs:XXXSTRACERAW:-</t>
  </si>
  <si>
    <t>EMSG:KRISTA WOODSSTRACE:gw.job.QuoteProcess.requestQuote(QuoteProcess.gs:XXXSTRACERAW:-</t>
  </si>
  <si>
    <t>EMSG:Kevin MaiSTRACE:com.farmers.config.pa.validator.BrightlineValidator.validateQuoteBrightlineRules(BrightlineValidator.gs:XXXSTRACERAW:-</t>
  </si>
  <si>
    <t>EMSG:Kevin MaiSTRACE:gw.job.QuoteProcess.requestQuote(QuoteProcess.gs:XXXSTRACERAW:-</t>
  </si>
  <si>
    <t>EMSG:LAJUNNE RedmanSTRACE:com.farmers.config.pa.validator.BrightlineValidator.validateQuoteBrightlineRules(BrightlineValidator.gs:XXXSTRACERAW:-</t>
  </si>
  <si>
    <t>EMSG:LAJUNNE RedmanSTRACE:gw.job.QuoteProcess.requestQuote(QuoteProcess.gs:XXXSTRACERAW:-</t>
  </si>
  <si>
    <t>EMSG:LUCAS JIMENEZSTRACE:com.farmers.config.pa.validator.BrightlineValidator.validateQuoteBrightlineRules(BrightlineValidator.gs:XXXSTRACERAW:-</t>
  </si>
  <si>
    <t>EMSG:LUCAS JIMENEZSTRACE:gw.job.QuoteProcess.requestQuote(QuoteProcess.gs:XXXSTRACERAW:-</t>
  </si>
  <si>
    <t>EMSG:LUW Policy Change Job XXX: The object you are trying to update was XXXSTRACE:XXX/XXX/XXX XXX:XXX AM. Please cancel and retry your change.
LUW Policy Change Job XXX: The object you are trying to update was 'Policy:CN:2357744140072809936108XXX - CN:2357744140072809936108XXX', and it was changed by System U at XXX/XXX/XXX XXX:XXX AM. Please cancel and retry your change.
LUW Policy Change Job XXX: The object you are trying to update was 'Policy:CN:2357744140072809936108XXX - CN:2357744140072809936108XXX', and it was changed by System U at XXX/XXX/XXX XXX:XXX AM. Please cancel and retry your change.
The object you are trying to update was 'Policy:CN:2357744140072809936108XXX - CN:2357744140072809936108XXX', and it was changed by System U at XXX/XXX/XXX XXX:XXX AM. Please cancel and retry your change.
	at gw.acc.luw.LUWExceptionHelper.processUserDisplayableException(LUWExceptionHelper.gs:XXXSTRACERAW:-</t>
  </si>
  <si>
    <t>EMSG:LUW Policy Change Job XXX: The object you are trying to update was XXXSTRACE:XXX/XXX/XXX XXX:XXX AM. Please cancel and retry your change.
The object you are trying to update was 'Policy:CN:0529771367094XXX - CN:0529771367094XXX', and it was changed by System at XXX/XXX/XXX XXX:XXX AM. Please cancel and retry your change.
	at com.farmers.integ.framework.job.automatejob.AutomatedJob.executeJob(AutomatedJob.gs:XXXSTRACERAW:-</t>
  </si>
  <si>
    <t>EMSG:LUW Policy Change Job XXX: The object you are trying to update was XXXSTRACE:XXX/XXX/XXX XXX:XXX AM. Please cancel and retry your change.
The object you are trying to update was 'Policy:pc:XXX - pc:XXX', and it was changed by Susana Vazquez at XXX/XXX/XXX XXX:XXX AM. Please cancel and retry your change.
	at gw.acc.luw.LUWExceptionHelper.processUserDisplayableException(LUWExceptionHelper.gs:XXXSTRACERAW:-</t>
  </si>
  <si>
    <t>EMSG:Liliana GarciaSTRACE:com.farmers.config.pa.validator.BrightlineValidator.validateQuoteBrightlineRules(BrightlineValidator.gs:XXXSTRACERAW:-</t>
  </si>
  <si>
    <t>EMSG:Liliana GarciaSTRACE:gw.job.QuoteProcess.requestQuote(QuoteProcess.gs:XXXSTRACERAW:-</t>
  </si>
  <si>
    <t>EMSG:MARIA PAESANOSTRACE:com.farmers.config.pa.validator.BrightlineValidator.validateQuoteBrightlineRules(BrightlineValidator.gs:XXXSTRACERAW:-</t>
  </si>
  <si>
    <t>EMSG:MARIA PAESANOSTRACE:gw.job.QuoteProcess.requestQuote(QuoteProcess.gs:XXXSTRACERAW:-</t>
  </si>
  <si>
    <t>EMSG:MVR APP ERROR: GA-LEXISNEXIS REJECT:LAST NAME INVALID OR MISSING for unit XXXGASTRACE:com.farmers.config.common.mvr.MVRProcess.createCacheFromResponse(MVRProcess.gs:XXXSTRACERAW:-</t>
  </si>
  <si>
    <t>EMSG:MVR Ordering Failed! - [Exception occurs while transforming response for RetrieveMVRReportResponseInfo ]STRACE:com.farmers.config.common.mvr.MVRProcess.orderMVR(MVRProcess.gs:XXXSTRACERAW:-</t>
  </si>
  <si>
    <t>EMSG:Marcus RoeSTRACE:com.farmers.config.pa.validator.BrightlineValidator.validateQuoteBrightlineRules(BrightlineValidator.gs:XXXSTRACERAW:-</t>
  </si>
  <si>
    <t>EMSG:Marcus RoeSTRACE:gw.job.QuoteProcess.requestQuote(QuoteProcess.gs:XXXSTRACERAW:-</t>
  </si>
  <si>
    <t>EMSG:Mark BowenSTRACE:com.farmers.config.pa.validator.BrightlineValidator.validateQuoteBrightlineRules(BrightlineValidator.gs:XXXSTRACERAW:-</t>
  </si>
  <si>
    <t>EMSG:Mark BowenSTRACE:gw.job.QuoteProcess.requestQuote(QuoteProcess.gs:XXXSTRACERAW:-</t>
  </si>
  <si>
    <t>EMSG:Melika KashkouliSTRACE:com.farmers.config.pa.validator.BrightlineValidator.validateQuoteBrightlineRules(BrightlineValidator.gs:XXXSTRACERAW:-</t>
  </si>
  <si>
    <t>EMSG:Melika KashkouliSTRACE:gw.job.QuoteProcess.requestQuote(QuoteProcess.gs:XXXSTRACERAW:-</t>
  </si>
  <si>
    <t>EMSG:NINA CHAUNCEYSTRACE:com.farmers.config.pa.validator.BrightlineValidator.validateQuoteBrightlineRules(BrightlineValidator.gs:XXXSTRACERAW:-</t>
  </si>
  <si>
    <t>EMSG:NYESHA PHILLIPSSTRACE:com.farmers.config.pa.validator.BrightlineValidator.validateQuoteBrightlineRules(BrightlineValidator.gs:XXXSTRACERAW:-</t>
  </si>
  <si>
    <t>EMSG:NYESHA PHILLIPSSTRACE:gw.job.QuoteProcess.requestQuote(QuoteProcess.gs:XXXSTRACERAW:-</t>
  </si>
  <si>
    <t>EMSG:Personal Auto Line: Coverage is on Accident Forgiveness is now available and its value must be verified by the user.; XXX JEEP GR CHERK PHEV XXXDXXXWD OVRLND XXXXE in Colorado: Coverage is on Comprehensive is now available and its value must be verified by the user.; XXX JEEP GR CHERK PHEV XXXDXXXWD OVRLND XXXXE in Colorado: Coverage is on Collision is now available and its value must be verified by the user.; XXX JEEP GR CHERK PHEV XXXDXXXWD OVRLND XXXXE in Colorado: Coverage is on Roadside Assistance is now available and its value must be verified by the user.; XXX JEEP GR CHERK PHEV XXXDXXXWD OVRLND XXXXE in Colorado: Coverage is on Rental Alternative is now available and its value must be verified by the user.; XXX JEEP GR CHERK PHEV XXXDXXXWD OVRLND XXXXE in Colorado: Coverage is on $XXX Glass Deductible is now available and its value must be verified by the user.STRACE:gw.api.extension.PCExtensionInterfacesMapper$block_XXX_.invoke(PCExtensionInterfacesMapper.gs:XXXSTRACERAWâ€¦</t>
  </si>
  <si>
    <t>EMSG:Personal Auto Line: Uninsured Motorist - Bodily Injury is required and must be added. XXXSTRACE:-STRACERAW:</t>
  </si>
  <si>
    <t>EMSG:RICARDO QUILESSTRACE:com.farmers.config.pa.validator.BrightlineValidator.validateQuoteBrightlineRules(BrightlineValidator.gs:XXXSTRACERAW:-</t>
  </si>
  <si>
    <t>EMSG:Re-enter "License #". Duplicate License Number entered for the following Drivers Rebecca BalesSTRACE:edge.capabilities.quote.submission.quoting.util.SubmissionUnderwritingIssuesUtil.checkVerifyRateExceptions(SubmissionUnderwritingIssuesUtil.gs:XXXSTRACERAW:-</t>
  </si>
  <si>
    <t>EMSG:Re-enter "License #". Duplicate License Number entered for the following Drivers Robert TokarskySTRACE:edge.capabilities.quote.submission.quoting.util.SubmissionUnderwritingIssuesUtil.checkVerifyRateExceptions(SubmissionUnderwritingIssuesUtil.gs:XXXSTRACERAW:-</t>
  </si>
  <si>
    <t>EMSG:Remove Angelina Padilla in order to add the contact as a driverSTRACE:edge.capabilities.policychange.lob.personalauto.coverables.DefaultPaCoverablePlugin.updateCoverables(DefaultPaCoverablePlugin.gs:XXXSTRACERAW:-</t>
  </si>
  <si>
    <t>EMSG:Remove Francesca Castro in order to add the contact as a driverSTRACE:edge.capabilities.policychange.lob.personalauto.coverables.DefaultPaCoverablePlugin.updateCoverables(DefaultPaCoverablePlugin.gs:XXXSTRACERAW:-</t>
  </si>
  <si>
    <t>EMSG:Richard SalazarSTRACE:com.farmers.config.pa.validator.BrightlineValidator.validateQuoteBrightlineRules(BrightlineValidator.gs:XXXSTRACERAW:-</t>
  </si>
  <si>
    <t>EMSG:Richard SalazarSTRACE:gw.job.QuoteProcess.requestQuote(QuoteProcess.gs:XXXSTRACERAW:-</t>
  </si>
  <si>
    <t>EMSG:Rikki GutierrezSTRACE:com.farmers.config.pa.validator.BrightlineValidator.validateQuoteBrightlineRules(BrightlineValidator.gs:XXXSTRACERAW:-</t>
  </si>
  <si>
    <t>EMSG:Rikki GutierrezSTRACE:gw.job.QuoteProcess.requestQuote(QuoteProcess.gs:XXXSTRACERAW:-</t>
  </si>
  <si>
    <t>EMSG:SHARRI THOMASSTRACE:com.farmers.config.pa.validator.BrightlineValidator.validateQuoteBrightlineRules(BrightlineValidator.gs:XXXSTRACERAW:-</t>
  </si>
  <si>
    <t>EMSG:SHARRI THOMASSTRACE:gw.job.QuoteProcess.requestQuote(QuoteProcess.gs:XXXSTRACERAW:-</t>
  </si>
  <si>
    <t>EMSG:SHEILA PEGUEROSTRACE:com.farmers.config.pa.validator.BrightlineValidator.validateQuoteBrightlineRules(BrightlineValidator.gs:XXXSTRACERAW:-</t>
  </si>
  <si>
    <t>EMSG:SHEILA PEGUEROSTRACE:gw.job.QuoteProcess.requestQuote(QuoteProcess.gs:XXXSTRACERAW:-</t>
  </si>
  <si>
    <t>EMSG:Sarah BoydSTRACE:com.farmers.config.pa.validator.BrightlineValidator.validateQuoteBrightlineRules(BrightlineValidator.gs:XXXSTRACERAW:-</t>
  </si>
  <si>
    <t>EMSG:Scott CorrellSTRACE:com.farmers.config.pa.validator.BrightlineValidator.validateQuoteBrightlineRules(BrightlineValidator.gs:XXXSTRACERAW:-</t>
  </si>
  <si>
    <t>EMSG:Scott CorrellSTRACE:gw.job.QuoteProcess.requestQuote(QuoteProcess.gs:XXXSTRACERAW:-</t>
  </si>
  <si>
    <t>EMSG:Service Not availableSTRACE:com.farmers.config.ho.thirdparty.process.HOMortgageeProcess.displayServiceException(HOMortgageeProcess.gs:XXXSTRACERAW:-</t>
  </si>
  <si>
    <t>EMSG:Suzanne ManibhaiSTRACE:com.farmers.config.pa.validator.BrightlineValidator.validateQuoteBrightlineRules(BrightlineValidator.gs:XXXSTRACERAW:-</t>
  </si>
  <si>
    <t>EMSG:The value "ARMEN BARSEGYAN AND LARISA BARSEGYANSTRACE:deployment.pc.war//gw.datatype.impl.StringConstraintsHandlerBase.validateStringLength(StringConstraintsHandlerBase.java:XXXSTRACERAW:-</t>
  </si>
  <si>
    <t>EMSG:The value "ARTO NAZARETIAN AND NELLIE NAZARETIANSTRACE:deployment.pc.war//gw.datatype.impl.StringConstraintsHandlerBase.validateStringLength(StringConstraintsHandlerBase.java:XXXSTRACERAW:-</t>
  </si>
  <si>
    <t>EMSG:The value "BINH LAM AND GWEN NGUYEN LAMSTRACE:deployment.pc.war//gw.datatype.impl.StringConstraintsHandlerBase.validateStringLength(StringConstraintsHandlerBase.java:XXXSTRACERAW:-</t>
  </si>
  <si>
    <t>EMSG:The value "CHARLIE CRUZ DONIZ AND YOLANDA CRUZSTRACE:deployment.pc.war//gw.datatype.impl.StringConstraintsHandlerBase.validateStringLength(StringConstraintsHandlerBase.java:XXXSTRACERAW:-</t>
  </si>
  <si>
    <t>EMSG:The value "ELSA DURANTE ALBASTRACE:deployment.pc.war//gw.datatype.impl.StringConstraintsHandlerBase.validateStringLength(StringConstraintsHandlerBase.java:XXXSTRACERAW:-</t>
  </si>
  <si>
    <t>EMSG:The value "JERRY J MAGNESS AND MARTHA J MAGNESSSTRACE:deployment.pc.war//gw.datatype.impl.StringConstraintsHandlerBase.validateStringLength(StringConstraintsHandlerBase.java:XXXSTRACERAW:-</t>
  </si>
  <si>
    <t>EMSG:The value "LYNDA J  MARDIS SUCSR TRUSTEE OF SCOBIE FMLY TRUSTSTRACE:deployment.pc.war//gw.datatype.impl.StringConstraintsHandlerBase.validateStringLength(StringConstraintsHandlerBase.java:XXXSTRACERAW:-</t>
  </si>
  <si>
    <t>EMSG:The value "ROJAS PROPERTY INVESTMENTS LLCSTRACE:deployment.pc.war//gw.datatype.impl.StringConstraintsHandlerBase.validateStringLength(StringConstraintsHandlerBase.java:XXXSTRACERAW:-</t>
  </si>
  <si>
    <t>EMSG:The value "THE CHARLES GRIFFIN SURVIVOR'S TRUST ESTABLISHED DECEMBER XXXSTRACE:deployment.pc.war//gw.datatype.impl.StringConstraintsHandlerBase.validateStringLength(StringConstraintsHandlerBase.java:XXXSTRACERAW:-</t>
  </si>
  <si>
    <t>EMSG:The value "TRINY RAMIREZ AND MIGUEL M. RAMIREZSTRACE:deployment.pc.war//gw.datatype.impl.StringConstraintsHandlerBase.validateStringLength(StringConstraintsHandlerBase.java:XXXSTRACERAW:-</t>
  </si>
  <si>
    <t>EMSG:The value "VICTORIO F. RIVADA AND MARIA M. RIVADASTRACE:deployment.pc.war//gw.datatype.impl.StringConstraintsHandlerBase.validateStringLength(StringConstraintsHandlerBase.java:XXXSTRACERAW:-</t>
  </si>
  <si>
    <t>EMSG:The value "WILLIAM KENTON EVERHARTSTRACE:deployment.pc.war//gw.datatype.impl.StringConstraintsHandlerBase.validateStringLength(StringConstraintsHandlerBase.java:XXXSTRACERAW:-</t>
  </si>
  <si>
    <t>EMSG:The value "s: XXX N Plano Rd.STRACE:deployment.pc.war//com.guidewire.pl.metadata.datatypeXXX.fieldvalidator.FieldValidatorInfo.validateFormat(FieldValidatorInfo.java:XXXSTRACERAW:-</t>
  </si>
  <si>
    <t>EMSG:The value XXX is not formatted correctly for the field "AgentOfRecord": Exceeds the maximum length of XXX characters (XXX)STRACE:deployment.pc.war//gw.datatype.impl.StringConstraintsHandlerBase.validateStringLength(StringConstraintsHandlerBase.java:XXXSTRACERAW:-</t>
  </si>
  <si>
    <t>EMSG:Warren RossSTRACE:gw.job.QuoteProcess.requestQuote(QuoteProcess.gs:XXXSTRACERAW:-</t>
  </si>
  <si>
    <t>EMSG:XXX AM GENERAL HUMMER HXXX XXXD XXXXXXX in Colorado: Coverage is on Comprehensive is now available and its value must be verified by the user.; XXX AM GENERAL HUMMER HXXX XXXD XXXXXXX in Colorado: Coverage is on Collision is now available and its value must be verified by the user.; XXX AM GENERAL HUMMER HXXX XXXD XXXXXXX in Colorado: Coverage is on Roadside Assistance is now available and its value must be verified by the user.; XXX AM GENERAL HUMMER HXXX XXXD XXXXXXX in Colorado: Coverage is on Rental Alternative is now available and its value must be verified by the user.; XXX AM GENERAL HUMMER HXXX XXXD XXXXXXX in Colorado: Coverage is on $XXX Glass Deductible is now available and its value must be verified by the user.; XXX LINCOLN AVIATOR PHEV XXXD XXXWD BLK LBL GT in Colorado: Coverage is on Comprehensive is now available and its value must be verified by the user.; XXX LINCOLN AVIATOR PHEV XXXD XXXWD BLK LBL GT in Colorado: Coverage is on Collision is now available and itâ€¦</t>
  </si>
  <si>
    <t>EMSG:XXX CHRYSLER XXX XXXD XXXWD TOURING in Nevada: Comprehensive is required and must be added. XXXSTRACE:gw.api.extension.PCExtensionInterfacesMapper$block_XXX_.invoke(PCExtensionInterfacesMapper.gs:XXXSTRACERAW:-</t>
  </si>
  <si>
    <t>EMSG:XXX DODGE TRUCK GRAND CARAVAN XXXWD SE in Kentucky: Acquisition Expense is no longer available and has been removed.; XXX DODGE TRUCK GRAND CARAVAN XXXWD SE in Kentucky: Operations Expense is no longer available and has been removed.; XXX DODGE TRUCK GRAND CARAVAN XXXWD SE in Kentucky: Collision is no longer available and has been removed.; XXX DODGE TRUCK GRAND CARAVAN XXXWD SE in Kentucky: Operations Expense is required and must be added. XXXSTRACE:gw.api.extension.PCExtensionInterfacesMapper$block_XXX_.invoke(PCExtensionInterfacesMapper.gs:XXXSTRACERAW:-</t>
  </si>
  <si>
    <t>EMSG:XXX FORD BRONCO XXXD XXXXXXX XXX-WHEEL DRIVE in Colorado: Coverage is on Comprehensive is now available and its value must be verified by the user.; XXX FORD BRONCO XXXD XXXXXXX XXX-WHEEL DRIVE in Colorado: Coverage is on Collision is now available and its value must be verified by the user.; XXX FORD BRONCO XXXD XXXXXXX XXX-WHEEL DRIVE in Colorado: Coverage is on Roadside Assistance is now available and its value must be verified by the user.; XXX FORD BRONCO XXXD XXXXXXX XXX-WHEEL DRIVE in Colorado: Coverage is on Rental Alternative is now available and its value must be verified by the user.; XXX FORD BRONCO XXXD XXXXXXX XXX-WHEEL DRIVE in Colorado: Coverage is on $XXX Glass Deductible is now available and its value must be verified by the user.; XXX TOYOTA CAMRY XXXD XXXWD STD/LE/XLE/SE in Colorado: Coverage is on Comprehensive is now available and its value must be verified by the user.; XXX TOYOTA CAMRY XXXD XXXWD STD/LE/XLE/SE in Colorado: Coverage is on Collision is now aâ€¦</t>
  </si>
  <si>
    <t>EMSG:XXX FORD TRUCK EXXX ECONO CG VAN SUPER CARGO in Colorado: Coverage is on Comprehensive is now available and its value must be verified by the user.; XXX FORD TRUCK EXXX ECONO CG VAN SUPER CARGO in Colorado: Coverage is on Collision is now available and its value must be verified by the user.; XXX FORD TRUCK EXXX ECONO CG VAN SUPER CARGO in Colorado: Coverage is on Roadside Assistance is now available and its value must be verified by the user.; XXX FORD TRUCK EXXX ECONO CG VAN SUPER CARGO in Colorado: Coverage is on Rental Alternative is now available and its value must be verified by the user.; XXX FORD TRUCK EXXX ECONO CG VAN SUPER CARGO in Colorado: Coverage is on $XXX Glass Deductible is now available and its value must be verified by the user.STRACE:gw.api.extension.PCExtensionInterfacesMapper$block_XXX_.invoke(PCExtensionInterfacesMapper.gs:XXXSTRACERAW:-</t>
  </si>
  <si>
    <t>EMSG:XXX GMC TRUCK SIERRA XXX CR XXXXXXX NEW DENALI in Colorado: Coverage is on Comprehensive is now available and its value must be verified by the user.; XXX GMC TRUCK SIERRA XXX CR XXXXXXX NEW DENALI in Colorado: Coverage is on Collision is now available and its value must be verified by the user.; XXX GMC TRUCK SIERRA XXX CR XXXXXXX NEW DENALI in Colorado: Coverage is on Roadside Assistance is now available and its value must be verified by the user.; XXX GMC TRUCK SIERRA XXX CR XXXXXXX NEW DENALI in Colorado: Coverage is on Rental Alternative is now available and its value must be verified by the user.; XXX GMC TRUCK SIERRA XXX CR XXXXXXX NEW DENALI in Colorado: Coverage is on $XXX Glass Deductible is now available and its value must be verified by the user.; XXX LEXUS GX XXX XXXD XXXXXXX in Colorado: Coverage is on Comprehensive is now available and its value must be verified by the user.; XXX LEXUS GX XXX XXXD XXXXXXX in Colorado: Coverage is on Collision is now available and iâ€¦</t>
  </si>
  <si>
    <t>EMSG:XXX HONDA CR-V XXXD XXXWD EX-L in Colorado: Coverage is on Comprehensive is now available and its value must be verified by the user.; XXX HONDA CR-V XXXD XXXWD EX-L in Colorado: Coverage is on Collision is now available and its value must be verified by the user.; XXX HONDA CR-V XXXD XXXWD EX-L in Colorado: Coverage is on Roadside Assistance is now available and its value must be verified by the user.; XXX HONDA CR-V XXXD XXXWD EX-L in Colorado: Coverage is on Rental Alternative is now available and its value must be verified by the user.; XXX HONDA CR-V XXXD XXXWD EX-L in Colorado: Coverage is on $XXX Glass Deductible is now available and its value must be verified by the user.STRACE:gw.api.extension.PCExtensionInterfacesMapper$block_XXX_.invoke(PCExtensionInterfacesMapper.gs:XXXSTRACERAW:-</t>
  </si>
  <si>
    <t>EMSG:XXX JEEP WRANGLER XXXD XXXXXXX UNLIMTD SPORT in Colorado: Coverage is on Comprehensive is now available and its value must be verified by the user.; XXX JEEP WRANGLER XXXD XXXXXXX UNLIMTD SPORT in Colorado: Coverage is on Collision is now available and its value must be verified by the user.; XXX JEEP WRANGLER XXXD XXXXXXX UNLIMTD SPORT in Colorado: Coverage is on Roadside Assistance is now available and its value must be verified by the user.; XXX JEEP WRANGLER XXXD XXXXXXX UNLIMTD SPORT in Colorado: Coverage is on Rental Alternative is now available and its value must be verified by the user.; XXX JEEP WRANGLER XXXD XXXXXXX UNLIMTD SPORT in Colorado: Coverage is on $XXX Glass Deductible is now available and its value must be verified by the user.; XXX MAZDA CXXXX XXXD XXXWD GRAND TOURING in Colorado: Coverage is on Comprehensive is now available and its value must be verified by the user.; XXX MAZDA CXXXX XXXD XXXWD GRAND TOURING in Colorado: Coverage is on Collision is now avaâ€¦</t>
  </si>
  <si>
    <t>EMSG:XXX NISSAN ROGUE XXXD XXXWD S/SV/SL in Colorado: Coverage is on Comprehensive is now available and its value must be verified by the user.; XXX NISSAN ROGUE XXXD XXXWD S/SV/SL in Colorado: Coverage is on Collision is now available and its value must be verified by the user.; XXX NISSAN ROGUE XXXD XXXWD S/SV/SL in Colorado: Coverage is on Roadside Assistance is now available and its value must be verified by the user.; XXX NISSAN ROGUE XXXD XXXWD S/SV/SL in Colorado: Coverage is on Rental Alternative is now available and its value must be verified by the user.; XXX NISSAN ROGUE XXXD XXXWD S/SV/SL in Colorado: No message configuredSTRACE:gw.api.extension.PCExtensionInterfacesMapper$block_XXX_.invoke(PCExtensionInterfacesMapper.gs:XXXSTRACERAW:-</t>
  </si>
  <si>
    <t>EMSG:XXX TOYOTA SIENNA VAN XXXWD CE XXXD in Oregon: Comprehensive is required and must be added. XXXSTRACE:gw.api.extension.PCExtensionInterfacesMapper$block_XXX_.invoke(PCExtensionInterfacesMapper.gs:XXXSTRACERAW:-</t>
  </si>
  <si>
    <t>EMSG:XXX TOYOTA XXXRUNNER XXXD XXXXXXX SRXXX/LTD/TRL VXXX in Colorado: Coverage is on Comprehensive is now available and its value must be verified by the user.; XXX TOYOTA XXXRUNNER XXXD XXXXXXX SRXXX/LTD/TRL VXXX in Colorado: Coverage is on Collision is now available and its value must be verified by the user.; XXX TOYOTA XXXRUNNER XXXD XXXXXXX SRXXX/LTD/TRL VXXX in Colorado: Coverage is on Roadside Assistance is now available and its value must be verified by the user.; XXX TOYOTA XXXRUNNER XXXD XXXXXXX SRXXX/LTD/TRL VXXX in Colorado: Coverage is on Rental Alternative is now available and its value must be verified by the user.; XXX TOYOTA XXXRUNNER XXXD XXXXXXX SRXXX/LTD/TRL VXXX in Colorado: Coverage is on $XXX Glass Deductible is now available and its value must be verified by the user.; XXX JEEP WRANGLER XXXD SWB XXXXXXX SPORT in Colorado: Coverage is on Comprehensive is now available and its value must be verified by the user.; XXX JEEP WRANGLER XXXD SWB XXXXXXX SPORT in Colorâ€¦</t>
  </si>
  <si>
    <t>EMSG:XXX has exceeded the accident and/or violation threshold for eligibility in this program.STRACE:Pham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</si>
  <si>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program.STRACE:Pham has exceeded the accident and/or violation threshold for eligibility in this program.
	at gw.job.QuoteProcess.requestQuote(QuoteProcess.gs:XXXSTRACERAW:-</t>
  </si>
  <si>
    <t>EMSG:XXX has exceeded the accident and/or violation threshold for eligibility in this program.STRACE:Selshtut has exceeded the accident and/or violation threshold for eligibility in this program.
	at gw.job.QuoteProcess.requestQuote(QuoteProcess.gs:XXXSTRACERAW:-</t>
  </si>
  <si>
    <t>EMSG:XXX has exceeded the accident and/or violation threshold for eligibility in this program.STRACE:Six has exceeded the accident and/or violation threshold for eligibility in this program.
	at com.farmers.config.pa.validator.BrightlineValidator.validateQuoteBrightlineRules(BrightlineValidator.gs:XXXSTRACERAW:-</t>
  </si>
  <si>
    <t>EMSG:XXX has exceeded the accident and/or violation threshold for eligibility in this program.STRACE:Six has exceeded the accident and/or violation threshold for eligibility in this program.
	at gw.job.QuoteProcess.requestQuote(QuoteProcess.gs:XXXSTRACERAW:-</t>
  </si>
  <si>
    <t>EMSG:YIDNEKACHEW TSEGAYESTRACE:com.farmers.config.pa.validator.BrightlineValidator.validateQuoteBrightlineRules(BrightlineValidator.gs:XXXSTRACERAW:-</t>
  </si>
  <si>
    <t>EMSG:YIDNEKACHEW TSEGAYESTRACE:gw.job.QuoteProcess.requestQuote(QuoteProcess.gs:XXXSTRACERAW:-</t>
  </si>
  <si>
    <t>EMSG:[BUSINESS_ERROR::Agent not available starXXXa]STRACE:com.farmers.edge.capabilities.communitymodel.checkgrantaccess.processor.CheckGrantAccessProcessor.processGrantAccess(CheckGrantAccessProcessor.gs:XXXSTRACERAW:-</t>
  </si>
  <si>
    <t>EMSG:[BUSINESS_ERROR::Agent not available waldXXXm]STRACE:com.farmers.edge.capabilities.communitymodel.checkgrantaccess.processor.CheckGrantAccessProcessor.processGrantAccess(CheckGrantAccessProcessor.gs:XXXSTRACERAW:-</t>
  </si>
  <si>
    <t>EMSG:class gw.lang.parser.EvaluationException cannot be cast to class edge.validation.EdgeValidationException (gw.lang.parser.EvaluationException is in unnamed module of loader 'deployment.pc.war' @XXXfXXXe; edge.validation.EdgeValidationException is in unnamed module of loader com.guidewire.pl.system.gosu.GosuPluginContainer @XXXSTRACE:edge.capabilities.policychange.GatewayPolicyChangeHandler$block_XXX_.invoke(GatewayPolicyChangeHandler.gs:XXXSTRACERAW:-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</si>
</sst>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s>
  <fills count="4">
    <fill>
      <patternFill patternType="none"/>
    </fill>
    <fill>
      <patternFill patternType="gray125"/>
    </fill>
    <fill>
      <patternFill patternType="solid">
        <fgColor rgb="FFC65911"/>
        <bgColor rgb="FF000000"/>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xf numFmtId="0" fontId="1" fillId="0" borderId="0" xfId="0" applyFont="1"/>
    <xf numFmtId="1" fontId="1" fillId="0" borderId="0" xfId="0" applyNumberFormat="1" applyFont="1"/>
    <xf numFmtId="0" fontId="0" fillId="0" borderId="0" xfId="0" applyAlignment="1">
      <alignment wrapText="1"/>
    </xf>
    <xf numFmtId="0" fontId="0" fillId="3" borderId="0" xfId="0" applyFill="1"/>
    <xf numFmtId="0" fontId="0" fillId="3" borderId="0" xfId="0" applyFill="1" applyAlignment="1">
      <alignment wrapText="1"/>
    </xf>
    <xf numFmtId="0" fontId="0" fillId="0" borderId="0" xfId="0" applyAlignment="1">
      <alignment horizontal="right"/>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32"/>
  <sheetViews>
    <sheetView zoomScale="80" zoomScaleNormal="80" workbookViewId="0">
      <pane ySplit="1" topLeftCell="A2" activePane="bottomLeft" state="frozen"/>
      <selection pane="bottomLeft" activeCell="A23" sqref="A23"/>
    </sheetView>
  </sheetViews>
  <sheetFormatPr defaultRowHeight="14.5" x14ac:dyDescent="0.35"/>
  <cols>
    <col min="1" max="1" width="148.453125" bestFit="1" customWidth="1"/>
    <col min="3" max="3" width="19.54296875" bestFit="1" customWidth="1"/>
    <col min="4" max="4" width="12" bestFit="1" customWidth="1"/>
    <col min="5" max="5" width="38" customWidth="1"/>
    <col min="6" max="6" width="121.81640625" customWidth="1"/>
  </cols>
  <sheetData>
    <row r="1" spans="1:6" x14ac:dyDescent="0.35">
      <c r="A1" t="s">
        <v>42</v>
      </c>
      <c r="B1" t="s">
        <v>0</v>
      </c>
      <c r="C1" s="1" t="s">
        <v>1</v>
      </c>
      <c r="D1" s="1" t="s">
        <v>2</v>
      </c>
      <c r="E1" s="1" t="s">
        <v>3</v>
      </c>
      <c r="F1" s="1" t="s">
        <v>4</v>
      </c>
    </row>
    <row r="2" spans="1:6" x14ac:dyDescent="0.35">
      <c r="C2" t="str">
        <f>IFERROR(ROUNDUP(VLOOKUP(F2,'30Days-Baseline'!C:D,2,FALSE),0),"NotExist")</f>
        <v>NotExist</v>
      </c>
      <c r="D2" t="str">
        <f t="shared" ref="D2:D13" si="0">IFERROR(IF(B2&gt;ROUNDUP(C2,0),"Elevated","Ok"),"New")</f>
        <v>New</v>
      </c>
      <c r="E2" t="e">
        <f>VLOOKUP(A:A,Reviewed!B:C,2,0)</f>
        <v>#N/A</v>
      </c>
      <c r="F2" t="str">
        <f t="shared" ref="F2:F33" si="1">LEFT(A2,255)</f>
        <v/>
      </c>
    </row>
    <row r="3" spans="1:6" x14ac:dyDescent="0.35">
      <c r="C3" t="str">
        <f>IFERROR(ROUNDUP(VLOOKUP(F3,'30Days-Baseline'!C:D,2,FALSE),0),"NotExist")</f>
        <v>NotExist</v>
      </c>
      <c r="D3" t="str">
        <f t="shared" si="0"/>
        <v>New</v>
      </c>
      <c r="E3" t="e">
        <f>VLOOKUP(A:A,Reviewed!B:C,2,0)</f>
        <v>#N/A</v>
      </c>
      <c r="F3" t="str">
        <f t="shared" si="1"/>
        <v/>
      </c>
    </row>
    <row r="4" spans="1:6" x14ac:dyDescent="0.35">
      <c r="C4" t="str">
        <f>IFERROR(ROUNDUP(VLOOKUP(F4,'30Days-Baseline'!C:D,2,FALSE),0),"NotExist")</f>
        <v>NotExist</v>
      </c>
      <c r="D4" t="str">
        <f t="shared" si="0"/>
        <v>New</v>
      </c>
      <c r="E4" t="e">
        <f>VLOOKUP(A:A,Reviewed!B:C,2,0)</f>
        <v>#N/A</v>
      </c>
      <c r="F4" t="str">
        <f t="shared" si="1"/>
        <v/>
      </c>
    </row>
    <row r="5" spans="1:6" x14ac:dyDescent="0.35">
      <c r="C5" t="str">
        <f>IFERROR(ROUNDUP(VLOOKUP(F5,'30Days-Baseline'!C:D,2,FALSE),0),"NotExist")</f>
        <v>NotExist</v>
      </c>
      <c r="D5" t="str">
        <f t="shared" si="0"/>
        <v>New</v>
      </c>
      <c r="E5" t="e">
        <f>VLOOKUP(A:A,Reviewed!B:C,2,0)</f>
        <v>#N/A</v>
      </c>
      <c r="F5" t="str">
        <f t="shared" si="1"/>
        <v/>
      </c>
    </row>
    <row r="6" spans="1:6" x14ac:dyDescent="0.35">
      <c r="C6" t="str">
        <f>IFERROR(ROUNDUP(VLOOKUP(F6,'30Days-Baseline'!C:D,2,FALSE),0),"NotExist")</f>
        <v>NotExist</v>
      </c>
      <c r="D6" t="str">
        <f t="shared" si="0"/>
        <v>New</v>
      </c>
      <c r="E6" t="e">
        <f>VLOOKUP(A:A,Reviewed!B:C,2,0)</f>
        <v>#N/A</v>
      </c>
      <c r="F6" t="str">
        <f t="shared" si="1"/>
        <v/>
      </c>
    </row>
    <row r="7" spans="1:6" x14ac:dyDescent="0.35">
      <c r="C7" t="str">
        <f>IFERROR(ROUNDUP(VLOOKUP(F7,'30Days-Baseline'!C:D,2,FALSE),0),"NotExist")</f>
        <v>NotExist</v>
      </c>
      <c r="D7" t="str">
        <f t="shared" si="0"/>
        <v>New</v>
      </c>
      <c r="E7" t="e">
        <f>VLOOKUP(A:A,Reviewed!B:C,2,0)</f>
        <v>#N/A</v>
      </c>
      <c r="F7" t="str">
        <f t="shared" si="1"/>
        <v/>
      </c>
    </row>
    <row r="8" spans="1:6" x14ac:dyDescent="0.35">
      <c r="C8" t="str">
        <f>IFERROR(ROUNDUP(VLOOKUP(F8,'30Days-Baseline'!C:D,2,FALSE),0),"NotExist")</f>
        <v>NotExist</v>
      </c>
      <c r="D8" t="str">
        <f t="shared" si="0"/>
        <v>New</v>
      </c>
      <c r="E8" t="e">
        <f>VLOOKUP(A:A,Reviewed!B:C,2,0)</f>
        <v>#N/A</v>
      </c>
      <c r="F8" t="str">
        <f t="shared" si="1"/>
        <v/>
      </c>
    </row>
    <row r="9" spans="1:6" x14ac:dyDescent="0.35">
      <c r="C9" t="str">
        <f>IFERROR(ROUNDUP(VLOOKUP(F9,'30Days-Baseline'!C:D,2,FALSE),0),"NotExist")</f>
        <v>NotExist</v>
      </c>
      <c r="D9" t="str">
        <f t="shared" si="0"/>
        <v>New</v>
      </c>
      <c r="E9" t="e">
        <f>VLOOKUP(A:A,Reviewed!B:C,2,0)</f>
        <v>#N/A</v>
      </c>
      <c r="F9" t="str">
        <f t="shared" si="1"/>
        <v/>
      </c>
    </row>
    <row r="10" spans="1:6" x14ac:dyDescent="0.35">
      <c r="C10" t="str">
        <f>IFERROR(ROUNDUP(VLOOKUP(F10,'30Days-Baseline'!C:D,2,FALSE),0),"NotExist")</f>
        <v>NotExist</v>
      </c>
      <c r="D10" t="str">
        <f t="shared" si="0"/>
        <v>New</v>
      </c>
      <c r="E10" t="e">
        <f>VLOOKUP(A:A,Reviewed!B:C,2,0)</f>
        <v>#N/A</v>
      </c>
      <c r="F10" t="str">
        <f t="shared" si="1"/>
        <v/>
      </c>
    </row>
    <row r="11" spans="1:6" x14ac:dyDescent="0.35">
      <c r="C11" t="str">
        <f>IFERROR(ROUNDUP(VLOOKUP(F11,'30Days-Baseline'!C:D,2,FALSE),0),"NotExist")</f>
        <v>NotExist</v>
      </c>
      <c r="D11" t="str">
        <f t="shared" si="0"/>
        <v>New</v>
      </c>
      <c r="E11" t="e">
        <f>VLOOKUP(A:A,Reviewed!B:C,2,0)</f>
        <v>#N/A</v>
      </c>
      <c r="F11" t="str">
        <f t="shared" si="1"/>
        <v/>
      </c>
    </row>
    <row r="12" spans="1:6" x14ac:dyDescent="0.35">
      <c r="C12" t="str">
        <f>IFERROR(ROUNDUP(VLOOKUP(F12,'30Days-Baseline'!C:D,2,FALSE),0),"NotExist")</f>
        <v>NotExist</v>
      </c>
      <c r="D12" t="str">
        <f t="shared" si="0"/>
        <v>New</v>
      </c>
      <c r="E12" t="e">
        <f>VLOOKUP(A:A,Reviewed!B:C,2,0)</f>
        <v>#N/A</v>
      </c>
      <c r="F12" t="str">
        <f t="shared" si="1"/>
        <v/>
      </c>
    </row>
    <row r="13" spans="1:6" x14ac:dyDescent="0.35">
      <c r="C13" t="str">
        <f>IFERROR(ROUNDUP(VLOOKUP(F13,'30Days-Baseline'!C:D,2,FALSE),0),"NotExist")</f>
        <v>NotExist</v>
      </c>
      <c r="D13" t="str">
        <f t="shared" si="0"/>
        <v>New</v>
      </c>
      <c r="E13" t="e">
        <f>VLOOKUP(A:A,Reviewed!B:C,2,0)</f>
        <v>#N/A</v>
      </c>
      <c r="F13" t="str">
        <f t="shared" si="1"/>
        <v/>
      </c>
    </row>
    <row r="14" spans="1:6" x14ac:dyDescent="0.35">
      <c r="C14" t="str">
        <f>IFERROR(ROUNDUP(VLOOKUP(F14,'30Days-Baseline'!C:D,2,FALSE),0),"NotExist")</f>
        <v>NotExist</v>
      </c>
      <c r="D14" t="str">
        <f t="shared" ref="D14:D77" si="2">IFERROR(IF(B14&gt;ROUNDUP(C14,0),"Elevated","Ok"),"New")</f>
        <v>New</v>
      </c>
      <c r="E14" t="e">
        <f>VLOOKUP(A:A,Reviewed!B:C,2,0)</f>
        <v>#N/A</v>
      </c>
      <c r="F14" t="str">
        <f t="shared" si="1"/>
        <v/>
      </c>
    </row>
    <row r="15" spans="1:6" x14ac:dyDescent="0.35">
      <c r="C15" t="str">
        <f>IFERROR(ROUNDUP(VLOOKUP(F15,'30Days-Baseline'!C:D,2,FALSE),0),"NotExist")</f>
        <v>NotExist</v>
      </c>
      <c r="D15" t="str">
        <f t="shared" si="2"/>
        <v>New</v>
      </c>
      <c r="E15" t="e">
        <f>VLOOKUP(A:A,Reviewed!B:C,2,0)</f>
        <v>#N/A</v>
      </c>
      <c r="F15" t="str">
        <f t="shared" si="1"/>
        <v/>
      </c>
    </row>
    <row r="16" spans="1:6" x14ac:dyDescent="0.35">
      <c r="C16" t="str">
        <f>IFERROR(ROUNDUP(VLOOKUP(F16,'30Days-Baseline'!C:D,2,FALSE),0),"NotExist")</f>
        <v>NotExist</v>
      </c>
      <c r="D16" t="str">
        <f t="shared" si="2"/>
        <v>New</v>
      </c>
      <c r="E16" t="e">
        <f>VLOOKUP(A:A,Reviewed!B:C,2,0)</f>
        <v>#N/A</v>
      </c>
      <c r="F16" t="str">
        <f t="shared" si="1"/>
        <v/>
      </c>
    </row>
    <row r="17" spans="3:6" x14ac:dyDescent="0.35">
      <c r="C17" t="str">
        <f>IFERROR(ROUNDUP(VLOOKUP(F17,'30Days-Baseline'!C:D,2,FALSE),0),"NotExist")</f>
        <v>NotExist</v>
      </c>
      <c r="D17" t="str">
        <f t="shared" si="2"/>
        <v>New</v>
      </c>
      <c r="E17" t="e">
        <f>VLOOKUP(A:A,Reviewed!B:C,2,0)</f>
        <v>#N/A</v>
      </c>
      <c r="F17" t="str">
        <f t="shared" si="1"/>
        <v/>
      </c>
    </row>
    <row r="18" spans="3:6" x14ac:dyDescent="0.35">
      <c r="C18" t="str">
        <f>IFERROR(ROUNDUP(VLOOKUP(F18,'30Days-Baseline'!C:D,2,FALSE),0),"NotExist")</f>
        <v>NotExist</v>
      </c>
      <c r="D18" t="str">
        <f t="shared" si="2"/>
        <v>New</v>
      </c>
      <c r="E18" t="e">
        <f>VLOOKUP(A:A,Reviewed!B:C,2,0)</f>
        <v>#N/A</v>
      </c>
      <c r="F18" t="str">
        <f t="shared" si="1"/>
        <v/>
      </c>
    </row>
    <row r="19" spans="3:6" x14ac:dyDescent="0.35">
      <c r="C19" t="str">
        <f>IFERROR(ROUNDUP(VLOOKUP(F19,'30Days-Baseline'!C:D,2,FALSE),0),"NotExist")</f>
        <v>NotExist</v>
      </c>
      <c r="D19" t="str">
        <f t="shared" si="2"/>
        <v>New</v>
      </c>
      <c r="E19" t="e">
        <f>VLOOKUP(A:A,Reviewed!B:C,2,0)</f>
        <v>#N/A</v>
      </c>
      <c r="F19" t="str">
        <f t="shared" si="1"/>
        <v/>
      </c>
    </row>
    <row r="20" spans="3:6" x14ac:dyDescent="0.35">
      <c r="C20" t="str">
        <f>IFERROR(ROUNDUP(VLOOKUP(F20,'30Days-Baseline'!C:D,2,FALSE),0),"NotExist")</f>
        <v>NotExist</v>
      </c>
      <c r="D20" t="str">
        <f t="shared" si="2"/>
        <v>New</v>
      </c>
      <c r="E20" t="e">
        <f>VLOOKUP(A:A,Reviewed!B:C,2,0)</f>
        <v>#N/A</v>
      </c>
      <c r="F20" t="str">
        <f t="shared" si="1"/>
        <v/>
      </c>
    </row>
    <row r="21" spans="3:6" x14ac:dyDescent="0.35">
      <c r="C21" t="str">
        <f>IFERROR(ROUNDUP(VLOOKUP(F21,'30Days-Baseline'!C:D,2,FALSE),0),"NotExist")</f>
        <v>NotExist</v>
      </c>
      <c r="D21" t="str">
        <f t="shared" si="2"/>
        <v>New</v>
      </c>
      <c r="E21" t="e">
        <f>VLOOKUP(A:A,Reviewed!B:C,2,0)</f>
        <v>#N/A</v>
      </c>
      <c r="F21" t="str">
        <f t="shared" si="1"/>
        <v/>
      </c>
    </row>
    <row r="22" spans="3:6" x14ac:dyDescent="0.35">
      <c r="C22" t="str">
        <f>IFERROR(ROUNDUP(VLOOKUP(F22,'30Days-Baseline'!C:D,2,FALSE),0),"NotExist")</f>
        <v>NotExist</v>
      </c>
      <c r="D22" t="str">
        <f t="shared" si="2"/>
        <v>New</v>
      </c>
      <c r="E22" t="e">
        <f>VLOOKUP(A:A,Reviewed!B:C,2,0)</f>
        <v>#N/A</v>
      </c>
      <c r="F22" t="str">
        <f t="shared" si="1"/>
        <v/>
      </c>
    </row>
    <row r="23" spans="3:6" x14ac:dyDescent="0.35">
      <c r="C23" t="str">
        <f>IFERROR(ROUNDUP(VLOOKUP(F23,'30Days-Baseline'!C:D,2,FALSE),0),"NotExist")</f>
        <v>NotExist</v>
      </c>
      <c r="D23" t="str">
        <f t="shared" si="2"/>
        <v>New</v>
      </c>
      <c r="E23" t="e">
        <f>VLOOKUP(A:A,Reviewed!B:C,2,0)</f>
        <v>#N/A</v>
      </c>
      <c r="F23" t="str">
        <f t="shared" si="1"/>
        <v/>
      </c>
    </row>
    <row r="24" spans="3:6" x14ac:dyDescent="0.35">
      <c r="C24" t="str">
        <f>IFERROR(ROUNDUP(VLOOKUP(F24,'30Days-Baseline'!C:D,2,FALSE),0),"NotExist")</f>
        <v>NotExist</v>
      </c>
      <c r="D24" t="str">
        <f t="shared" si="2"/>
        <v>New</v>
      </c>
      <c r="E24" t="e">
        <f>VLOOKUP(A:A,Reviewed!B:C,2,0)</f>
        <v>#N/A</v>
      </c>
      <c r="F24" t="str">
        <f t="shared" si="1"/>
        <v/>
      </c>
    </row>
    <row r="25" spans="3:6" x14ac:dyDescent="0.35">
      <c r="C25" t="str">
        <f>IFERROR(ROUNDUP(VLOOKUP(F25,'30Days-Baseline'!C:D,2,FALSE),0),"NotExist")</f>
        <v>NotExist</v>
      </c>
      <c r="D25" t="str">
        <f t="shared" si="2"/>
        <v>New</v>
      </c>
      <c r="E25" t="e">
        <f>VLOOKUP(A:A,Reviewed!B:C,2,0)</f>
        <v>#N/A</v>
      </c>
      <c r="F25" t="str">
        <f t="shared" si="1"/>
        <v/>
      </c>
    </row>
    <row r="26" spans="3:6" x14ac:dyDescent="0.35">
      <c r="C26" t="str">
        <f>IFERROR(ROUNDUP(VLOOKUP(F26,'30Days-Baseline'!C:D,2,FALSE),0),"NotExist")</f>
        <v>NotExist</v>
      </c>
      <c r="D26" t="str">
        <f t="shared" si="2"/>
        <v>New</v>
      </c>
      <c r="E26" t="e">
        <f>VLOOKUP(A:A,Reviewed!B:C,2,0)</f>
        <v>#N/A</v>
      </c>
      <c r="F26" t="str">
        <f t="shared" si="1"/>
        <v/>
      </c>
    </row>
    <row r="27" spans="3:6" x14ac:dyDescent="0.35">
      <c r="C27" t="str">
        <f>IFERROR(ROUNDUP(VLOOKUP(F27,'30Days-Baseline'!C:D,2,FALSE),0),"NotExist")</f>
        <v>NotExist</v>
      </c>
      <c r="D27" t="str">
        <f t="shared" si="2"/>
        <v>New</v>
      </c>
      <c r="E27" t="e">
        <f>VLOOKUP(A:A,Reviewed!B:C,2,0)</f>
        <v>#N/A</v>
      </c>
      <c r="F27" t="str">
        <f t="shared" si="1"/>
        <v/>
      </c>
    </row>
    <row r="28" spans="3:6" x14ac:dyDescent="0.35">
      <c r="C28" t="str">
        <f>IFERROR(ROUNDUP(VLOOKUP(F28,'30Days-Baseline'!C:D,2,FALSE),0),"NotExist")</f>
        <v>NotExist</v>
      </c>
      <c r="D28" t="str">
        <f t="shared" si="2"/>
        <v>New</v>
      </c>
      <c r="E28" t="e">
        <f>VLOOKUP(A:A,Reviewed!B:C,2,0)</f>
        <v>#N/A</v>
      </c>
      <c r="F28" t="str">
        <f t="shared" si="1"/>
        <v/>
      </c>
    </row>
    <row r="29" spans="3:6" x14ac:dyDescent="0.35">
      <c r="C29" t="str">
        <f>IFERROR(ROUNDUP(VLOOKUP(F29,'30Days-Baseline'!C:D,2,FALSE),0),"NotExist")</f>
        <v>NotExist</v>
      </c>
      <c r="D29" t="str">
        <f t="shared" si="2"/>
        <v>New</v>
      </c>
      <c r="E29" t="e">
        <f>VLOOKUP(A:A,Reviewed!B:C,2,0)</f>
        <v>#N/A</v>
      </c>
      <c r="F29" t="str">
        <f t="shared" si="1"/>
        <v/>
      </c>
    </row>
    <row r="30" spans="3:6" x14ac:dyDescent="0.35">
      <c r="C30" t="str">
        <f>IFERROR(ROUNDUP(VLOOKUP(F30,'30Days-Baseline'!C:D,2,FALSE),0),"NotExist")</f>
        <v>NotExist</v>
      </c>
      <c r="D30" t="str">
        <f t="shared" si="2"/>
        <v>New</v>
      </c>
      <c r="E30" t="e">
        <f>VLOOKUP(A:A,Reviewed!B:C,2,0)</f>
        <v>#N/A</v>
      </c>
      <c r="F30" t="str">
        <f t="shared" si="1"/>
        <v/>
      </c>
    </row>
    <row r="31" spans="3:6" x14ac:dyDescent="0.35">
      <c r="C31" t="str">
        <f>IFERROR(ROUNDUP(VLOOKUP(F31,'30Days-Baseline'!C:D,2,FALSE),0),"NotExist")</f>
        <v>NotExist</v>
      </c>
      <c r="D31" t="str">
        <f t="shared" si="2"/>
        <v>New</v>
      </c>
      <c r="E31" t="e">
        <f>VLOOKUP(A:A,Reviewed!B:C,2,0)</f>
        <v>#N/A</v>
      </c>
      <c r="F31" t="str">
        <f t="shared" si="1"/>
        <v/>
      </c>
    </row>
    <row r="32" spans="3:6" x14ac:dyDescent="0.35">
      <c r="C32" t="str">
        <f>IFERROR(ROUNDUP(VLOOKUP(F32,'30Days-Baseline'!C:D,2,FALSE),0),"NotExist")</f>
        <v>NotExist</v>
      </c>
      <c r="D32" t="str">
        <f t="shared" si="2"/>
        <v>New</v>
      </c>
      <c r="E32" t="e">
        <f>VLOOKUP(A:A,Reviewed!B:C,2,0)</f>
        <v>#N/A</v>
      </c>
      <c r="F32" t="str">
        <f t="shared" si="1"/>
        <v/>
      </c>
    </row>
    <row r="33" spans="3:6" x14ac:dyDescent="0.35">
      <c r="C33" t="str">
        <f>IFERROR(ROUNDUP(VLOOKUP(F33,'30Days-Baseline'!C:D,2,FALSE),0),"NotExist")</f>
        <v>NotExist</v>
      </c>
      <c r="D33" t="str">
        <f t="shared" si="2"/>
        <v>New</v>
      </c>
      <c r="E33" t="e">
        <f>VLOOKUP(A:A,Reviewed!B:C,2,0)</f>
        <v>#N/A</v>
      </c>
      <c r="F33" t="str">
        <f t="shared" si="1"/>
        <v/>
      </c>
    </row>
    <row r="34" spans="3:6" x14ac:dyDescent="0.35">
      <c r="C34" t="str">
        <f>IFERROR(ROUNDUP(VLOOKUP(F34,'30Days-Baseline'!C:D,2,FALSE),0),"NotExist")</f>
        <v>NotExist</v>
      </c>
      <c r="D34" t="str">
        <f t="shared" si="2"/>
        <v>New</v>
      </c>
      <c r="E34" t="e">
        <f>VLOOKUP(A:A,Reviewed!B:C,2,0)</f>
        <v>#N/A</v>
      </c>
      <c r="F34" t="str">
        <f t="shared" ref="F34:F65" si="3">LEFT(A34,255)</f>
        <v/>
      </c>
    </row>
    <row r="35" spans="3:6" x14ac:dyDescent="0.35">
      <c r="C35" t="str">
        <f>IFERROR(ROUNDUP(VLOOKUP(F35,'30Days-Baseline'!C:D,2,FALSE),0),"NotExist")</f>
        <v>NotExist</v>
      </c>
      <c r="D35" t="str">
        <f t="shared" si="2"/>
        <v>New</v>
      </c>
      <c r="E35" t="e">
        <f>VLOOKUP(A:A,Reviewed!B:C,2,0)</f>
        <v>#N/A</v>
      </c>
      <c r="F35" t="str">
        <f t="shared" si="3"/>
        <v/>
      </c>
    </row>
    <row r="36" spans="3:6" x14ac:dyDescent="0.35">
      <c r="C36" t="str">
        <f>IFERROR(ROUNDUP(VLOOKUP(F36,'30Days-Baseline'!C:D,2,FALSE),0),"NotExist")</f>
        <v>NotExist</v>
      </c>
      <c r="D36" t="str">
        <f t="shared" si="2"/>
        <v>New</v>
      </c>
      <c r="E36" t="e">
        <f>VLOOKUP(A:A,Reviewed!B:C,2,0)</f>
        <v>#N/A</v>
      </c>
      <c r="F36" t="str">
        <f t="shared" si="3"/>
        <v/>
      </c>
    </row>
    <row r="37" spans="3:6" x14ac:dyDescent="0.35">
      <c r="C37" t="str">
        <f>IFERROR(ROUNDUP(VLOOKUP(F37,'30Days-Baseline'!C:D,2,FALSE),0),"NotExist")</f>
        <v>NotExist</v>
      </c>
      <c r="D37" t="str">
        <f t="shared" si="2"/>
        <v>New</v>
      </c>
      <c r="E37" t="e">
        <f>VLOOKUP(A:A,Reviewed!B:C,2,0)</f>
        <v>#N/A</v>
      </c>
      <c r="F37" t="str">
        <f t="shared" si="3"/>
        <v/>
      </c>
    </row>
    <row r="38" spans="3:6" x14ac:dyDescent="0.35">
      <c r="C38" t="str">
        <f>IFERROR(ROUNDUP(VLOOKUP(F38,'30Days-Baseline'!C:D,2,FALSE),0),"NotExist")</f>
        <v>NotExist</v>
      </c>
      <c r="D38" t="str">
        <f t="shared" si="2"/>
        <v>New</v>
      </c>
      <c r="E38" t="e">
        <f>VLOOKUP(A:A,Reviewed!B:C,2,0)</f>
        <v>#N/A</v>
      </c>
      <c r="F38" t="str">
        <f t="shared" si="3"/>
        <v/>
      </c>
    </row>
    <row r="39" spans="3:6" x14ac:dyDescent="0.35">
      <c r="C39" t="str">
        <f>IFERROR(ROUNDUP(VLOOKUP(F39,'30Days-Baseline'!C:D,2,FALSE),0),"NotExist")</f>
        <v>NotExist</v>
      </c>
      <c r="D39" t="str">
        <f t="shared" si="2"/>
        <v>New</v>
      </c>
      <c r="E39" t="e">
        <f>VLOOKUP(A:A,Reviewed!B:C,2,0)</f>
        <v>#N/A</v>
      </c>
      <c r="F39" t="str">
        <f t="shared" si="3"/>
        <v/>
      </c>
    </row>
    <row r="40" spans="3:6" x14ac:dyDescent="0.35">
      <c r="C40" t="str">
        <f>IFERROR(ROUNDUP(VLOOKUP(F40,'30Days-Baseline'!C:D,2,FALSE),0),"NotExist")</f>
        <v>NotExist</v>
      </c>
      <c r="D40" t="str">
        <f t="shared" si="2"/>
        <v>New</v>
      </c>
      <c r="E40" t="e">
        <f>VLOOKUP(A:A,Reviewed!B:C,2,0)</f>
        <v>#N/A</v>
      </c>
      <c r="F40" t="str">
        <f t="shared" si="3"/>
        <v/>
      </c>
    </row>
    <row r="41" spans="3:6" x14ac:dyDescent="0.35">
      <c r="C41" t="str">
        <f>IFERROR(ROUNDUP(VLOOKUP(F41,'30Days-Baseline'!C:D,2,FALSE),0),"NotExist")</f>
        <v>NotExist</v>
      </c>
      <c r="D41" t="str">
        <f t="shared" si="2"/>
        <v>New</v>
      </c>
      <c r="E41" t="e">
        <f>VLOOKUP(A:A,Reviewed!B:C,2,0)</f>
        <v>#N/A</v>
      </c>
      <c r="F41" t="str">
        <f t="shared" si="3"/>
        <v/>
      </c>
    </row>
    <row r="42" spans="3:6" x14ac:dyDescent="0.35">
      <c r="C42" t="str">
        <f>IFERROR(ROUNDUP(VLOOKUP(F42,'30Days-Baseline'!C:D,2,FALSE),0),"NotExist")</f>
        <v>NotExist</v>
      </c>
      <c r="D42" t="str">
        <f t="shared" si="2"/>
        <v>New</v>
      </c>
      <c r="E42" t="e">
        <f>VLOOKUP(A:A,Reviewed!B:C,2,0)</f>
        <v>#N/A</v>
      </c>
      <c r="F42" t="str">
        <f t="shared" si="3"/>
        <v/>
      </c>
    </row>
    <row r="43" spans="3:6" x14ac:dyDescent="0.35">
      <c r="C43" t="str">
        <f>IFERROR(ROUNDUP(VLOOKUP(F43,'30Days-Baseline'!C:D,2,FALSE),0),"NotExist")</f>
        <v>NotExist</v>
      </c>
      <c r="D43" t="str">
        <f t="shared" si="2"/>
        <v>New</v>
      </c>
      <c r="E43" t="e">
        <f>VLOOKUP(A:A,Reviewed!B:C,2,0)</f>
        <v>#N/A</v>
      </c>
      <c r="F43" t="str">
        <f t="shared" si="3"/>
        <v/>
      </c>
    </row>
    <row r="44" spans="3:6" x14ac:dyDescent="0.35">
      <c r="C44" t="str">
        <f>IFERROR(ROUNDUP(VLOOKUP(F44,'30Days-Baseline'!C:D,2,FALSE),0),"NotExist")</f>
        <v>NotExist</v>
      </c>
      <c r="D44" t="str">
        <f t="shared" si="2"/>
        <v>New</v>
      </c>
      <c r="E44" t="e">
        <f>VLOOKUP(A:A,Reviewed!B:C,2,0)</f>
        <v>#N/A</v>
      </c>
      <c r="F44" t="str">
        <f t="shared" si="3"/>
        <v/>
      </c>
    </row>
    <row r="45" spans="3:6" x14ac:dyDescent="0.35">
      <c r="C45" t="str">
        <f>IFERROR(ROUNDUP(VLOOKUP(F45,'30Days-Baseline'!C:D,2,FALSE),0),"NotExist")</f>
        <v>NotExist</v>
      </c>
      <c r="D45" t="str">
        <f t="shared" si="2"/>
        <v>New</v>
      </c>
      <c r="E45" t="e">
        <f>VLOOKUP(A:A,Reviewed!B:C,2,0)</f>
        <v>#N/A</v>
      </c>
      <c r="F45" t="str">
        <f t="shared" si="3"/>
        <v/>
      </c>
    </row>
    <row r="46" spans="3:6" x14ac:dyDescent="0.35">
      <c r="C46" t="str">
        <f>IFERROR(ROUNDUP(VLOOKUP(F46,'30Days-Baseline'!C:D,2,FALSE),0),"NotExist")</f>
        <v>NotExist</v>
      </c>
      <c r="D46" t="str">
        <f t="shared" si="2"/>
        <v>New</v>
      </c>
      <c r="E46" t="e">
        <f>VLOOKUP(A:A,Reviewed!B:C,2,0)</f>
        <v>#N/A</v>
      </c>
      <c r="F46" t="str">
        <f t="shared" si="3"/>
        <v/>
      </c>
    </row>
    <row r="47" spans="3:6" x14ac:dyDescent="0.35">
      <c r="C47" t="str">
        <f>IFERROR(ROUNDUP(VLOOKUP(F47,'30Days-Baseline'!C:D,2,FALSE),0),"NotExist")</f>
        <v>NotExist</v>
      </c>
      <c r="D47" t="str">
        <f t="shared" si="2"/>
        <v>New</v>
      </c>
      <c r="E47" t="e">
        <f>VLOOKUP(A:A,Reviewed!B:C,2,0)</f>
        <v>#N/A</v>
      </c>
      <c r="F47" t="str">
        <f t="shared" si="3"/>
        <v/>
      </c>
    </row>
    <row r="48" spans="3:6" x14ac:dyDescent="0.35">
      <c r="C48" t="str">
        <f>IFERROR(ROUNDUP(VLOOKUP(F48,'30Days-Baseline'!C:D,2,FALSE),0),"NotExist")</f>
        <v>NotExist</v>
      </c>
      <c r="D48" t="str">
        <f t="shared" si="2"/>
        <v>New</v>
      </c>
      <c r="E48" t="e">
        <f>VLOOKUP(A:A,Reviewed!B:C,2,0)</f>
        <v>#N/A</v>
      </c>
      <c r="F48" t="str">
        <f t="shared" si="3"/>
        <v/>
      </c>
    </row>
    <row r="49" spans="3:6" x14ac:dyDescent="0.35">
      <c r="C49" t="str">
        <f>IFERROR(ROUNDUP(VLOOKUP(F49,'30Days-Baseline'!C:D,2,FALSE),0),"NotExist")</f>
        <v>NotExist</v>
      </c>
      <c r="D49" t="str">
        <f t="shared" si="2"/>
        <v>New</v>
      </c>
      <c r="E49" t="e">
        <f>VLOOKUP(A:A,Reviewed!B:C,2,0)</f>
        <v>#N/A</v>
      </c>
      <c r="F49" t="str">
        <f t="shared" si="3"/>
        <v/>
      </c>
    </row>
    <row r="50" spans="3:6" x14ac:dyDescent="0.35">
      <c r="C50" t="str">
        <f>IFERROR(ROUNDUP(VLOOKUP(F50,'30Days-Baseline'!C:D,2,FALSE),0),"NotExist")</f>
        <v>NotExist</v>
      </c>
      <c r="D50" t="str">
        <f t="shared" si="2"/>
        <v>New</v>
      </c>
      <c r="E50" t="e">
        <f>VLOOKUP(A:A,Reviewed!B:C,2,0)</f>
        <v>#N/A</v>
      </c>
      <c r="F50" t="str">
        <f t="shared" si="3"/>
        <v/>
      </c>
    </row>
    <row r="51" spans="3:6" x14ac:dyDescent="0.35">
      <c r="C51" t="str">
        <f>IFERROR(ROUNDUP(VLOOKUP(F51,'30Days-Baseline'!C:D,2,FALSE),0),"NotExist")</f>
        <v>NotExist</v>
      </c>
      <c r="D51" t="str">
        <f t="shared" si="2"/>
        <v>New</v>
      </c>
      <c r="E51" t="e">
        <f>VLOOKUP(A:A,Reviewed!B:C,2,0)</f>
        <v>#N/A</v>
      </c>
      <c r="F51" t="str">
        <f t="shared" si="3"/>
        <v/>
      </c>
    </row>
    <row r="52" spans="3:6" x14ac:dyDescent="0.35">
      <c r="C52" t="str">
        <f>IFERROR(ROUNDUP(VLOOKUP(F52,'30Days-Baseline'!C:D,2,FALSE),0),"NotExist")</f>
        <v>NotExist</v>
      </c>
      <c r="D52" t="str">
        <f t="shared" si="2"/>
        <v>New</v>
      </c>
      <c r="E52" t="e">
        <f>VLOOKUP(A:A,Reviewed!B:C,2,0)</f>
        <v>#N/A</v>
      </c>
      <c r="F52" t="str">
        <f t="shared" si="3"/>
        <v/>
      </c>
    </row>
    <row r="53" spans="3:6" x14ac:dyDescent="0.35">
      <c r="C53" t="str">
        <f>IFERROR(ROUNDUP(VLOOKUP(F53,'30Days-Baseline'!C:D,2,FALSE),0),"NotExist")</f>
        <v>NotExist</v>
      </c>
      <c r="D53" t="str">
        <f t="shared" si="2"/>
        <v>New</v>
      </c>
      <c r="E53" t="e">
        <f>VLOOKUP(A:A,Reviewed!B:C,2,0)</f>
        <v>#N/A</v>
      </c>
      <c r="F53" t="str">
        <f t="shared" si="3"/>
        <v/>
      </c>
    </row>
    <row r="54" spans="3:6" x14ac:dyDescent="0.35">
      <c r="C54" t="str">
        <f>IFERROR(ROUNDUP(VLOOKUP(F54,'30Days-Baseline'!C:D,2,FALSE),0),"NotExist")</f>
        <v>NotExist</v>
      </c>
      <c r="D54" t="str">
        <f t="shared" si="2"/>
        <v>New</v>
      </c>
      <c r="E54" t="e">
        <f>VLOOKUP(A:A,Reviewed!B:C,2,0)</f>
        <v>#N/A</v>
      </c>
      <c r="F54" t="str">
        <f t="shared" si="3"/>
        <v/>
      </c>
    </row>
    <row r="55" spans="3:6" x14ac:dyDescent="0.35">
      <c r="C55" t="str">
        <f>IFERROR(ROUNDUP(VLOOKUP(F55,'30Days-Baseline'!C:D,2,FALSE),0),"NotExist")</f>
        <v>NotExist</v>
      </c>
      <c r="D55" t="str">
        <f t="shared" si="2"/>
        <v>New</v>
      </c>
      <c r="E55" t="e">
        <f>VLOOKUP(A:A,Reviewed!B:C,2,0)</f>
        <v>#N/A</v>
      </c>
      <c r="F55" t="str">
        <f t="shared" si="3"/>
        <v/>
      </c>
    </row>
    <row r="56" spans="3:6" x14ac:dyDescent="0.35">
      <c r="C56" t="str">
        <f>IFERROR(ROUNDUP(VLOOKUP(F56,'30Days-Baseline'!C:D,2,FALSE),0),"NotExist")</f>
        <v>NotExist</v>
      </c>
      <c r="D56" t="str">
        <f t="shared" si="2"/>
        <v>New</v>
      </c>
      <c r="E56" t="e">
        <f>VLOOKUP(A:A,Reviewed!B:C,2,0)</f>
        <v>#N/A</v>
      </c>
      <c r="F56" t="str">
        <f t="shared" si="3"/>
        <v/>
      </c>
    </row>
    <row r="57" spans="3:6" x14ac:dyDescent="0.35">
      <c r="C57" t="str">
        <f>IFERROR(ROUNDUP(VLOOKUP(F57,'30Days-Baseline'!C:D,2,FALSE),0),"NotExist")</f>
        <v>NotExist</v>
      </c>
      <c r="D57" t="str">
        <f t="shared" si="2"/>
        <v>New</v>
      </c>
      <c r="E57" t="e">
        <f>VLOOKUP(A:A,Reviewed!B:C,2,0)</f>
        <v>#N/A</v>
      </c>
      <c r="F57" t="str">
        <f t="shared" si="3"/>
        <v/>
      </c>
    </row>
    <row r="58" spans="3:6" x14ac:dyDescent="0.35">
      <c r="C58" t="str">
        <f>IFERROR(ROUNDUP(VLOOKUP(F58,'30Days-Baseline'!C:D,2,FALSE),0),"NotExist")</f>
        <v>NotExist</v>
      </c>
      <c r="D58" t="str">
        <f t="shared" si="2"/>
        <v>New</v>
      </c>
      <c r="E58" t="e">
        <f>VLOOKUP(A:A,Reviewed!B:C,2,0)</f>
        <v>#N/A</v>
      </c>
      <c r="F58" t="str">
        <f t="shared" si="3"/>
        <v/>
      </c>
    </row>
    <row r="59" spans="3:6" x14ac:dyDescent="0.35">
      <c r="C59" t="str">
        <f>IFERROR(ROUNDUP(VLOOKUP(F59,'30Days-Baseline'!C:D,2,FALSE),0),"NotExist")</f>
        <v>NotExist</v>
      </c>
      <c r="D59" t="str">
        <f t="shared" si="2"/>
        <v>New</v>
      </c>
      <c r="E59" t="e">
        <f>VLOOKUP(A:A,Reviewed!B:C,2,0)</f>
        <v>#N/A</v>
      </c>
      <c r="F59" t="str">
        <f t="shared" si="3"/>
        <v/>
      </c>
    </row>
    <row r="60" spans="3:6" x14ac:dyDescent="0.35">
      <c r="C60" t="str">
        <f>IFERROR(ROUNDUP(VLOOKUP(F60,'30Days-Baseline'!C:D,2,FALSE),0),"NotExist")</f>
        <v>NotExist</v>
      </c>
      <c r="D60" t="str">
        <f t="shared" si="2"/>
        <v>New</v>
      </c>
      <c r="E60" t="e">
        <f>VLOOKUP(A:A,Reviewed!B:C,2,0)</f>
        <v>#N/A</v>
      </c>
      <c r="F60" t="str">
        <f t="shared" si="3"/>
        <v/>
      </c>
    </row>
    <row r="61" spans="3:6" x14ac:dyDescent="0.35">
      <c r="C61" t="str">
        <f>IFERROR(ROUNDUP(VLOOKUP(F61,'30Days-Baseline'!C:D,2,FALSE),0),"NotExist")</f>
        <v>NotExist</v>
      </c>
      <c r="D61" t="str">
        <f t="shared" si="2"/>
        <v>New</v>
      </c>
      <c r="E61" t="e">
        <f>VLOOKUP(A:A,Reviewed!B:C,2,0)</f>
        <v>#N/A</v>
      </c>
      <c r="F61" t="str">
        <f t="shared" si="3"/>
        <v/>
      </c>
    </row>
    <row r="62" spans="3:6" x14ac:dyDescent="0.35">
      <c r="C62" t="str">
        <f>IFERROR(ROUNDUP(VLOOKUP(F62,'30Days-Baseline'!C:D,2,FALSE),0),"NotExist")</f>
        <v>NotExist</v>
      </c>
      <c r="D62" t="str">
        <f t="shared" si="2"/>
        <v>New</v>
      </c>
      <c r="E62" t="e">
        <f>VLOOKUP(A:A,Reviewed!B:C,2,0)</f>
        <v>#N/A</v>
      </c>
      <c r="F62" t="str">
        <f t="shared" si="3"/>
        <v/>
      </c>
    </row>
    <row r="63" spans="3:6" x14ac:dyDescent="0.35">
      <c r="C63" t="str">
        <f>IFERROR(ROUNDUP(VLOOKUP(F63,'30Days-Baseline'!C:D,2,FALSE),0),"NotExist")</f>
        <v>NotExist</v>
      </c>
      <c r="D63" t="str">
        <f t="shared" si="2"/>
        <v>New</v>
      </c>
      <c r="E63" t="e">
        <f>VLOOKUP(A:A,Reviewed!B:C,2,0)</f>
        <v>#N/A</v>
      </c>
      <c r="F63" t="str">
        <f t="shared" si="3"/>
        <v/>
      </c>
    </row>
    <row r="64" spans="3:6" x14ac:dyDescent="0.35">
      <c r="C64" t="str">
        <f>IFERROR(ROUNDUP(VLOOKUP(F64,'30Days-Baseline'!C:D,2,FALSE),0),"NotExist")</f>
        <v>NotExist</v>
      </c>
      <c r="D64" t="str">
        <f t="shared" si="2"/>
        <v>New</v>
      </c>
      <c r="E64" t="e">
        <f>VLOOKUP(A:A,Reviewed!B:C,2,0)</f>
        <v>#N/A</v>
      </c>
      <c r="F64" t="str">
        <f t="shared" si="3"/>
        <v/>
      </c>
    </row>
    <row r="65" spans="3:6" x14ac:dyDescent="0.35">
      <c r="C65" t="str">
        <f>IFERROR(ROUNDUP(VLOOKUP(F65,'30Days-Baseline'!C:D,2,FALSE),0),"NotExist")</f>
        <v>NotExist</v>
      </c>
      <c r="D65" t="str">
        <f t="shared" si="2"/>
        <v>New</v>
      </c>
      <c r="E65" t="e">
        <f>VLOOKUP(A:A,Reviewed!B:C,2,0)</f>
        <v>#N/A</v>
      </c>
      <c r="F65" t="str">
        <f t="shared" si="3"/>
        <v/>
      </c>
    </row>
    <row r="66" spans="3:6" x14ac:dyDescent="0.35">
      <c r="C66" t="str">
        <f>IFERROR(ROUNDUP(VLOOKUP(F66,'30Days-Baseline'!C:D,2,FALSE),0),"NotExist")</f>
        <v>NotExist</v>
      </c>
      <c r="D66" t="str">
        <f t="shared" si="2"/>
        <v>New</v>
      </c>
      <c r="E66" t="e">
        <f>VLOOKUP(A:A,Reviewed!B:C,2,0)</f>
        <v>#N/A</v>
      </c>
      <c r="F66" t="str">
        <f t="shared" ref="F66:F97" si="4">LEFT(A66,255)</f>
        <v/>
      </c>
    </row>
    <row r="67" spans="3:6" x14ac:dyDescent="0.35">
      <c r="C67" t="str">
        <f>IFERROR(ROUNDUP(VLOOKUP(F67,'30Days-Baseline'!C:D,2,FALSE),0),"NotExist")</f>
        <v>NotExist</v>
      </c>
      <c r="D67" t="str">
        <f t="shared" si="2"/>
        <v>New</v>
      </c>
      <c r="E67" t="e">
        <f>VLOOKUP(A:A,Reviewed!B:C,2,0)</f>
        <v>#N/A</v>
      </c>
      <c r="F67" t="str">
        <f t="shared" si="4"/>
        <v/>
      </c>
    </row>
    <row r="68" spans="3:6" x14ac:dyDescent="0.35">
      <c r="C68" t="str">
        <f>IFERROR(ROUNDUP(VLOOKUP(F68,'30Days-Baseline'!C:D,2,FALSE),0),"NotExist")</f>
        <v>NotExist</v>
      </c>
      <c r="D68" t="str">
        <f t="shared" si="2"/>
        <v>New</v>
      </c>
      <c r="E68" t="e">
        <f>VLOOKUP(A:A,Reviewed!B:C,2,0)</f>
        <v>#N/A</v>
      </c>
      <c r="F68" t="str">
        <f t="shared" si="4"/>
        <v/>
      </c>
    </row>
    <row r="69" spans="3:6" x14ac:dyDescent="0.35">
      <c r="C69" t="str">
        <f>IFERROR(ROUNDUP(VLOOKUP(F69,'30Days-Baseline'!C:D,2,FALSE),0),"NotExist")</f>
        <v>NotExist</v>
      </c>
      <c r="D69" t="str">
        <f t="shared" si="2"/>
        <v>New</v>
      </c>
      <c r="E69" t="e">
        <f>VLOOKUP(A:A,Reviewed!B:C,2,0)</f>
        <v>#N/A</v>
      </c>
      <c r="F69" t="str">
        <f t="shared" si="4"/>
        <v/>
      </c>
    </row>
    <row r="70" spans="3:6" x14ac:dyDescent="0.35">
      <c r="C70" t="str">
        <f>IFERROR(ROUNDUP(VLOOKUP(F70,'30Days-Baseline'!C:D,2,FALSE),0),"NotExist")</f>
        <v>NotExist</v>
      </c>
      <c r="D70" t="str">
        <f t="shared" si="2"/>
        <v>New</v>
      </c>
      <c r="E70" t="e">
        <f>VLOOKUP(A:A,Reviewed!B:C,2,0)</f>
        <v>#N/A</v>
      </c>
      <c r="F70" t="str">
        <f t="shared" si="4"/>
        <v/>
      </c>
    </row>
    <row r="71" spans="3:6" x14ac:dyDescent="0.35">
      <c r="C71" t="str">
        <f>IFERROR(ROUNDUP(VLOOKUP(F71,'30Days-Baseline'!C:D,2,FALSE),0),"NotExist")</f>
        <v>NotExist</v>
      </c>
      <c r="D71" t="str">
        <f t="shared" si="2"/>
        <v>New</v>
      </c>
      <c r="E71" t="e">
        <f>VLOOKUP(A:A,Reviewed!B:C,2,0)</f>
        <v>#N/A</v>
      </c>
      <c r="F71" t="str">
        <f t="shared" si="4"/>
        <v/>
      </c>
    </row>
    <row r="72" spans="3:6" x14ac:dyDescent="0.35">
      <c r="C72" t="str">
        <f>IFERROR(ROUNDUP(VLOOKUP(F72,'30Days-Baseline'!C:D,2,FALSE),0),"NotExist")</f>
        <v>NotExist</v>
      </c>
      <c r="D72" t="str">
        <f t="shared" si="2"/>
        <v>New</v>
      </c>
      <c r="E72" t="e">
        <f>VLOOKUP(A:A,Reviewed!B:C,2,0)</f>
        <v>#N/A</v>
      </c>
      <c r="F72" t="str">
        <f t="shared" si="4"/>
        <v/>
      </c>
    </row>
    <row r="73" spans="3:6" x14ac:dyDescent="0.35">
      <c r="C73" t="str">
        <f>IFERROR(ROUNDUP(VLOOKUP(F73,'30Days-Baseline'!C:D,2,FALSE),0),"NotExist")</f>
        <v>NotExist</v>
      </c>
      <c r="D73" t="str">
        <f t="shared" si="2"/>
        <v>New</v>
      </c>
      <c r="E73" t="e">
        <f>VLOOKUP(A:A,Reviewed!B:C,2,0)</f>
        <v>#N/A</v>
      </c>
      <c r="F73" t="str">
        <f t="shared" si="4"/>
        <v/>
      </c>
    </row>
    <row r="74" spans="3:6" x14ac:dyDescent="0.35">
      <c r="C74" t="str">
        <f>IFERROR(ROUNDUP(VLOOKUP(F74,'30Days-Baseline'!C:D,2,FALSE),0),"NotExist")</f>
        <v>NotExist</v>
      </c>
      <c r="D74" t="str">
        <f t="shared" si="2"/>
        <v>New</v>
      </c>
      <c r="E74" t="e">
        <f>VLOOKUP(A:A,Reviewed!B:C,2,0)</f>
        <v>#N/A</v>
      </c>
      <c r="F74" t="str">
        <f t="shared" si="4"/>
        <v/>
      </c>
    </row>
    <row r="75" spans="3:6" x14ac:dyDescent="0.35">
      <c r="C75" t="str">
        <f>IFERROR(ROUNDUP(VLOOKUP(F75,'30Days-Baseline'!C:D,2,FALSE),0),"NotExist")</f>
        <v>NotExist</v>
      </c>
      <c r="D75" t="str">
        <f t="shared" si="2"/>
        <v>New</v>
      </c>
      <c r="E75" t="e">
        <f>VLOOKUP(A:A,Reviewed!B:C,2,0)</f>
        <v>#N/A</v>
      </c>
      <c r="F75" t="str">
        <f t="shared" si="4"/>
        <v/>
      </c>
    </row>
    <row r="76" spans="3:6" x14ac:dyDescent="0.35">
      <c r="C76" t="str">
        <f>IFERROR(ROUNDUP(VLOOKUP(F76,'30Days-Baseline'!C:D,2,FALSE),0),"NotExist")</f>
        <v>NotExist</v>
      </c>
      <c r="D76" t="str">
        <f t="shared" si="2"/>
        <v>New</v>
      </c>
      <c r="E76" t="e">
        <f>VLOOKUP(A:A,Reviewed!B:C,2,0)</f>
        <v>#N/A</v>
      </c>
      <c r="F76" t="str">
        <f t="shared" si="4"/>
        <v/>
      </c>
    </row>
    <row r="77" spans="3:6" x14ac:dyDescent="0.35">
      <c r="C77" t="str">
        <f>IFERROR(ROUNDUP(VLOOKUP(F77,'30Days-Baseline'!C:D,2,FALSE),0),"NotExist")</f>
        <v>NotExist</v>
      </c>
      <c r="D77" t="str">
        <f t="shared" si="2"/>
        <v>New</v>
      </c>
      <c r="E77" t="e">
        <f>VLOOKUP(A:A,Reviewed!B:C,2,0)</f>
        <v>#N/A</v>
      </c>
      <c r="F77" t="str">
        <f t="shared" si="4"/>
        <v/>
      </c>
    </row>
    <row r="78" spans="3:6" x14ac:dyDescent="0.35">
      <c r="C78" t="str">
        <f>IFERROR(ROUNDUP(VLOOKUP(F78,'30Days-Baseline'!C:D,2,FALSE),0),"NotExist")</f>
        <v>NotExist</v>
      </c>
      <c r="D78" t="str">
        <f t="shared" ref="D78:D141" si="5">IFERROR(IF(B78&gt;ROUNDUP(C78,0),"Elevated","Ok"),"New")</f>
        <v>New</v>
      </c>
      <c r="E78" t="e">
        <f>VLOOKUP(A:A,Reviewed!B:C,2,0)</f>
        <v>#N/A</v>
      </c>
      <c r="F78" t="str">
        <f t="shared" si="4"/>
        <v/>
      </c>
    </row>
    <row r="79" spans="3:6" x14ac:dyDescent="0.35">
      <c r="C79" t="str">
        <f>IFERROR(ROUNDUP(VLOOKUP(F79,'30Days-Baseline'!C:D,2,FALSE),0),"NotExist")</f>
        <v>NotExist</v>
      </c>
      <c r="D79" t="str">
        <f t="shared" si="5"/>
        <v>New</v>
      </c>
      <c r="E79" t="e">
        <f>VLOOKUP(A:A,Reviewed!B:C,2,0)</f>
        <v>#N/A</v>
      </c>
      <c r="F79" t="str">
        <f t="shared" si="4"/>
        <v/>
      </c>
    </row>
    <row r="80" spans="3:6" x14ac:dyDescent="0.35">
      <c r="C80" t="str">
        <f>IFERROR(ROUNDUP(VLOOKUP(F80,'30Days-Baseline'!C:D,2,FALSE),0),"NotExist")</f>
        <v>NotExist</v>
      </c>
      <c r="D80" t="str">
        <f t="shared" si="5"/>
        <v>New</v>
      </c>
      <c r="E80" t="e">
        <f>VLOOKUP(A:A,Reviewed!B:C,2,0)</f>
        <v>#N/A</v>
      </c>
      <c r="F80" t="str">
        <f t="shared" si="4"/>
        <v/>
      </c>
    </row>
    <row r="81" spans="3:6" x14ac:dyDescent="0.35">
      <c r="C81" t="str">
        <f>IFERROR(ROUNDUP(VLOOKUP(F81,'30Days-Baseline'!C:D,2,FALSE),0),"NotExist")</f>
        <v>NotExist</v>
      </c>
      <c r="D81" t="str">
        <f t="shared" si="5"/>
        <v>New</v>
      </c>
      <c r="E81" t="e">
        <f>VLOOKUP(A:A,Reviewed!B:C,2,0)</f>
        <v>#N/A</v>
      </c>
      <c r="F81" t="str">
        <f t="shared" si="4"/>
        <v/>
      </c>
    </row>
    <row r="82" spans="3:6" x14ac:dyDescent="0.35">
      <c r="C82" t="str">
        <f>IFERROR(ROUNDUP(VLOOKUP(F82,'30Days-Baseline'!C:D,2,FALSE),0),"NotExist")</f>
        <v>NotExist</v>
      </c>
      <c r="D82" t="str">
        <f t="shared" si="5"/>
        <v>New</v>
      </c>
      <c r="E82" t="e">
        <f>VLOOKUP(A:A,Reviewed!B:C,2,0)</f>
        <v>#N/A</v>
      </c>
      <c r="F82" t="str">
        <f t="shared" si="4"/>
        <v/>
      </c>
    </row>
    <row r="83" spans="3:6" x14ac:dyDescent="0.35">
      <c r="C83" t="str">
        <f>IFERROR(ROUNDUP(VLOOKUP(F83,'30Days-Baseline'!C:D,2,FALSE),0),"NotExist")</f>
        <v>NotExist</v>
      </c>
      <c r="D83" t="str">
        <f t="shared" si="5"/>
        <v>New</v>
      </c>
      <c r="E83" t="e">
        <f>VLOOKUP(A:A,Reviewed!B:C,2,0)</f>
        <v>#N/A</v>
      </c>
      <c r="F83" t="str">
        <f t="shared" si="4"/>
        <v/>
      </c>
    </row>
    <row r="84" spans="3:6" x14ac:dyDescent="0.35">
      <c r="C84" t="str">
        <f>IFERROR(ROUNDUP(VLOOKUP(F84,'30Days-Baseline'!C:D,2,FALSE),0),"NotExist")</f>
        <v>NotExist</v>
      </c>
      <c r="D84" t="str">
        <f t="shared" si="5"/>
        <v>New</v>
      </c>
      <c r="E84" t="e">
        <f>VLOOKUP(A:A,Reviewed!B:C,2,0)</f>
        <v>#N/A</v>
      </c>
      <c r="F84" t="str">
        <f t="shared" si="4"/>
        <v/>
      </c>
    </row>
    <row r="85" spans="3:6" x14ac:dyDescent="0.35">
      <c r="C85" t="str">
        <f>IFERROR(ROUNDUP(VLOOKUP(F85,'30Days-Baseline'!C:D,2,FALSE),0),"NotExist")</f>
        <v>NotExist</v>
      </c>
      <c r="D85" t="str">
        <f t="shared" si="5"/>
        <v>New</v>
      </c>
      <c r="E85" t="e">
        <f>VLOOKUP(A:A,Reviewed!B:C,2,0)</f>
        <v>#N/A</v>
      </c>
      <c r="F85" t="str">
        <f t="shared" si="4"/>
        <v/>
      </c>
    </row>
    <row r="86" spans="3:6" x14ac:dyDescent="0.35">
      <c r="C86" t="str">
        <f>IFERROR(ROUNDUP(VLOOKUP(F86,'30Days-Baseline'!C:D,2,FALSE),0),"NotExist")</f>
        <v>NotExist</v>
      </c>
      <c r="D86" t="str">
        <f t="shared" si="5"/>
        <v>New</v>
      </c>
      <c r="E86" t="e">
        <f>VLOOKUP(A:A,Reviewed!B:C,2,0)</f>
        <v>#N/A</v>
      </c>
      <c r="F86" t="str">
        <f t="shared" si="4"/>
        <v/>
      </c>
    </row>
    <row r="87" spans="3:6" x14ac:dyDescent="0.35">
      <c r="C87" t="str">
        <f>IFERROR(ROUNDUP(VLOOKUP(F87,'30Days-Baseline'!C:D,2,FALSE),0),"NotExist")</f>
        <v>NotExist</v>
      </c>
      <c r="D87" t="str">
        <f t="shared" si="5"/>
        <v>New</v>
      </c>
      <c r="E87" t="e">
        <f>VLOOKUP(A:A,Reviewed!B:C,2,0)</f>
        <v>#N/A</v>
      </c>
      <c r="F87" t="str">
        <f t="shared" si="4"/>
        <v/>
      </c>
    </row>
    <row r="88" spans="3:6" x14ac:dyDescent="0.35">
      <c r="C88" t="str">
        <f>IFERROR(ROUNDUP(VLOOKUP(F88,'30Days-Baseline'!C:D,2,FALSE),0),"NotExist")</f>
        <v>NotExist</v>
      </c>
      <c r="D88" t="str">
        <f t="shared" si="5"/>
        <v>New</v>
      </c>
      <c r="E88" t="e">
        <f>VLOOKUP(A:A,Reviewed!B:C,2,0)</f>
        <v>#N/A</v>
      </c>
      <c r="F88" t="str">
        <f t="shared" si="4"/>
        <v/>
      </c>
    </row>
    <row r="89" spans="3:6" x14ac:dyDescent="0.35">
      <c r="C89" t="str">
        <f>IFERROR(ROUNDUP(VLOOKUP(F89,'30Days-Baseline'!C:D,2,FALSE),0),"NotExist")</f>
        <v>NotExist</v>
      </c>
      <c r="D89" t="str">
        <f t="shared" si="5"/>
        <v>New</v>
      </c>
      <c r="E89" t="e">
        <f>VLOOKUP(A:A,Reviewed!B:C,2,0)</f>
        <v>#N/A</v>
      </c>
      <c r="F89" t="str">
        <f t="shared" si="4"/>
        <v/>
      </c>
    </row>
    <row r="90" spans="3:6" x14ac:dyDescent="0.35">
      <c r="C90" t="str">
        <f>IFERROR(ROUNDUP(VLOOKUP(F90,'30Days-Baseline'!C:D,2,FALSE),0),"NotExist")</f>
        <v>NotExist</v>
      </c>
      <c r="D90" t="str">
        <f t="shared" si="5"/>
        <v>New</v>
      </c>
      <c r="E90" t="e">
        <f>VLOOKUP(A:A,Reviewed!B:C,2,0)</f>
        <v>#N/A</v>
      </c>
      <c r="F90" t="str">
        <f t="shared" si="4"/>
        <v/>
      </c>
    </row>
    <row r="91" spans="3:6" x14ac:dyDescent="0.35">
      <c r="C91" t="str">
        <f>IFERROR(ROUNDUP(VLOOKUP(F91,'30Days-Baseline'!C:D,2,FALSE),0),"NotExist")</f>
        <v>NotExist</v>
      </c>
      <c r="D91" t="str">
        <f t="shared" si="5"/>
        <v>New</v>
      </c>
      <c r="E91" t="e">
        <f>VLOOKUP(A:A,Reviewed!B:C,2,0)</f>
        <v>#N/A</v>
      </c>
      <c r="F91" t="str">
        <f t="shared" si="4"/>
        <v/>
      </c>
    </row>
    <row r="92" spans="3:6" x14ac:dyDescent="0.35">
      <c r="C92" t="str">
        <f>IFERROR(ROUNDUP(VLOOKUP(F92,'30Days-Baseline'!C:D,2,FALSE),0),"NotExist")</f>
        <v>NotExist</v>
      </c>
      <c r="D92" t="str">
        <f t="shared" si="5"/>
        <v>New</v>
      </c>
      <c r="E92" t="e">
        <f>VLOOKUP(A:A,Reviewed!B:C,2,0)</f>
        <v>#N/A</v>
      </c>
      <c r="F92" t="str">
        <f t="shared" si="4"/>
        <v/>
      </c>
    </row>
    <row r="93" spans="3:6" x14ac:dyDescent="0.35">
      <c r="C93" t="str">
        <f>IFERROR(ROUNDUP(VLOOKUP(F93,'30Days-Baseline'!C:D,2,FALSE),0),"NotExist")</f>
        <v>NotExist</v>
      </c>
      <c r="D93" t="str">
        <f t="shared" si="5"/>
        <v>New</v>
      </c>
      <c r="E93" t="e">
        <f>VLOOKUP(A:A,Reviewed!B:C,2,0)</f>
        <v>#N/A</v>
      </c>
      <c r="F93" t="str">
        <f t="shared" si="4"/>
        <v/>
      </c>
    </row>
    <row r="94" spans="3:6" x14ac:dyDescent="0.35">
      <c r="C94" t="str">
        <f>IFERROR(ROUNDUP(VLOOKUP(F94,'30Days-Baseline'!C:D,2,FALSE),0),"NotExist")</f>
        <v>NotExist</v>
      </c>
      <c r="D94" t="str">
        <f t="shared" si="5"/>
        <v>New</v>
      </c>
      <c r="E94" t="e">
        <f>VLOOKUP(A:A,Reviewed!B:C,2,0)</f>
        <v>#N/A</v>
      </c>
      <c r="F94" t="str">
        <f t="shared" si="4"/>
        <v/>
      </c>
    </row>
    <row r="95" spans="3:6" x14ac:dyDescent="0.35">
      <c r="C95" t="str">
        <f>IFERROR(ROUNDUP(VLOOKUP(F95,'30Days-Baseline'!C:D,2,FALSE),0),"NotExist")</f>
        <v>NotExist</v>
      </c>
      <c r="D95" t="str">
        <f t="shared" si="5"/>
        <v>New</v>
      </c>
      <c r="E95" t="e">
        <f>VLOOKUP(A:A,Reviewed!B:C,2,0)</f>
        <v>#N/A</v>
      </c>
      <c r="F95" t="str">
        <f t="shared" si="4"/>
        <v/>
      </c>
    </row>
    <row r="96" spans="3:6" x14ac:dyDescent="0.35">
      <c r="C96" t="str">
        <f>IFERROR(ROUNDUP(VLOOKUP(F96,'30Days-Baseline'!C:D,2,FALSE),0),"NotExist")</f>
        <v>NotExist</v>
      </c>
      <c r="D96" t="str">
        <f t="shared" si="5"/>
        <v>New</v>
      </c>
      <c r="E96" t="e">
        <f>VLOOKUP(A:A,Reviewed!B:C,2,0)</f>
        <v>#N/A</v>
      </c>
      <c r="F96" t="str">
        <f t="shared" si="4"/>
        <v/>
      </c>
    </row>
    <row r="97" spans="3:6" x14ac:dyDescent="0.35">
      <c r="C97" t="str">
        <f>IFERROR(ROUNDUP(VLOOKUP(F97,'30Days-Baseline'!C:D,2,FALSE),0),"NotExist")</f>
        <v>NotExist</v>
      </c>
      <c r="D97" t="str">
        <f t="shared" si="5"/>
        <v>New</v>
      </c>
      <c r="E97" t="e">
        <f>VLOOKUP(A:A,Reviewed!B:C,2,0)</f>
        <v>#N/A</v>
      </c>
      <c r="F97" t="str">
        <f t="shared" si="4"/>
        <v/>
      </c>
    </row>
    <row r="98" spans="3:6" x14ac:dyDescent="0.35">
      <c r="C98" t="str">
        <f>IFERROR(ROUNDUP(VLOOKUP(F98,'30Days-Baseline'!C:D,2,FALSE),0),"NotExist")</f>
        <v>NotExist</v>
      </c>
      <c r="D98" t="str">
        <f t="shared" si="5"/>
        <v>New</v>
      </c>
      <c r="E98" t="e">
        <f>VLOOKUP(A:A,Reviewed!B:C,2,0)</f>
        <v>#N/A</v>
      </c>
      <c r="F98" t="str">
        <f t="shared" ref="F98:F129" si="6">LEFT(A98,255)</f>
        <v/>
      </c>
    </row>
    <row r="99" spans="3:6" x14ac:dyDescent="0.35">
      <c r="C99" t="str">
        <f>IFERROR(ROUNDUP(VLOOKUP(F99,'30Days-Baseline'!C:D,2,FALSE),0),"NotExist")</f>
        <v>NotExist</v>
      </c>
      <c r="D99" t="str">
        <f t="shared" si="5"/>
        <v>New</v>
      </c>
      <c r="E99" t="e">
        <f>VLOOKUP(A:A,Reviewed!B:C,2,0)</f>
        <v>#N/A</v>
      </c>
      <c r="F99" t="str">
        <f t="shared" si="6"/>
        <v/>
      </c>
    </row>
    <row r="100" spans="3:6" x14ac:dyDescent="0.35">
      <c r="C100" t="str">
        <f>IFERROR(ROUNDUP(VLOOKUP(F100,'30Days-Baseline'!C:D,2,FALSE),0),"NotExist")</f>
        <v>NotExist</v>
      </c>
      <c r="D100" t="str">
        <f t="shared" si="5"/>
        <v>New</v>
      </c>
      <c r="E100" t="e">
        <f>VLOOKUP(A:A,Reviewed!B:C,2,0)</f>
        <v>#N/A</v>
      </c>
      <c r="F100" t="str">
        <f t="shared" si="6"/>
        <v/>
      </c>
    </row>
    <row r="101" spans="3:6" x14ac:dyDescent="0.35">
      <c r="C101" t="str">
        <f>IFERROR(ROUNDUP(VLOOKUP(F101,'30Days-Baseline'!C:D,2,FALSE),0),"NotExist")</f>
        <v>NotExist</v>
      </c>
      <c r="D101" t="str">
        <f t="shared" si="5"/>
        <v>New</v>
      </c>
      <c r="E101" t="e">
        <f>VLOOKUP(A:A,Reviewed!B:C,2,0)</f>
        <v>#N/A</v>
      </c>
      <c r="F101" t="str">
        <f t="shared" si="6"/>
        <v/>
      </c>
    </row>
    <row r="102" spans="3:6" x14ac:dyDescent="0.35">
      <c r="C102" t="str">
        <f>IFERROR(ROUNDUP(VLOOKUP(F102,'30Days-Baseline'!C:D,2,FALSE),0),"NotExist")</f>
        <v>NotExist</v>
      </c>
      <c r="D102" t="str">
        <f t="shared" si="5"/>
        <v>New</v>
      </c>
      <c r="E102" t="e">
        <f>VLOOKUP(A:A,Reviewed!B:C,2,0)</f>
        <v>#N/A</v>
      </c>
      <c r="F102" t="str">
        <f t="shared" si="6"/>
        <v/>
      </c>
    </row>
    <row r="103" spans="3:6" x14ac:dyDescent="0.35">
      <c r="C103" t="str">
        <f>IFERROR(ROUNDUP(VLOOKUP(F103,'30Days-Baseline'!C:D,2,FALSE),0),"NotExist")</f>
        <v>NotExist</v>
      </c>
      <c r="D103" t="str">
        <f t="shared" si="5"/>
        <v>New</v>
      </c>
      <c r="E103" t="e">
        <f>VLOOKUP(A:A,Reviewed!B:C,2,0)</f>
        <v>#N/A</v>
      </c>
      <c r="F103" t="str">
        <f t="shared" si="6"/>
        <v/>
      </c>
    </row>
    <row r="104" spans="3:6" x14ac:dyDescent="0.35">
      <c r="C104" t="str">
        <f>IFERROR(ROUNDUP(VLOOKUP(F104,'30Days-Baseline'!C:D,2,FALSE),0),"NotExist")</f>
        <v>NotExist</v>
      </c>
      <c r="D104" t="str">
        <f t="shared" si="5"/>
        <v>New</v>
      </c>
      <c r="E104" t="e">
        <f>VLOOKUP(A:A,Reviewed!B:C,2,0)</f>
        <v>#N/A</v>
      </c>
      <c r="F104" t="str">
        <f t="shared" si="6"/>
        <v/>
      </c>
    </row>
    <row r="105" spans="3:6" x14ac:dyDescent="0.35">
      <c r="C105" t="str">
        <f>IFERROR(ROUNDUP(VLOOKUP(F105,'30Days-Baseline'!C:D,2,FALSE),0),"NotExist")</f>
        <v>NotExist</v>
      </c>
      <c r="D105" t="str">
        <f t="shared" si="5"/>
        <v>New</v>
      </c>
      <c r="E105" t="e">
        <f>VLOOKUP(A:A,Reviewed!B:C,2,0)</f>
        <v>#N/A</v>
      </c>
      <c r="F105" t="str">
        <f t="shared" si="6"/>
        <v/>
      </c>
    </row>
    <row r="106" spans="3:6" x14ac:dyDescent="0.35">
      <c r="C106" t="str">
        <f>IFERROR(ROUNDUP(VLOOKUP(F106,'30Days-Baseline'!C:D,2,FALSE),0),"NotExist")</f>
        <v>NotExist</v>
      </c>
      <c r="D106" t="str">
        <f t="shared" si="5"/>
        <v>New</v>
      </c>
      <c r="E106" t="e">
        <f>VLOOKUP(A:A,Reviewed!B:C,2,0)</f>
        <v>#N/A</v>
      </c>
      <c r="F106" t="str">
        <f t="shared" si="6"/>
        <v/>
      </c>
    </row>
    <row r="107" spans="3:6" x14ac:dyDescent="0.35">
      <c r="C107" t="str">
        <f>IFERROR(ROUNDUP(VLOOKUP(F107,'30Days-Baseline'!C:D,2,FALSE),0),"NotExist")</f>
        <v>NotExist</v>
      </c>
      <c r="D107" t="str">
        <f t="shared" si="5"/>
        <v>New</v>
      </c>
      <c r="E107" t="e">
        <f>VLOOKUP(A:A,Reviewed!B:C,2,0)</f>
        <v>#N/A</v>
      </c>
      <c r="F107" t="str">
        <f t="shared" si="6"/>
        <v/>
      </c>
    </row>
    <row r="108" spans="3:6" x14ac:dyDescent="0.35">
      <c r="C108" t="str">
        <f>IFERROR(ROUNDUP(VLOOKUP(F108,'30Days-Baseline'!C:D,2,FALSE),0),"NotExist")</f>
        <v>NotExist</v>
      </c>
      <c r="D108" t="str">
        <f t="shared" si="5"/>
        <v>New</v>
      </c>
      <c r="E108" t="e">
        <f>VLOOKUP(A:A,Reviewed!B:C,2,0)</f>
        <v>#N/A</v>
      </c>
      <c r="F108" t="str">
        <f t="shared" si="6"/>
        <v/>
      </c>
    </row>
    <row r="109" spans="3:6" x14ac:dyDescent="0.35">
      <c r="C109" t="str">
        <f>IFERROR(ROUNDUP(VLOOKUP(F109,'30Days-Baseline'!C:D,2,FALSE),0),"NotExist")</f>
        <v>NotExist</v>
      </c>
      <c r="D109" t="str">
        <f t="shared" si="5"/>
        <v>New</v>
      </c>
      <c r="E109" t="e">
        <f>VLOOKUP(A:A,Reviewed!B:C,2,0)</f>
        <v>#N/A</v>
      </c>
      <c r="F109" t="str">
        <f t="shared" si="6"/>
        <v/>
      </c>
    </row>
    <row r="110" spans="3:6" x14ac:dyDescent="0.35">
      <c r="C110" t="str">
        <f>IFERROR(ROUNDUP(VLOOKUP(F110,'30Days-Baseline'!C:D,2,FALSE),0),"NotExist")</f>
        <v>NotExist</v>
      </c>
      <c r="D110" t="str">
        <f t="shared" si="5"/>
        <v>New</v>
      </c>
      <c r="E110" t="e">
        <f>VLOOKUP(A:A,Reviewed!B:C,2,0)</f>
        <v>#N/A</v>
      </c>
      <c r="F110" t="str">
        <f t="shared" si="6"/>
        <v/>
      </c>
    </row>
    <row r="111" spans="3:6" x14ac:dyDescent="0.35">
      <c r="C111" t="str">
        <f>IFERROR(ROUNDUP(VLOOKUP(F111,'30Days-Baseline'!C:D,2,FALSE),0),"NotExist")</f>
        <v>NotExist</v>
      </c>
      <c r="D111" t="str">
        <f t="shared" si="5"/>
        <v>New</v>
      </c>
      <c r="E111" t="e">
        <f>VLOOKUP(A:A,Reviewed!B:C,2,0)</f>
        <v>#N/A</v>
      </c>
      <c r="F111" t="str">
        <f t="shared" si="6"/>
        <v/>
      </c>
    </row>
    <row r="112" spans="3:6" x14ac:dyDescent="0.35">
      <c r="C112" t="str">
        <f>IFERROR(ROUNDUP(VLOOKUP(F112,'30Days-Baseline'!C:D,2,FALSE),0),"NotExist")</f>
        <v>NotExist</v>
      </c>
      <c r="D112" t="str">
        <f t="shared" si="5"/>
        <v>New</v>
      </c>
      <c r="E112" t="e">
        <f>VLOOKUP(A:A,Reviewed!B:C,2,0)</f>
        <v>#N/A</v>
      </c>
      <c r="F112" t="str">
        <f t="shared" si="6"/>
        <v/>
      </c>
    </row>
    <row r="113" spans="3:6" x14ac:dyDescent="0.35">
      <c r="C113" t="str">
        <f>IFERROR(ROUNDUP(VLOOKUP(F113,'30Days-Baseline'!C:D,2,FALSE),0),"NotExist")</f>
        <v>NotExist</v>
      </c>
      <c r="D113" t="str">
        <f t="shared" si="5"/>
        <v>New</v>
      </c>
      <c r="E113" t="e">
        <f>VLOOKUP(A:A,Reviewed!B:C,2,0)</f>
        <v>#N/A</v>
      </c>
      <c r="F113" t="str">
        <f t="shared" si="6"/>
        <v/>
      </c>
    </row>
    <row r="114" spans="3:6" x14ac:dyDescent="0.35">
      <c r="C114" t="str">
        <f>IFERROR(ROUNDUP(VLOOKUP(F114,'30Days-Baseline'!C:D,2,FALSE),0),"NotExist")</f>
        <v>NotExist</v>
      </c>
      <c r="D114" t="str">
        <f t="shared" si="5"/>
        <v>New</v>
      </c>
      <c r="E114" t="e">
        <f>VLOOKUP(A:A,Reviewed!B:C,2,0)</f>
        <v>#N/A</v>
      </c>
      <c r="F114" t="str">
        <f t="shared" si="6"/>
        <v/>
      </c>
    </row>
    <row r="115" spans="3:6" x14ac:dyDescent="0.35">
      <c r="C115" t="str">
        <f>IFERROR(ROUNDUP(VLOOKUP(F115,'30Days-Baseline'!C:D,2,FALSE),0),"NotExist")</f>
        <v>NotExist</v>
      </c>
      <c r="D115" t="str">
        <f t="shared" si="5"/>
        <v>New</v>
      </c>
      <c r="E115" t="e">
        <f>VLOOKUP(A:A,Reviewed!B:C,2,0)</f>
        <v>#N/A</v>
      </c>
      <c r="F115" t="str">
        <f t="shared" si="6"/>
        <v/>
      </c>
    </row>
    <row r="116" spans="3:6" x14ac:dyDescent="0.35">
      <c r="C116" t="str">
        <f>IFERROR(ROUNDUP(VLOOKUP(F116,'30Days-Baseline'!C:D,2,FALSE),0),"NotExist")</f>
        <v>NotExist</v>
      </c>
      <c r="D116" t="str">
        <f t="shared" si="5"/>
        <v>New</v>
      </c>
      <c r="E116" t="e">
        <f>VLOOKUP(A:A,Reviewed!B:C,2,0)</f>
        <v>#N/A</v>
      </c>
      <c r="F116" t="str">
        <f t="shared" si="6"/>
        <v/>
      </c>
    </row>
    <row r="117" spans="3:6" x14ac:dyDescent="0.35">
      <c r="C117" t="str">
        <f>IFERROR(ROUNDUP(VLOOKUP(F117,'30Days-Baseline'!C:D,2,FALSE),0),"NotExist")</f>
        <v>NotExist</v>
      </c>
      <c r="D117" t="str">
        <f t="shared" si="5"/>
        <v>New</v>
      </c>
      <c r="E117" t="e">
        <f>VLOOKUP(A:A,Reviewed!B:C,2,0)</f>
        <v>#N/A</v>
      </c>
      <c r="F117" t="str">
        <f t="shared" si="6"/>
        <v/>
      </c>
    </row>
    <row r="118" spans="3:6" x14ac:dyDescent="0.35">
      <c r="C118" t="str">
        <f>IFERROR(ROUNDUP(VLOOKUP(F118,'30Days-Baseline'!C:D,2,FALSE),0),"NotExist")</f>
        <v>NotExist</v>
      </c>
      <c r="D118" t="str">
        <f t="shared" si="5"/>
        <v>New</v>
      </c>
      <c r="E118" t="e">
        <f>VLOOKUP(A:A,Reviewed!B:C,2,0)</f>
        <v>#N/A</v>
      </c>
      <c r="F118" t="str">
        <f t="shared" si="6"/>
        <v/>
      </c>
    </row>
    <row r="119" spans="3:6" x14ac:dyDescent="0.35">
      <c r="C119" t="str">
        <f>IFERROR(ROUNDUP(VLOOKUP(F119,'30Days-Baseline'!C:D,2,FALSE),0),"NotExist")</f>
        <v>NotExist</v>
      </c>
      <c r="D119" t="str">
        <f t="shared" si="5"/>
        <v>New</v>
      </c>
      <c r="E119" t="e">
        <f>VLOOKUP(A:A,Reviewed!B:C,2,0)</f>
        <v>#N/A</v>
      </c>
      <c r="F119" t="str">
        <f t="shared" si="6"/>
        <v/>
      </c>
    </row>
    <row r="120" spans="3:6" x14ac:dyDescent="0.35">
      <c r="C120" t="str">
        <f>IFERROR(ROUNDUP(VLOOKUP(F120,'30Days-Baseline'!C:D,2,FALSE),0),"NotExist")</f>
        <v>NotExist</v>
      </c>
      <c r="D120" t="str">
        <f t="shared" si="5"/>
        <v>New</v>
      </c>
      <c r="E120" t="e">
        <f>VLOOKUP(A:A,Reviewed!B:C,2,0)</f>
        <v>#N/A</v>
      </c>
      <c r="F120" t="str">
        <f t="shared" si="6"/>
        <v/>
      </c>
    </row>
    <row r="121" spans="3:6" x14ac:dyDescent="0.35">
      <c r="C121" t="str">
        <f>IFERROR(ROUNDUP(VLOOKUP(F121,'30Days-Baseline'!C:D,2,FALSE),0),"NotExist")</f>
        <v>NotExist</v>
      </c>
      <c r="D121" t="str">
        <f t="shared" si="5"/>
        <v>New</v>
      </c>
      <c r="E121" t="e">
        <f>VLOOKUP(A:A,Reviewed!B:C,2,0)</f>
        <v>#N/A</v>
      </c>
      <c r="F121" t="str">
        <f t="shared" si="6"/>
        <v/>
      </c>
    </row>
    <row r="122" spans="3:6" x14ac:dyDescent="0.35">
      <c r="C122" t="str">
        <f>IFERROR(ROUNDUP(VLOOKUP(F122,'30Days-Baseline'!C:D,2,FALSE),0),"NotExist")</f>
        <v>NotExist</v>
      </c>
      <c r="D122" t="str">
        <f t="shared" si="5"/>
        <v>New</v>
      </c>
      <c r="E122" t="e">
        <f>VLOOKUP(A:A,Reviewed!B:C,2,0)</f>
        <v>#N/A</v>
      </c>
      <c r="F122" t="str">
        <f t="shared" si="6"/>
        <v/>
      </c>
    </row>
    <row r="123" spans="3:6" x14ac:dyDescent="0.35">
      <c r="C123" t="str">
        <f>IFERROR(ROUNDUP(VLOOKUP(F123,'30Days-Baseline'!C:D,2,FALSE),0),"NotExist")</f>
        <v>NotExist</v>
      </c>
      <c r="D123" t="str">
        <f t="shared" si="5"/>
        <v>New</v>
      </c>
      <c r="E123" t="e">
        <f>VLOOKUP(A:A,Reviewed!B:C,2,0)</f>
        <v>#N/A</v>
      </c>
      <c r="F123" t="str">
        <f t="shared" si="6"/>
        <v/>
      </c>
    </row>
    <row r="124" spans="3:6" x14ac:dyDescent="0.35">
      <c r="C124" t="str">
        <f>IFERROR(ROUNDUP(VLOOKUP(F124,'30Days-Baseline'!C:D,2,FALSE),0),"NotExist")</f>
        <v>NotExist</v>
      </c>
      <c r="D124" t="str">
        <f t="shared" si="5"/>
        <v>New</v>
      </c>
      <c r="E124" t="e">
        <f>VLOOKUP(A:A,Reviewed!B:C,2,0)</f>
        <v>#N/A</v>
      </c>
      <c r="F124" t="str">
        <f t="shared" si="6"/>
        <v/>
      </c>
    </row>
    <row r="125" spans="3:6" x14ac:dyDescent="0.35">
      <c r="C125" t="str">
        <f>IFERROR(ROUNDUP(VLOOKUP(F125,'30Days-Baseline'!C:D,2,FALSE),0),"NotExist")</f>
        <v>NotExist</v>
      </c>
      <c r="D125" t="str">
        <f t="shared" si="5"/>
        <v>New</v>
      </c>
      <c r="E125" t="e">
        <f>VLOOKUP(A:A,Reviewed!B:C,2,0)</f>
        <v>#N/A</v>
      </c>
      <c r="F125" t="str">
        <f t="shared" si="6"/>
        <v/>
      </c>
    </row>
    <row r="126" spans="3:6" x14ac:dyDescent="0.35">
      <c r="C126" t="str">
        <f>IFERROR(ROUNDUP(VLOOKUP(F126,'30Days-Baseline'!C:D,2,FALSE),0),"NotExist")</f>
        <v>NotExist</v>
      </c>
      <c r="D126" t="str">
        <f t="shared" si="5"/>
        <v>New</v>
      </c>
      <c r="E126" t="e">
        <f>VLOOKUP(A:A,Reviewed!B:C,2,0)</f>
        <v>#N/A</v>
      </c>
      <c r="F126" t="str">
        <f t="shared" si="6"/>
        <v/>
      </c>
    </row>
    <row r="127" spans="3:6" x14ac:dyDescent="0.35">
      <c r="C127" t="str">
        <f>IFERROR(ROUNDUP(VLOOKUP(F127,'30Days-Baseline'!C:D,2,FALSE),0),"NotExist")</f>
        <v>NotExist</v>
      </c>
      <c r="D127" t="str">
        <f t="shared" si="5"/>
        <v>New</v>
      </c>
      <c r="E127" t="e">
        <f>VLOOKUP(A:A,Reviewed!B:C,2,0)</f>
        <v>#N/A</v>
      </c>
      <c r="F127" t="str">
        <f t="shared" si="6"/>
        <v/>
      </c>
    </row>
    <row r="128" spans="3:6" x14ac:dyDescent="0.35">
      <c r="C128" t="str">
        <f>IFERROR(ROUNDUP(VLOOKUP(F128,'30Days-Baseline'!C:D,2,FALSE),0),"NotExist")</f>
        <v>NotExist</v>
      </c>
      <c r="D128" t="str">
        <f t="shared" si="5"/>
        <v>New</v>
      </c>
      <c r="E128" t="e">
        <f>VLOOKUP(A:A,Reviewed!B:C,2,0)</f>
        <v>#N/A</v>
      </c>
      <c r="F128" t="str">
        <f t="shared" si="6"/>
        <v/>
      </c>
    </row>
    <row r="129" spans="3:6" x14ac:dyDescent="0.35">
      <c r="C129" t="str">
        <f>IFERROR(ROUNDUP(VLOOKUP(F129,'30Days-Baseline'!C:D,2,FALSE),0),"NotExist")</f>
        <v>NotExist</v>
      </c>
      <c r="D129" t="str">
        <f t="shared" si="5"/>
        <v>New</v>
      </c>
      <c r="E129" t="e">
        <f>VLOOKUP(A:A,Reviewed!B:C,2,0)</f>
        <v>#N/A</v>
      </c>
      <c r="F129" t="str">
        <f t="shared" si="6"/>
        <v/>
      </c>
    </row>
    <row r="130" spans="3:6" x14ac:dyDescent="0.35">
      <c r="C130" t="str">
        <f>IFERROR(ROUNDUP(VLOOKUP(F130,'30Days-Baseline'!C:D,2,FALSE),0),"NotExist")</f>
        <v>NotExist</v>
      </c>
      <c r="D130" t="str">
        <f t="shared" si="5"/>
        <v>New</v>
      </c>
      <c r="E130" t="e">
        <f>VLOOKUP(A:A,Reviewed!B:C,2,0)</f>
        <v>#N/A</v>
      </c>
      <c r="F130" t="str">
        <f t="shared" ref="F130:F161" si="7">LEFT(A130,255)</f>
        <v/>
      </c>
    </row>
    <row r="131" spans="3:6" x14ac:dyDescent="0.35">
      <c r="C131" t="str">
        <f>IFERROR(ROUNDUP(VLOOKUP(F131,'30Days-Baseline'!C:D,2,FALSE),0),"NotExist")</f>
        <v>NotExist</v>
      </c>
      <c r="D131" t="str">
        <f t="shared" si="5"/>
        <v>New</v>
      </c>
      <c r="E131" t="e">
        <f>VLOOKUP(A:A,Reviewed!B:C,2,0)</f>
        <v>#N/A</v>
      </c>
      <c r="F131" t="str">
        <f t="shared" si="7"/>
        <v/>
      </c>
    </row>
    <row r="132" spans="3:6" x14ac:dyDescent="0.35">
      <c r="C132" t="str">
        <f>IFERROR(ROUNDUP(VLOOKUP(F132,'30Days-Baseline'!C:D,2,FALSE),0),"NotExist")</f>
        <v>NotExist</v>
      </c>
      <c r="D132" t="str">
        <f t="shared" si="5"/>
        <v>New</v>
      </c>
      <c r="E132" t="e">
        <f>VLOOKUP(A:A,Reviewed!B:C,2,0)</f>
        <v>#N/A</v>
      </c>
      <c r="F132" t="str">
        <f t="shared" si="7"/>
        <v/>
      </c>
    </row>
    <row r="133" spans="3:6" x14ac:dyDescent="0.35">
      <c r="C133" t="str">
        <f>IFERROR(ROUNDUP(VLOOKUP(F133,'30Days-Baseline'!C:D,2,FALSE),0),"NotExist")</f>
        <v>NotExist</v>
      </c>
      <c r="D133" t="str">
        <f t="shared" si="5"/>
        <v>New</v>
      </c>
      <c r="E133" t="e">
        <f>VLOOKUP(A:A,Reviewed!B:C,2,0)</f>
        <v>#N/A</v>
      </c>
      <c r="F133" t="str">
        <f t="shared" si="7"/>
        <v/>
      </c>
    </row>
    <row r="134" spans="3:6" x14ac:dyDescent="0.35">
      <c r="C134" t="str">
        <f>IFERROR(ROUNDUP(VLOOKUP(F134,'30Days-Baseline'!C:D,2,FALSE),0),"NotExist")</f>
        <v>NotExist</v>
      </c>
      <c r="D134" t="str">
        <f t="shared" si="5"/>
        <v>New</v>
      </c>
      <c r="E134" t="e">
        <f>VLOOKUP(A:A,Reviewed!B:C,2,0)</f>
        <v>#N/A</v>
      </c>
      <c r="F134" t="str">
        <f t="shared" si="7"/>
        <v/>
      </c>
    </row>
    <row r="135" spans="3:6" x14ac:dyDescent="0.35">
      <c r="C135" t="str">
        <f>IFERROR(ROUNDUP(VLOOKUP(F135,'30Days-Baseline'!C:D,2,FALSE),0),"NotExist")</f>
        <v>NotExist</v>
      </c>
      <c r="D135" t="str">
        <f t="shared" si="5"/>
        <v>New</v>
      </c>
      <c r="E135" t="e">
        <f>VLOOKUP(A:A,Reviewed!B:C,2,0)</f>
        <v>#N/A</v>
      </c>
      <c r="F135" t="str">
        <f t="shared" si="7"/>
        <v/>
      </c>
    </row>
    <row r="136" spans="3:6" x14ac:dyDescent="0.35">
      <c r="C136" t="str">
        <f>IFERROR(ROUNDUP(VLOOKUP(F136,'30Days-Baseline'!C:D,2,FALSE),0),"NotExist")</f>
        <v>NotExist</v>
      </c>
      <c r="D136" t="str">
        <f t="shared" si="5"/>
        <v>New</v>
      </c>
      <c r="E136" t="e">
        <f>VLOOKUP(A:A,Reviewed!B:C,2,0)</f>
        <v>#N/A</v>
      </c>
      <c r="F136" t="str">
        <f t="shared" si="7"/>
        <v/>
      </c>
    </row>
    <row r="137" spans="3:6" x14ac:dyDescent="0.35">
      <c r="C137" t="str">
        <f>IFERROR(ROUNDUP(VLOOKUP(F137,'30Days-Baseline'!C:D,2,FALSE),0),"NotExist")</f>
        <v>NotExist</v>
      </c>
      <c r="D137" t="str">
        <f t="shared" si="5"/>
        <v>New</v>
      </c>
      <c r="E137" t="e">
        <f>VLOOKUP(A:A,Reviewed!B:C,2,0)</f>
        <v>#N/A</v>
      </c>
      <c r="F137" t="str">
        <f t="shared" si="7"/>
        <v/>
      </c>
    </row>
    <row r="138" spans="3:6" x14ac:dyDescent="0.35">
      <c r="C138" t="str">
        <f>IFERROR(ROUNDUP(VLOOKUP(F138,'30Days-Baseline'!C:D,2,FALSE),0),"NotExist")</f>
        <v>NotExist</v>
      </c>
      <c r="D138" t="str">
        <f t="shared" si="5"/>
        <v>New</v>
      </c>
      <c r="E138" t="e">
        <f>VLOOKUP(A:A,Reviewed!B:C,2,0)</f>
        <v>#N/A</v>
      </c>
      <c r="F138" t="str">
        <f t="shared" si="7"/>
        <v/>
      </c>
    </row>
    <row r="139" spans="3:6" x14ac:dyDescent="0.35">
      <c r="C139" t="str">
        <f>IFERROR(ROUNDUP(VLOOKUP(F139,'30Days-Baseline'!C:D,2,FALSE),0),"NotExist")</f>
        <v>NotExist</v>
      </c>
      <c r="D139" t="str">
        <f t="shared" si="5"/>
        <v>New</v>
      </c>
      <c r="E139" t="e">
        <f>VLOOKUP(A:A,Reviewed!B:C,2,0)</f>
        <v>#N/A</v>
      </c>
      <c r="F139" t="str">
        <f t="shared" si="7"/>
        <v/>
      </c>
    </row>
    <row r="140" spans="3:6" x14ac:dyDescent="0.35">
      <c r="C140" t="str">
        <f>IFERROR(ROUNDUP(VLOOKUP(F140,'30Days-Baseline'!C:D,2,FALSE),0),"NotExist")</f>
        <v>NotExist</v>
      </c>
      <c r="D140" t="str">
        <f t="shared" si="5"/>
        <v>New</v>
      </c>
      <c r="E140" t="e">
        <f>VLOOKUP(A:A,Reviewed!B:C,2,0)</f>
        <v>#N/A</v>
      </c>
      <c r="F140" t="str">
        <f t="shared" si="7"/>
        <v/>
      </c>
    </row>
    <row r="141" spans="3:6" x14ac:dyDescent="0.35">
      <c r="C141" t="str">
        <f>IFERROR(ROUNDUP(VLOOKUP(F141,'30Days-Baseline'!C:D,2,FALSE),0),"NotExist")</f>
        <v>NotExist</v>
      </c>
      <c r="D141" t="str">
        <f t="shared" si="5"/>
        <v>New</v>
      </c>
      <c r="E141" t="e">
        <f>VLOOKUP(A:A,Reviewed!B:C,2,0)</f>
        <v>#N/A</v>
      </c>
      <c r="F141" t="str">
        <f t="shared" si="7"/>
        <v/>
      </c>
    </row>
    <row r="142" spans="3:6" x14ac:dyDescent="0.35">
      <c r="C142" t="str">
        <f>IFERROR(ROUNDUP(VLOOKUP(F142,'30Days-Baseline'!C:D,2,FALSE),0),"NotExist")</f>
        <v>NotExist</v>
      </c>
      <c r="D142" t="str">
        <f t="shared" ref="D142:D205" si="8">IFERROR(IF(B142&gt;ROUNDUP(C142,0),"Elevated","Ok"),"New")</f>
        <v>New</v>
      </c>
      <c r="E142" t="e">
        <f>VLOOKUP(A:A,Reviewed!B:C,2,0)</f>
        <v>#N/A</v>
      </c>
      <c r="F142" t="str">
        <f t="shared" si="7"/>
        <v/>
      </c>
    </row>
    <row r="143" spans="3:6" x14ac:dyDescent="0.35">
      <c r="C143" t="str">
        <f>IFERROR(ROUNDUP(VLOOKUP(F143,'30Days-Baseline'!C:D,2,FALSE),0),"NotExist")</f>
        <v>NotExist</v>
      </c>
      <c r="D143" t="str">
        <f t="shared" si="8"/>
        <v>New</v>
      </c>
      <c r="E143" t="e">
        <f>VLOOKUP(A:A,Reviewed!B:C,2,0)</f>
        <v>#N/A</v>
      </c>
      <c r="F143" t="str">
        <f t="shared" si="7"/>
        <v/>
      </c>
    </row>
    <row r="144" spans="3:6" x14ac:dyDescent="0.35">
      <c r="C144" t="str">
        <f>IFERROR(ROUNDUP(VLOOKUP(F144,'30Days-Baseline'!C:D,2,FALSE),0),"NotExist")</f>
        <v>NotExist</v>
      </c>
      <c r="D144" t="str">
        <f t="shared" si="8"/>
        <v>New</v>
      </c>
      <c r="E144" t="e">
        <f>VLOOKUP(A:A,Reviewed!B:C,2,0)</f>
        <v>#N/A</v>
      </c>
      <c r="F144" t="str">
        <f t="shared" si="7"/>
        <v/>
      </c>
    </row>
    <row r="145" spans="3:6" x14ac:dyDescent="0.35">
      <c r="C145" t="str">
        <f>IFERROR(ROUNDUP(VLOOKUP(F145,'30Days-Baseline'!C:D,2,FALSE),0),"NotExist")</f>
        <v>NotExist</v>
      </c>
      <c r="D145" t="str">
        <f t="shared" si="8"/>
        <v>New</v>
      </c>
      <c r="E145" t="e">
        <f>VLOOKUP(A:A,Reviewed!B:C,2,0)</f>
        <v>#N/A</v>
      </c>
      <c r="F145" t="str">
        <f t="shared" si="7"/>
        <v/>
      </c>
    </row>
    <row r="146" spans="3:6" x14ac:dyDescent="0.35">
      <c r="C146" t="str">
        <f>IFERROR(ROUNDUP(VLOOKUP(F146,'30Days-Baseline'!C:D,2,FALSE),0),"NotExist")</f>
        <v>NotExist</v>
      </c>
      <c r="D146" t="str">
        <f t="shared" si="8"/>
        <v>New</v>
      </c>
      <c r="E146" t="e">
        <f>VLOOKUP(A:A,Reviewed!B:C,2,0)</f>
        <v>#N/A</v>
      </c>
      <c r="F146" t="str">
        <f t="shared" si="7"/>
        <v/>
      </c>
    </row>
    <row r="147" spans="3:6" x14ac:dyDescent="0.35">
      <c r="C147" t="str">
        <f>IFERROR(ROUNDUP(VLOOKUP(F147,'30Days-Baseline'!C:D,2,FALSE),0),"NotExist")</f>
        <v>NotExist</v>
      </c>
      <c r="D147" t="str">
        <f t="shared" si="8"/>
        <v>New</v>
      </c>
      <c r="E147" t="e">
        <f>VLOOKUP(A:A,Reviewed!B:C,2,0)</f>
        <v>#N/A</v>
      </c>
      <c r="F147" t="str">
        <f t="shared" si="7"/>
        <v/>
      </c>
    </row>
    <row r="148" spans="3:6" x14ac:dyDescent="0.35">
      <c r="C148" t="str">
        <f>IFERROR(ROUNDUP(VLOOKUP(F148,'30Days-Baseline'!C:D,2,FALSE),0),"NotExist")</f>
        <v>NotExist</v>
      </c>
      <c r="D148" t="str">
        <f t="shared" si="8"/>
        <v>New</v>
      </c>
      <c r="E148" t="e">
        <f>VLOOKUP(A:A,Reviewed!B:C,2,0)</f>
        <v>#N/A</v>
      </c>
      <c r="F148" t="str">
        <f t="shared" si="7"/>
        <v/>
      </c>
    </row>
    <row r="149" spans="3:6" x14ac:dyDescent="0.35">
      <c r="C149" t="str">
        <f>IFERROR(ROUNDUP(VLOOKUP(F149,'30Days-Baseline'!C:D,2,FALSE),0),"NotExist")</f>
        <v>NotExist</v>
      </c>
      <c r="D149" t="str">
        <f t="shared" si="8"/>
        <v>New</v>
      </c>
      <c r="E149" t="e">
        <f>VLOOKUP(A:A,Reviewed!B:C,2,0)</f>
        <v>#N/A</v>
      </c>
      <c r="F149" t="str">
        <f t="shared" si="7"/>
        <v/>
      </c>
    </row>
    <row r="150" spans="3:6" x14ac:dyDescent="0.35">
      <c r="C150" t="str">
        <f>IFERROR(ROUNDUP(VLOOKUP(F150,'30Days-Baseline'!C:D,2,FALSE),0),"NotExist")</f>
        <v>NotExist</v>
      </c>
      <c r="D150" t="str">
        <f t="shared" si="8"/>
        <v>New</v>
      </c>
      <c r="E150" t="e">
        <f>VLOOKUP(A:A,Reviewed!B:C,2,0)</f>
        <v>#N/A</v>
      </c>
      <c r="F150" t="str">
        <f t="shared" si="7"/>
        <v/>
      </c>
    </row>
    <row r="151" spans="3:6" x14ac:dyDescent="0.35">
      <c r="C151" t="str">
        <f>IFERROR(ROUNDUP(VLOOKUP(F151,'30Days-Baseline'!C:D,2,FALSE),0),"NotExist")</f>
        <v>NotExist</v>
      </c>
      <c r="D151" t="str">
        <f t="shared" si="8"/>
        <v>New</v>
      </c>
      <c r="E151" t="e">
        <f>VLOOKUP(A:A,Reviewed!B:C,2,0)</f>
        <v>#N/A</v>
      </c>
      <c r="F151" t="str">
        <f t="shared" si="7"/>
        <v/>
      </c>
    </row>
    <row r="152" spans="3:6" x14ac:dyDescent="0.35">
      <c r="C152" t="str">
        <f>IFERROR(ROUNDUP(VLOOKUP(F152,'30Days-Baseline'!C:D,2,FALSE),0),"NotExist")</f>
        <v>NotExist</v>
      </c>
      <c r="D152" t="str">
        <f t="shared" si="8"/>
        <v>New</v>
      </c>
      <c r="E152" t="e">
        <f>VLOOKUP(A:A,Reviewed!B:C,2,0)</f>
        <v>#N/A</v>
      </c>
      <c r="F152" t="str">
        <f t="shared" si="7"/>
        <v/>
      </c>
    </row>
    <row r="153" spans="3:6" x14ac:dyDescent="0.35">
      <c r="C153" t="str">
        <f>IFERROR(ROUNDUP(VLOOKUP(F153,'30Days-Baseline'!C:D,2,FALSE),0),"NotExist")</f>
        <v>NotExist</v>
      </c>
      <c r="D153" t="str">
        <f t="shared" si="8"/>
        <v>New</v>
      </c>
      <c r="E153" t="e">
        <f>VLOOKUP(A:A,Reviewed!B:C,2,0)</f>
        <v>#N/A</v>
      </c>
      <c r="F153" t="str">
        <f t="shared" si="7"/>
        <v/>
      </c>
    </row>
    <row r="154" spans="3:6" x14ac:dyDescent="0.35">
      <c r="C154" t="str">
        <f>IFERROR(ROUNDUP(VLOOKUP(F154,'30Days-Baseline'!C:D,2,FALSE),0),"NotExist")</f>
        <v>NotExist</v>
      </c>
      <c r="D154" t="str">
        <f t="shared" si="8"/>
        <v>New</v>
      </c>
      <c r="E154" t="e">
        <f>VLOOKUP(A:A,Reviewed!B:C,2,0)</f>
        <v>#N/A</v>
      </c>
      <c r="F154" t="str">
        <f t="shared" si="7"/>
        <v/>
      </c>
    </row>
    <row r="155" spans="3:6" x14ac:dyDescent="0.35">
      <c r="C155" t="str">
        <f>IFERROR(ROUNDUP(VLOOKUP(F155,'30Days-Baseline'!C:D,2,FALSE),0),"NotExist")</f>
        <v>NotExist</v>
      </c>
      <c r="D155" t="str">
        <f t="shared" si="8"/>
        <v>New</v>
      </c>
      <c r="E155" t="e">
        <f>VLOOKUP(A:A,Reviewed!B:C,2,0)</f>
        <v>#N/A</v>
      </c>
      <c r="F155" t="str">
        <f t="shared" si="7"/>
        <v/>
      </c>
    </row>
    <row r="156" spans="3:6" x14ac:dyDescent="0.35">
      <c r="C156" t="str">
        <f>IFERROR(ROUNDUP(VLOOKUP(F156,'30Days-Baseline'!C:D,2,FALSE),0),"NotExist")</f>
        <v>NotExist</v>
      </c>
      <c r="D156" t="str">
        <f t="shared" si="8"/>
        <v>New</v>
      </c>
      <c r="E156" t="e">
        <f>VLOOKUP(A:A,Reviewed!B:C,2,0)</f>
        <v>#N/A</v>
      </c>
      <c r="F156" t="str">
        <f t="shared" si="7"/>
        <v/>
      </c>
    </row>
    <row r="157" spans="3:6" x14ac:dyDescent="0.35">
      <c r="C157" t="str">
        <f>IFERROR(ROUNDUP(VLOOKUP(F157,'30Days-Baseline'!C:D,2,FALSE),0),"NotExist")</f>
        <v>NotExist</v>
      </c>
      <c r="D157" t="str">
        <f t="shared" si="8"/>
        <v>New</v>
      </c>
      <c r="E157" t="e">
        <f>VLOOKUP(A:A,Reviewed!B:C,2,0)</f>
        <v>#N/A</v>
      </c>
      <c r="F157" t="str">
        <f t="shared" si="7"/>
        <v/>
      </c>
    </row>
    <row r="158" spans="3:6" x14ac:dyDescent="0.35">
      <c r="C158" t="str">
        <f>IFERROR(ROUNDUP(VLOOKUP(F158,'30Days-Baseline'!C:D,2,FALSE),0),"NotExist")</f>
        <v>NotExist</v>
      </c>
      <c r="D158" t="str">
        <f t="shared" si="8"/>
        <v>New</v>
      </c>
      <c r="E158" t="e">
        <f>VLOOKUP(A:A,Reviewed!B:C,2,0)</f>
        <v>#N/A</v>
      </c>
      <c r="F158" t="str">
        <f t="shared" si="7"/>
        <v/>
      </c>
    </row>
    <row r="159" spans="3:6" x14ac:dyDescent="0.35">
      <c r="C159" t="str">
        <f>IFERROR(ROUNDUP(VLOOKUP(F159,'30Days-Baseline'!C:D,2,FALSE),0),"NotExist")</f>
        <v>NotExist</v>
      </c>
      <c r="D159" t="str">
        <f t="shared" si="8"/>
        <v>New</v>
      </c>
      <c r="E159" t="e">
        <f>VLOOKUP(A:A,Reviewed!B:C,2,0)</f>
        <v>#N/A</v>
      </c>
      <c r="F159" t="str">
        <f t="shared" si="7"/>
        <v/>
      </c>
    </row>
    <row r="160" spans="3:6" x14ac:dyDescent="0.35">
      <c r="C160" t="str">
        <f>IFERROR(ROUNDUP(VLOOKUP(F160,'30Days-Baseline'!C:D,2,FALSE),0),"NotExist")</f>
        <v>NotExist</v>
      </c>
      <c r="D160" t="str">
        <f t="shared" si="8"/>
        <v>New</v>
      </c>
      <c r="E160" t="e">
        <f>VLOOKUP(A:A,Reviewed!B:C,2,0)</f>
        <v>#N/A</v>
      </c>
      <c r="F160" t="str">
        <f t="shared" si="7"/>
        <v/>
      </c>
    </row>
    <row r="161" spans="3:6" x14ac:dyDescent="0.35">
      <c r="C161" t="str">
        <f>IFERROR(ROUNDUP(VLOOKUP(F161,'30Days-Baseline'!C:D,2,FALSE),0),"NotExist")</f>
        <v>NotExist</v>
      </c>
      <c r="D161" t="str">
        <f t="shared" si="8"/>
        <v>New</v>
      </c>
      <c r="E161" t="e">
        <f>VLOOKUP(A:A,Reviewed!B:C,2,0)</f>
        <v>#N/A</v>
      </c>
      <c r="F161" t="str">
        <f t="shared" si="7"/>
        <v/>
      </c>
    </row>
    <row r="162" spans="3:6" x14ac:dyDescent="0.35">
      <c r="C162" t="str">
        <f>IFERROR(ROUNDUP(VLOOKUP(F162,'30Days-Baseline'!C:D,2,FALSE),0),"NotExist")</f>
        <v>NotExist</v>
      </c>
      <c r="D162" t="str">
        <f t="shared" si="8"/>
        <v>New</v>
      </c>
      <c r="E162" t="e">
        <f>VLOOKUP(A:A,Reviewed!B:C,2,0)</f>
        <v>#N/A</v>
      </c>
      <c r="F162" t="str">
        <f t="shared" ref="F162:F181" si="9">LEFT(A162,255)</f>
        <v/>
      </c>
    </row>
    <row r="163" spans="3:6" x14ac:dyDescent="0.35">
      <c r="C163" t="str">
        <f>IFERROR(ROUNDUP(VLOOKUP(F163,'30Days-Baseline'!C:D,2,FALSE),0),"NotExist")</f>
        <v>NotExist</v>
      </c>
      <c r="D163" t="str">
        <f t="shared" si="8"/>
        <v>New</v>
      </c>
      <c r="E163" t="e">
        <f>VLOOKUP(A:A,Reviewed!B:C,2,0)</f>
        <v>#N/A</v>
      </c>
      <c r="F163" t="str">
        <f t="shared" si="9"/>
        <v/>
      </c>
    </row>
    <row r="164" spans="3:6" x14ac:dyDescent="0.35">
      <c r="C164" t="str">
        <f>IFERROR(ROUNDUP(VLOOKUP(F164,'30Days-Baseline'!C:D,2,FALSE),0),"NotExist")</f>
        <v>NotExist</v>
      </c>
      <c r="D164" t="str">
        <f t="shared" si="8"/>
        <v>New</v>
      </c>
      <c r="E164" t="e">
        <f>VLOOKUP(A:A,Reviewed!B:C,2,0)</f>
        <v>#N/A</v>
      </c>
      <c r="F164" t="str">
        <f t="shared" si="9"/>
        <v/>
      </c>
    </row>
    <row r="165" spans="3:6" x14ac:dyDescent="0.35">
      <c r="C165" t="str">
        <f>IFERROR(ROUNDUP(VLOOKUP(F165,'30Days-Baseline'!C:D,2,FALSE),0),"NotExist")</f>
        <v>NotExist</v>
      </c>
      <c r="D165" t="str">
        <f t="shared" si="8"/>
        <v>New</v>
      </c>
      <c r="E165" t="e">
        <f>VLOOKUP(A:A,Reviewed!B:C,2,0)</f>
        <v>#N/A</v>
      </c>
      <c r="F165" t="str">
        <f t="shared" si="9"/>
        <v/>
      </c>
    </row>
    <row r="166" spans="3:6" x14ac:dyDescent="0.35">
      <c r="C166" t="str">
        <f>IFERROR(ROUNDUP(VLOOKUP(F166,'30Days-Baseline'!C:D,2,FALSE),0),"NotExist")</f>
        <v>NotExist</v>
      </c>
      <c r="D166" t="str">
        <f t="shared" si="8"/>
        <v>New</v>
      </c>
      <c r="E166" t="e">
        <f>VLOOKUP(A:A,Reviewed!B:C,2,0)</f>
        <v>#N/A</v>
      </c>
      <c r="F166" t="str">
        <f t="shared" si="9"/>
        <v/>
      </c>
    </row>
    <row r="167" spans="3:6" x14ac:dyDescent="0.35">
      <c r="C167" t="str">
        <f>IFERROR(ROUNDUP(VLOOKUP(F167,'30Days-Baseline'!C:D,2,FALSE),0),"NotExist")</f>
        <v>NotExist</v>
      </c>
      <c r="D167" t="str">
        <f t="shared" si="8"/>
        <v>New</v>
      </c>
      <c r="E167" t="e">
        <f>VLOOKUP(A:A,Reviewed!B:C,2,0)</f>
        <v>#N/A</v>
      </c>
      <c r="F167" t="str">
        <f t="shared" si="9"/>
        <v/>
      </c>
    </row>
    <row r="168" spans="3:6" x14ac:dyDescent="0.35">
      <c r="C168" t="str">
        <f>IFERROR(ROUNDUP(VLOOKUP(F168,'30Days-Baseline'!C:D,2,FALSE),0),"NotExist")</f>
        <v>NotExist</v>
      </c>
      <c r="D168" t="str">
        <f t="shared" si="8"/>
        <v>New</v>
      </c>
      <c r="E168" t="e">
        <f>VLOOKUP(A:A,Reviewed!B:C,2,0)</f>
        <v>#N/A</v>
      </c>
      <c r="F168" t="str">
        <f t="shared" si="9"/>
        <v/>
      </c>
    </row>
    <row r="169" spans="3:6" x14ac:dyDescent="0.35">
      <c r="C169" t="str">
        <f>IFERROR(ROUNDUP(VLOOKUP(F169,'30Days-Baseline'!C:D,2,FALSE),0),"NotExist")</f>
        <v>NotExist</v>
      </c>
      <c r="D169" t="str">
        <f t="shared" si="8"/>
        <v>New</v>
      </c>
      <c r="E169" t="e">
        <f>VLOOKUP(A:A,Reviewed!B:C,2,0)</f>
        <v>#N/A</v>
      </c>
      <c r="F169" t="str">
        <f t="shared" si="9"/>
        <v/>
      </c>
    </row>
    <row r="170" spans="3:6" x14ac:dyDescent="0.35">
      <c r="C170" t="str">
        <f>IFERROR(ROUNDUP(VLOOKUP(F170,'30Days-Baseline'!C:D,2,FALSE),0),"NotExist")</f>
        <v>NotExist</v>
      </c>
      <c r="D170" t="str">
        <f t="shared" si="8"/>
        <v>New</v>
      </c>
      <c r="E170" t="e">
        <f>VLOOKUP(A:A,Reviewed!B:C,2,0)</f>
        <v>#N/A</v>
      </c>
      <c r="F170" t="str">
        <f t="shared" si="9"/>
        <v/>
      </c>
    </row>
    <row r="171" spans="3:6" x14ac:dyDescent="0.35">
      <c r="C171" t="str">
        <f>IFERROR(ROUNDUP(VLOOKUP(F171,'30Days-Baseline'!C:D,2,FALSE),0),"NotExist")</f>
        <v>NotExist</v>
      </c>
      <c r="D171" t="str">
        <f t="shared" si="8"/>
        <v>New</v>
      </c>
      <c r="E171" t="e">
        <f>VLOOKUP(A:A,Reviewed!B:C,2,0)</f>
        <v>#N/A</v>
      </c>
      <c r="F171" t="str">
        <f t="shared" si="9"/>
        <v/>
      </c>
    </row>
    <row r="172" spans="3:6" x14ac:dyDescent="0.35">
      <c r="C172" t="str">
        <f>IFERROR(ROUNDUP(VLOOKUP(F172,'30Days-Baseline'!C:D,2,FALSE),0),"NotExist")</f>
        <v>NotExist</v>
      </c>
      <c r="D172" t="str">
        <f t="shared" si="8"/>
        <v>New</v>
      </c>
      <c r="E172" t="e">
        <f>VLOOKUP(A:A,Reviewed!B:C,2,0)</f>
        <v>#N/A</v>
      </c>
      <c r="F172" t="str">
        <f t="shared" si="9"/>
        <v/>
      </c>
    </row>
    <row r="173" spans="3:6" x14ac:dyDescent="0.35">
      <c r="C173" t="str">
        <f>IFERROR(ROUNDUP(VLOOKUP(F173,'30Days-Baseline'!C:D,2,FALSE),0),"NotExist")</f>
        <v>NotExist</v>
      </c>
      <c r="D173" t="str">
        <f t="shared" si="8"/>
        <v>New</v>
      </c>
      <c r="E173" t="e">
        <f>VLOOKUP(A:A,Reviewed!B:C,2,0)</f>
        <v>#N/A</v>
      </c>
      <c r="F173" t="str">
        <f t="shared" si="9"/>
        <v/>
      </c>
    </row>
    <row r="174" spans="3:6" x14ac:dyDescent="0.35">
      <c r="C174" t="str">
        <f>IFERROR(ROUNDUP(VLOOKUP(F174,'30Days-Baseline'!C:D,2,FALSE),0),"NotExist")</f>
        <v>NotExist</v>
      </c>
      <c r="D174" t="str">
        <f t="shared" si="8"/>
        <v>New</v>
      </c>
      <c r="E174" t="e">
        <f>VLOOKUP(A:A,Reviewed!B:C,2,0)</f>
        <v>#N/A</v>
      </c>
      <c r="F174" t="str">
        <f t="shared" si="9"/>
        <v/>
      </c>
    </row>
    <row r="175" spans="3:6" x14ac:dyDescent="0.35">
      <c r="C175" t="str">
        <f>IFERROR(ROUNDUP(VLOOKUP(F175,'30Days-Baseline'!C:D,2,FALSE),0),"NotExist")</f>
        <v>NotExist</v>
      </c>
      <c r="D175" t="str">
        <f t="shared" si="8"/>
        <v>New</v>
      </c>
      <c r="E175" t="e">
        <f>VLOOKUP(A:A,Reviewed!B:C,2,0)</f>
        <v>#N/A</v>
      </c>
      <c r="F175" t="str">
        <f t="shared" si="9"/>
        <v/>
      </c>
    </row>
    <row r="176" spans="3:6" x14ac:dyDescent="0.35">
      <c r="C176" t="str">
        <f>IFERROR(ROUNDUP(VLOOKUP(F176,'30Days-Baseline'!C:D,2,FALSE),0),"NotExist")</f>
        <v>NotExist</v>
      </c>
      <c r="D176" t="str">
        <f t="shared" si="8"/>
        <v>New</v>
      </c>
      <c r="E176" t="e">
        <f>VLOOKUP(A:A,Reviewed!B:C,2,0)</f>
        <v>#N/A</v>
      </c>
      <c r="F176" t="str">
        <f t="shared" si="9"/>
        <v/>
      </c>
    </row>
    <row r="177" spans="3:6" x14ac:dyDescent="0.35">
      <c r="C177" t="str">
        <f>IFERROR(ROUNDUP(VLOOKUP(F177,'30Days-Baseline'!C:D,2,FALSE),0),"NotExist")</f>
        <v>NotExist</v>
      </c>
      <c r="D177" t="str">
        <f t="shared" si="8"/>
        <v>New</v>
      </c>
      <c r="E177" t="e">
        <f>VLOOKUP(A:A,Reviewed!B:C,2,0)</f>
        <v>#N/A</v>
      </c>
      <c r="F177" t="str">
        <f t="shared" si="9"/>
        <v/>
      </c>
    </row>
    <row r="178" spans="3:6" x14ac:dyDescent="0.35">
      <c r="C178" t="str">
        <f>IFERROR(ROUNDUP(VLOOKUP(F178,'30Days-Baseline'!C:D,2,FALSE),0),"NotExist")</f>
        <v>NotExist</v>
      </c>
      <c r="D178" t="str">
        <f t="shared" si="8"/>
        <v>New</v>
      </c>
      <c r="E178" t="e">
        <f>VLOOKUP(A:A,Reviewed!B:C,2,0)</f>
        <v>#N/A</v>
      </c>
      <c r="F178" t="str">
        <f t="shared" si="9"/>
        <v/>
      </c>
    </row>
    <row r="179" spans="3:6" x14ac:dyDescent="0.35">
      <c r="C179" t="str">
        <f>IFERROR(ROUNDUP(VLOOKUP(F179,'30Days-Baseline'!C:D,2,FALSE),0),"NotExist")</f>
        <v>NotExist</v>
      </c>
      <c r="D179" t="str">
        <f t="shared" si="8"/>
        <v>New</v>
      </c>
      <c r="E179" t="e">
        <f>VLOOKUP(A:A,Reviewed!B:C,2,0)</f>
        <v>#N/A</v>
      </c>
      <c r="F179" t="str">
        <f t="shared" si="9"/>
        <v/>
      </c>
    </row>
    <row r="180" spans="3:6" x14ac:dyDescent="0.35">
      <c r="C180" t="str">
        <f>IFERROR(ROUNDUP(VLOOKUP(F180,'30Days-Baseline'!C:D,2,FALSE),0),"NotExist")</f>
        <v>NotExist</v>
      </c>
      <c r="D180" t="str">
        <f t="shared" si="8"/>
        <v>New</v>
      </c>
      <c r="E180" t="e">
        <f>VLOOKUP(A:A,Reviewed!B:C,2,0)</f>
        <v>#N/A</v>
      </c>
      <c r="F180" t="str">
        <f t="shared" si="9"/>
        <v/>
      </c>
    </row>
    <row r="181" spans="3:6" x14ac:dyDescent="0.35">
      <c r="C181" t="str">
        <f>IFERROR(ROUNDUP(VLOOKUP(F181,'30Days-Baseline'!C:D,2,FALSE),0),"NotExist")</f>
        <v>NotExist</v>
      </c>
      <c r="D181" t="str">
        <f t="shared" si="8"/>
        <v>New</v>
      </c>
      <c r="E181" t="e">
        <f>VLOOKUP(A:A,Reviewed!B:C,2,0)</f>
        <v>#N/A</v>
      </c>
      <c r="F181" t="str">
        <f t="shared" si="9"/>
        <v/>
      </c>
    </row>
    <row r="182" spans="3:6" x14ac:dyDescent="0.35">
      <c r="C182" t="str">
        <f>IFERROR(ROUNDUP(VLOOKUP(F182,'30Days-Baseline'!C:D,2,FALSE),0),"NotExist")</f>
        <v>NotExist</v>
      </c>
      <c r="D182" t="str">
        <f t="shared" si="8"/>
        <v>New</v>
      </c>
      <c r="E182" t="e">
        <f>VLOOKUP(A:A,Reviewed!B:C,2,0)</f>
        <v>#N/A</v>
      </c>
    </row>
    <row r="183" spans="3:6" x14ac:dyDescent="0.35">
      <c r="C183" t="str">
        <f>IFERROR(ROUNDUP(VLOOKUP(F183,'30Days-Baseline'!C:D,2,FALSE),0),"NotExist")</f>
        <v>NotExist</v>
      </c>
      <c r="D183" t="str">
        <f t="shared" si="8"/>
        <v>New</v>
      </c>
      <c r="E183" t="e">
        <f>VLOOKUP(A:A,Reviewed!B:C,2,0)</f>
        <v>#N/A</v>
      </c>
    </row>
    <row r="184" spans="3:6" x14ac:dyDescent="0.35">
      <c r="C184" t="str">
        <f>IFERROR(ROUNDUP(VLOOKUP(F184,'30Days-Baseline'!C:D,2,FALSE),0),"NotExist")</f>
        <v>NotExist</v>
      </c>
      <c r="D184" t="str">
        <f t="shared" si="8"/>
        <v>New</v>
      </c>
      <c r="E184" t="e">
        <f>VLOOKUP(A:A,Reviewed!B:C,2,0)</f>
        <v>#N/A</v>
      </c>
    </row>
    <row r="185" spans="3:6" x14ac:dyDescent="0.35">
      <c r="C185" t="str">
        <f>IFERROR(ROUNDUP(VLOOKUP(F185,'30Days-Baseline'!C:D,2,FALSE),0),"NotExist")</f>
        <v>NotExist</v>
      </c>
      <c r="D185" t="str">
        <f t="shared" si="8"/>
        <v>New</v>
      </c>
      <c r="E185" t="e">
        <f>VLOOKUP(A:A,Reviewed!B:C,2,0)</f>
        <v>#N/A</v>
      </c>
    </row>
    <row r="186" spans="3:6" x14ac:dyDescent="0.35">
      <c r="C186" t="str">
        <f>IFERROR(ROUNDUP(VLOOKUP(F186,'30Days-Baseline'!C:D,2,FALSE),0),"NotExist")</f>
        <v>NotExist</v>
      </c>
      <c r="D186" t="str">
        <f t="shared" si="8"/>
        <v>New</v>
      </c>
      <c r="E186" t="e">
        <f>VLOOKUP(A:A,Reviewed!B:C,2,0)</f>
        <v>#N/A</v>
      </c>
      <c r="F186" t="str">
        <f t="shared" ref="F186:F217" si="10">LEFT(A186,255)</f>
        <v/>
      </c>
    </row>
    <row r="187" spans="3:6" x14ac:dyDescent="0.35">
      <c r="C187" t="str">
        <f>IFERROR(ROUNDUP(VLOOKUP(F187,'30Days-Baseline'!C:D,2,FALSE),0),"NotExist")</f>
        <v>NotExist</v>
      </c>
      <c r="D187" t="str">
        <f t="shared" si="8"/>
        <v>New</v>
      </c>
      <c r="E187" t="e">
        <f>VLOOKUP(A:A,Reviewed!B:C,2,0)</f>
        <v>#N/A</v>
      </c>
      <c r="F187" t="str">
        <f t="shared" si="10"/>
        <v/>
      </c>
    </row>
    <row r="188" spans="3:6" x14ac:dyDescent="0.35">
      <c r="C188" t="str">
        <f>IFERROR(ROUNDUP(VLOOKUP(F188,'30Days-Baseline'!C:D,2,FALSE),0),"NotExist")</f>
        <v>NotExist</v>
      </c>
      <c r="D188" t="str">
        <f t="shared" si="8"/>
        <v>New</v>
      </c>
      <c r="E188" t="e">
        <f>VLOOKUP(A:A,Reviewed!B:C,2,0)</f>
        <v>#N/A</v>
      </c>
      <c r="F188" t="str">
        <f t="shared" si="10"/>
        <v/>
      </c>
    </row>
    <row r="189" spans="3:6" x14ac:dyDescent="0.35">
      <c r="C189" t="str">
        <f>IFERROR(ROUNDUP(VLOOKUP(F189,'30Days-Baseline'!C:D,2,FALSE),0),"NotExist")</f>
        <v>NotExist</v>
      </c>
      <c r="D189" t="str">
        <f t="shared" si="8"/>
        <v>New</v>
      </c>
      <c r="E189" t="e">
        <f>VLOOKUP(A:A,Reviewed!B:C,2,0)</f>
        <v>#N/A</v>
      </c>
      <c r="F189" t="str">
        <f t="shared" si="10"/>
        <v/>
      </c>
    </row>
    <row r="190" spans="3:6" x14ac:dyDescent="0.35">
      <c r="C190" t="str">
        <f>IFERROR(ROUNDUP(VLOOKUP(F190,'30Days-Baseline'!C:D,2,FALSE),0),"NotExist")</f>
        <v>NotExist</v>
      </c>
      <c r="D190" t="str">
        <f t="shared" si="8"/>
        <v>New</v>
      </c>
      <c r="E190" t="e">
        <f>VLOOKUP(A:A,Reviewed!B:C,2,0)</f>
        <v>#N/A</v>
      </c>
      <c r="F190" t="str">
        <f t="shared" si="10"/>
        <v/>
      </c>
    </row>
    <row r="191" spans="3:6" x14ac:dyDescent="0.35">
      <c r="C191" t="str">
        <f>IFERROR(ROUNDUP(VLOOKUP(F191,'30Days-Baseline'!C:D,2,FALSE),0),"NotExist")</f>
        <v>NotExist</v>
      </c>
      <c r="D191" t="str">
        <f t="shared" si="8"/>
        <v>New</v>
      </c>
      <c r="E191" t="e">
        <f>VLOOKUP(A:A,Reviewed!B:C,2,0)</f>
        <v>#N/A</v>
      </c>
      <c r="F191" t="str">
        <f t="shared" si="10"/>
        <v/>
      </c>
    </row>
    <row r="192" spans="3:6" x14ac:dyDescent="0.35">
      <c r="C192" t="str">
        <f>IFERROR(ROUNDUP(VLOOKUP(F192,'30Days-Baseline'!C:D,2,FALSE),0),"NotExist")</f>
        <v>NotExist</v>
      </c>
      <c r="D192" t="str">
        <f t="shared" si="8"/>
        <v>New</v>
      </c>
      <c r="E192" t="e">
        <f>VLOOKUP(A:A,Reviewed!B:C,2,0)</f>
        <v>#N/A</v>
      </c>
      <c r="F192" t="str">
        <f t="shared" si="10"/>
        <v/>
      </c>
    </row>
    <row r="193" spans="3:6" x14ac:dyDescent="0.35">
      <c r="C193" t="str">
        <f>IFERROR(ROUNDUP(VLOOKUP(F193,'30Days-Baseline'!C:D,2,FALSE),0),"NotExist")</f>
        <v>NotExist</v>
      </c>
      <c r="D193" t="str">
        <f t="shared" si="8"/>
        <v>New</v>
      </c>
      <c r="E193" t="e">
        <f>VLOOKUP(A:A,Reviewed!B:C,2,0)</f>
        <v>#N/A</v>
      </c>
      <c r="F193" t="str">
        <f t="shared" si="10"/>
        <v/>
      </c>
    </row>
    <row r="194" spans="3:6" x14ac:dyDescent="0.35">
      <c r="C194" t="str">
        <f>IFERROR(ROUNDUP(VLOOKUP(F194,'30Days-Baseline'!C:D,2,FALSE),0),"NotExist")</f>
        <v>NotExist</v>
      </c>
      <c r="D194" t="str">
        <f t="shared" si="8"/>
        <v>New</v>
      </c>
      <c r="E194" t="e">
        <f>VLOOKUP(A:A,Reviewed!B:C,2,0)</f>
        <v>#N/A</v>
      </c>
      <c r="F194" t="str">
        <f t="shared" si="10"/>
        <v/>
      </c>
    </row>
    <row r="195" spans="3:6" x14ac:dyDescent="0.35">
      <c r="C195" t="str">
        <f>IFERROR(ROUNDUP(VLOOKUP(F195,'30Days-Baseline'!C:D,2,FALSE),0),"NotExist")</f>
        <v>NotExist</v>
      </c>
      <c r="D195" t="str">
        <f t="shared" si="8"/>
        <v>New</v>
      </c>
      <c r="E195" t="e">
        <f>VLOOKUP(A:A,Reviewed!B:C,2,0)</f>
        <v>#N/A</v>
      </c>
      <c r="F195" t="str">
        <f t="shared" si="10"/>
        <v/>
      </c>
    </row>
    <row r="196" spans="3:6" x14ac:dyDescent="0.35">
      <c r="C196" t="str">
        <f>IFERROR(ROUNDUP(VLOOKUP(F196,'30Days-Baseline'!C:D,2,FALSE),0),"NotExist")</f>
        <v>NotExist</v>
      </c>
      <c r="D196" t="str">
        <f t="shared" si="8"/>
        <v>New</v>
      </c>
      <c r="E196" t="e">
        <f>VLOOKUP(A:A,Reviewed!B:C,2,0)</f>
        <v>#N/A</v>
      </c>
      <c r="F196" t="str">
        <f t="shared" si="10"/>
        <v/>
      </c>
    </row>
    <row r="197" spans="3:6" x14ac:dyDescent="0.35">
      <c r="C197" t="str">
        <f>IFERROR(ROUNDUP(VLOOKUP(F197,'30Days-Baseline'!C:D,2,FALSE),0),"NotExist")</f>
        <v>NotExist</v>
      </c>
      <c r="D197" t="str">
        <f t="shared" si="8"/>
        <v>New</v>
      </c>
      <c r="E197" t="e">
        <f>VLOOKUP(A:A,Reviewed!B:C,2,0)</f>
        <v>#N/A</v>
      </c>
      <c r="F197" t="str">
        <f t="shared" si="10"/>
        <v/>
      </c>
    </row>
    <row r="198" spans="3:6" x14ac:dyDescent="0.35">
      <c r="C198" t="str">
        <f>IFERROR(ROUNDUP(VLOOKUP(F198,'30Days-Baseline'!C:D,2,FALSE),0),"NotExist")</f>
        <v>NotExist</v>
      </c>
      <c r="D198" t="str">
        <f t="shared" si="8"/>
        <v>New</v>
      </c>
      <c r="E198" t="e">
        <f>VLOOKUP(A:A,Reviewed!B:C,2,0)</f>
        <v>#N/A</v>
      </c>
      <c r="F198" t="str">
        <f t="shared" si="10"/>
        <v/>
      </c>
    </row>
    <row r="199" spans="3:6" x14ac:dyDescent="0.35">
      <c r="C199" t="str">
        <f>IFERROR(ROUNDUP(VLOOKUP(F199,'30Days-Baseline'!C:D,2,FALSE),0),"NotExist")</f>
        <v>NotExist</v>
      </c>
      <c r="D199" t="str">
        <f t="shared" si="8"/>
        <v>New</v>
      </c>
      <c r="E199" t="e">
        <f>VLOOKUP(A:A,Reviewed!B:C,2,0)</f>
        <v>#N/A</v>
      </c>
      <c r="F199" t="str">
        <f t="shared" si="10"/>
        <v/>
      </c>
    </row>
    <row r="200" spans="3:6" x14ac:dyDescent="0.35">
      <c r="C200" t="str">
        <f>IFERROR(ROUNDUP(VLOOKUP(F200,'30Days-Baseline'!C:D,2,FALSE),0),"NotExist")</f>
        <v>NotExist</v>
      </c>
      <c r="D200" t="str">
        <f t="shared" si="8"/>
        <v>New</v>
      </c>
      <c r="E200" t="e">
        <f>VLOOKUP(A:A,Reviewed!B:C,2,0)</f>
        <v>#N/A</v>
      </c>
      <c r="F200" t="str">
        <f t="shared" si="10"/>
        <v/>
      </c>
    </row>
    <row r="201" spans="3:6" x14ac:dyDescent="0.35">
      <c r="C201" t="str">
        <f>IFERROR(ROUNDUP(VLOOKUP(F201,'30Days-Baseline'!C:D,2,FALSE),0),"NotExist")</f>
        <v>NotExist</v>
      </c>
      <c r="D201" t="str">
        <f t="shared" si="8"/>
        <v>New</v>
      </c>
      <c r="E201" t="e">
        <f>VLOOKUP(A:A,Reviewed!B:C,2,0)</f>
        <v>#N/A</v>
      </c>
      <c r="F201" t="str">
        <f t="shared" si="10"/>
        <v/>
      </c>
    </row>
    <row r="202" spans="3:6" x14ac:dyDescent="0.35">
      <c r="C202" t="str">
        <f>IFERROR(ROUNDUP(VLOOKUP(F202,'30Days-Baseline'!C:D,2,FALSE),0),"NotExist")</f>
        <v>NotExist</v>
      </c>
      <c r="D202" t="str">
        <f t="shared" si="8"/>
        <v>New</v>
      </c>
      <c r="E202" t="e">
        <f>VLOOKUP(A:A,Reviewed!B:C,2,0)</f>
        <v>#N/A</v>
      </c>
      <c r="F202" t="str">
        <f t="shared" si="10"/>
        <v/>
      </c>
    </row>
    <row r="203" spans="3:6" x14ac:dyDescent="0.35">
      <c r="C203" t="str">
        <f>IFERROR(ROUNDUP(VLOOKUP(F203,'30Days-Baseline'!C:D,2,FALSE),0),"NotExist")</f>
        <v>NotExist</v>
      </c>
      <c r="D203" t="str">
        <f t="shared" si="8"/>
        <v>New</v>
      </c>
      <c r="E203" t="e">
        <f>VLOOKUP(A:A,Reviewed!B:C,2,0)</f>
        <v>#N/A</v>
      </c>
      <c r="F203" t="str">
        <f t="shared" si="10"/>
        <v/>
      </c>
    </row>
    <row r="204" spans="3:6" x14ac:dyDescent="0.35">
      <c r="C204" t="str">
        <f>IFERROR(ROUNDUP(VLOOKUP(F204,'30Days-Baseline'!C:D,2,FALSE),0),"NotExist")</f>
        <v>NotExist</v>
      </c>
      <c r="D204" t="str">
        <f t="shared" si="8"/>
        <v>New</v>
      </c>
      <c r="E204" t="e">
        <f>VLOOKUP(A:A,Reviewed!B:C,2,0)</f>
        <v>#N/A</v>
      </c>
      <c r="F204" t="str">
        <f t="shared" si="10"/>
        <v/>
      </c>
    </row>
    <row r="205" spans="3:6" x14ac:dyDescent="0.35">
      <c r="C205" t="str">
        <f>IFERROR(ROUNDUP(VLOOKUP(F205,'30Days-Baseline'!C:D,2,FALSE),0),"NotExist")</f>
        <v>NotExist</v>
      </c>
      <c r="D205" t="str">
        <f t="shared" si="8"/>
        <v>New</v>
      </c>
      <c r="E205" t="e">
        <f>VLOOKUP(A:A,Reviewed!B:C,2,0)</f>
        <v>#N/A</v>
      </c>
      <c r="F205" t="str">
        <f t="shared" si="10"/>
        <v/>
      </c>
    </row>
    <row r="206" spans="3:6" x14ac:dyDescent="0.35">
      <c r="C206" t="str">
        <f>IFERROR(ROUNDUP(VLOOKUP(F206,'30Days-Baseline'!C:D,2,FALSE),0),"NotExist")</f>
        <v>NotExist</v>
      </c>
      <c r="D206" t="str">
        <f t="shared" ref="D206:D269" si="11">IFERROR(IF(B206&gt;ROUNDUP(C206,0),"Elevated","Ok"),"New")</f>
        <v>New</v>
      </c>
      <c r="E206" t="e">
        <f>VLOOKUP(A:A,Reviewed!B:C,2,0)</f>
        <v>#N/A</v>
      </c>
      <c r="F206" t="str">
        <f t="shared" si="10"/>
        <v/>
      </c>
    </row>
    <row r="207" spans="3:6" x14ac:dyDescent="0.35">
      <c r="C207" t="str">
        <f>IFERROR(ROUNDUP(VLOOKUP(F207,'30Days-Baseline'!C:D,2,FALSE),0),"NotExist")</f>
        <v>NotExist</v>
      </c>
      <c r="D207" t="str">
        <f t="shared" si="11"/>
        <v>New</v>
      </c>
      <c r="E207" t="e">
        <f>VLOOKUP(A:A,Reviewed!B:C,2,0)</f>
        <v>#N/A</v>
      </c>
      <c r="F207" t="str">
        <f t="shared" si="10"/>
        <v/>
      </c>
    </row>
    <row r="208" spans="3:6" x14ac:dyDescent="0.35">
      <c r="C208" t="str">
        <f>IFERROR(ROUNDUP(VLOOKUP(F208,'30Days-Baseline'!C:D,2,FALSE),0),"NotExist")</f>
        <v>NotExist</v>
      </c>
      <c r="D208" t="str">
        <f t="shared" si="11"/>
        <v>New</v>
      </c>
      <c r="E208" t="e">
        <f>VLOOKUP(A:A,Reviewed!B:C,2,0)</f>
        <v>#N/A</v>
      </c>
      <c r="F208" t="str">
        <f t="shared" si="10"/>
        <v/>
      </c>
    </row>
    <row r="209" spans="3:6" x14ac:dyDescent="0.35">
      <c r="C209" t="str">
        <f>IFERROR(ROUNDUP(VLOOKUP(F209,'30Days-Baseline'!C:D,2,FALSE),0),"NotExist")</f>
        <v>NotExist</v>
      </c>
      <c r="D209" t="str">
        <f t="shared" si="11"/>
        <v>New</v>
      </c>
      <c r="E209" t="e">
        <f>VLOOKUP(A:A,Reviewed!B:C,2,0)</f>
        <v>#N/A</v>
      </c>
      <c r="F209" t="str">
        <f t="shared" si="10"/>
        <v/>
      </c>
    </row>
    <row r="210" spans="3:6" x14ac:dyDescent="0.35">
      <c r="C210" t="str">
        <f>IFERROR(ROUNDUP(VLOOKUP(F210,'30Days-Baseline'!C:D,2,FALSE),0),"NotExist")</f>
        <v>NotExist</v>
      </c>
      <c r="D210" t="str">
        <f t="shared" si="11"/>
        <v>New</v>
      </c>
      <c r="E210" t="e">
        <f>VLOOKUP(A:A,Reviewed!B:C,2,0)</f>
        <v>#N/A</v>
      </c>
      <c r="F210" t="str">
        <f t="shared" si="10"/>
        <v/>
      </c>
    </row>
    <row r="211" spans="3:6" x14ac:dyDescent="0.35">
      <c r="C211" t="str">
        <f>IFERROR(ROUNDUP(VLOOKUP(F211,'30Days-Baseline'!C:D,2,FALSE),0),"NotExist")</f>
        <v>NotExist</v>
      </c>
      <c r="D211" t="str">
        <f t="shared" si="11"/>
        <v>New</v>
      </c>
      <c r="E211" t="e">
        <f>VLOOKUP(A:A,Reviewed!B:C,2,0)</f>
        <v>#N/A</v>
      </c>
      <c r="F211" t="str">
        <f t="shared" si="10"/>
        <v/>
      </c>
    </row>
    <row r="212" spans="3:6" x14ac:dyDescent="0.35">
      <c r="C212" t="str">
        <f>IFERROR(ROUNDUP(VLOOKUP(F212,'30Days-Baseline'!C:D,2,FALSE),0),"NotExist")</f>
        <v>NotExist</v>
      </c>
      <c r="D212" t="str">
        <f t="shared" si="11"/>
        <v>New</v>
      </c>
      <c r="E212" t="e">
        <f>VLOOKUP(A:A,Reviewed!B:C,2,0)</f>
        <v>#N/A</v>
      </c>
      <c r="F212" t="str">
        <f t="shared" si="10"/>
        <v/>
      </c>
    </row>
    <row r="213" spans="3:6" x14ac:dyDescent="0.35">
      <c r="C213" t="str">
        <f>IFERROR(ROUNDUP(VLOOKUP(F213,'30Days-Baseline'!C:D,2,FALSE),0),"NotExist")</f>
        <v>NotExist</v>
      </c>
      <c r="D213" t="str">
        <f t="shared" si="11"/>
        <v>New</v>
      </c>
      <c r="E213" t="e">
        <f>VLOOKUP(A:A,Reviewed!B:C,2,0)</f>
        <v>#N/A</v>
      </c>
      <c r="F213" t="str">
        <f t="shared" si="10"/>
        <v/>
      </c>
    </row>
    <row r="214" spans="3:6" x14ac:dyDescent="0.35">
      <c r="C214" t="str">
        <f>IFERROR(ROUNDUP(VLOOKUP(F214,'30Days-Baseline'!C:D,2,FALSE),0),"NotExist")</f>
        <v>NotExist</v>
      </c>
      <c r="D214" t="str">
        <f t="shared" si="11"/>
        <v>New</v>
      </c>
      <c r="E214" t="e">
        <f>VLOOKUP(A:A,Reviewed!B:C,2,0)</f>
        <v>#N/A</v>
      </c>
      <c r="F214" t="str">
        <f t="shared" si="10"/>
        <v/>
      </c>
    </row>
    <row r="215" spans="3:6" x14ac:dyDescent="0.35">
      <c r="C215" t="str">
        <f>IFERROR(ROUNDUP(VLOOKUP(F215,'30Days-Baseline'!C:D,2,FALSE),0),"NotExist")</f>
        <v>NotExist</v>
      </c>
      <c r="D215" t="str">
        <f t="shared" si="11"/>
        <v>New</v>
      </c>
      <c r="E215" t="e">
        <f>VLOOKUP(A:A,Reviewed!B:C,2,0)</f>
        <v>#N/A</v>
      </c>
      <c r="F215" t="str">
        <f t="shared" si="10"/>
        <v/>
      </c>
    </row>
    <row r="216" spans="3:6" x14ac:dyDescent="0.35">
      <c r="C216" t="str">
        <f>IFERROR(ROUNDUP(VLOOKUP(F216,'30Days-Baseline'!C:D,2,FALSE),0),"NotExist")</f>
        <v>NotExist</v>
      </c>
      <c r="D216" t="str">
        <f t="shared" si="11"/>
        <v>New</v>
      </c>
      <c r="E216" t="e">
        <f>VLOOKUP(A:A,Reviewed!B:C,2,0)</f>
        <v>#N/A</v>
      </c>
      <c r="F216" t="str">
        <f t="shared" si="10"/>
        <v/>
      </c>
    </row>
    <row r="217" spans="3:6" x14ac:dyDescent="0.35">
      <c r="C217" t="str">
        <f>IFERROR(ROUNDUP(VLOOKUP(F217,'30Days-Baseline'!C:D,2,FALSE),0),"NotExist")</f>
        <v>NotExist</v>
      </c>
      <c r="D217" t="str">
        <f t="shared" si="11"/>
        <v>New</v>
      </c>
      <c r="E217" t="e">
        <f>VLOOKUP(A:A,Reviewed!B:C,2,0)</f>
        <v>#N/A</v>
      </c>
      <c r="F217" t="str">
        <f t="shared" si="10"/>
        <v/>
      </c>
    </row>
    <row r="218" spans="3:6" x14ac:dyDescent="0.35">
      <c r="C218" t="str">
        <f>IFERROR(ROUNDUP(VLOOKUP(F218,'30Days-Baseline'!C:D,2,FALSE),0),"NotExist")</f>
        <v>NotExist</v>
      </c>
      <c r="D218" t="str">
        <f t="shared" si="11"/>
        <v>New</v>
      </c>
      <c r="E218" t="e">
        <f>VLOOKUP(A:A,Reviewed!B:C,2,0)</f>
        <v>#N/A</v>
      </c>
      <c r="F218" t="str">
        <f t="shared" ref="F218:F273" si="12">LEFT(A218,255)</f>
        <v/>
      </c>
    </row>
    <row r="219" spans="3:6" x14ac:dyDescent="0.35">
      <c r="C219" t="str">
        <f>IFERROR(ROUNDUP(VLOOKUP(F219,'30Days-Baseline'!C:D,2,FALSE),0),"NotExist")</f>
        <v>NotExist</v>
      </c>
      <c r="D219" t="str">
        <f t="shared" si="11"/>
        <v>New</v>
      </c>
      <c r="E219" t="e">
        <f>VLOOKUP(A:A,Reviewed!B:C,2,0)</f>
        <v>#N/A</v>
      </c>
      <c r="F219" t="str">
        <f t="shared" si="12"/>
        <v/>
      </c>
    </row>
    <row r="220" spans="3:6" x14ac:dyDescent="0.35">
      <c r="C220" t="str">
        <f>IFERROR(ROUNDUP(VLOOKUP(F220,'30Days-Baseline'!C:D,2,FALSE),0),"NotExist")</f>
        <v>NotExist</v>
      </c>
      <c r="D220" t="str">
        <f t="shared" si="11"/>
        <v>New</v>
      </c>
      <c r="E220" t="e">
        <f>VLOOKUP(A:A,Reviewed!B:C,2,0)</f>
        <v>#N/A</v>
      </c>
      <c r="F220" t="str">
        <f t="shared" si="12"/>
        <v/>
      </c>
    </row>
    <row r="221" spans="3:6" x14ac:dyDescent="0.35">
      <c r="C221" t="str">
        <f>IFERROR(ROUNDUP(VLOOKUP(F221,'30Days-Baseline'!C:D,2,FALSE),0),"NotExist")</f>
        <v>NotExist</v>
      </c>
      <c r="D221" t="str">
        <f t="shared" si="11"/>
        <v>New</v>
      </c>
      <c r="E221" t="e">
        <f>VLOOKUP(A:A,Reviewed!B:C,2,0)</f>
        <v>#N/A</v>
      </c>
      <c r="F221" t="str">
        <f t="shared" si="12"/>
        <v/>
      </c>
    </row>
    <row r="222" spans="3:6" x14ac:dyDescent="0.35">
      <c r="C222" t="str">
        <f>IFERROR(ROUNDUP(VLOOKUP(F222,'30Days-Baseline'!C:D,2,FALSE),0),"NotExist")</f>
        <v>NotExist</v>
      </c>
      <c r="D222" t="str">
        <f t="shared" si="11"/>
        <v>New</v>
      </c>
      <c r="E222" t="e">
        <f>VLOOKUP(A:A,Reviewed!B:C,2,0)</f>
        <v>#N/A</v>
      </c>
      <c r="F222" t="str">
        <f t="shared" si="12"/>
        <v/>
      </c>
    </row>
    <row r="223" spans="3:6" x14ac:dyDescent="0.35">
      <c r="C223" t="str">
        <f>IFERROR(ROUNDUP(VLOOKUP(F223,'30Days-Baseline'!C:D,2,FALSE),0),"NotExist")</f>
        <v>NotExist</v>
      </c>
      <c r="D223" t="str">
        <f t="shared" si="11"/>
        <v>New</v>
      </c>
      <c r="E223" t="e">
        <f>VLOOKUP(A:A,Reviewed!B:C,2,0)</f>
        <v>#N/A</v>
      </c>
      <c r="F223" t="str">
        <f t="shared" si="12"/>
        <v/>
      </c>
    </row>
    <row r="224" spans="3:6" x14ac:dyDescent="0.35">
      <c r="C224" t="str">
        <f>IFERROR(ROUNDUP(VLOOKUP(F224,'30Days-Baseline'!C:D,2,FALSE),0),"NotExist")</f>
        <v>NotExist</v>
      </c>
      <c r="D224" t="str">
        <f t="shared" si="11"/>
        <v>New</v>
      </c>
      <c r="E224" t="e">
        <f>VLOOKUP(A:A,Reviewed!B:C,2,0)</f>
        <v>#N/A</v>
      </c>
      <c r="F224" t="str">
        <f t="shared" si="12"/>
        <v/>
      </c>
    </row>
    <row r="225" spans="3:6" x14ac:dyDescent="0.35">
      <c r="C225" t="str">
        <f>IFERROR(ROUNDUP(VLOOKUP(F225,'30Days-Baseline'!C:D,2,FALSE),0),"NotExist")</f>
        <v>NotExist</v>
      </c>
      <c r="D225" t="str">
        <f t="shared" si="11"/>
        <v>New</v>
      </c>
      <c r="E225" t="e">
        <f>VLOOKUP(A:A,Reviewed!B:C,2,0)</f>
        <v>#N/A</v>
      </c>
      <c r="F225" t="str">
        <f t="shared" si="12"/>
        <v/>
      </c>
    </row>
    <row r="226" spans="3:6" x14ac:dyDescent="0.35">
      <c r="C226" t="str">
        <f>IFERROR(ROUNDUP(VLOOKUP(F226,'30Days-Baseline'!C:D,2,FALSE),0),"NotExist")</f>
        <v>NotExist</v>
      </c>
      <c r="D226" t="str">
        <f t="shared" si="11"/>
        <v>New</v>
      </c>
      <c r="E226" t="e">
        <f>VLOOKUP(A:A,Reviewed!B:C,2,0)</f>
        <v>#N/A</v>
      </c>
      <c r="F226" t="str">
        <f t="shared" si="12"/>
        <v/>
      </c>
    </row>
    <row r="227" spans="3:6" x14ac:dyDescent="0.35">
      <c r="C227" t="str">
        <f>IFERROR(ROUNDUP(VLOOKUP(F227,'30Days-Baseline'!C:D,2,FALSE),0),"NotExist")</f>
        <v>NotExist</v>
      </c>
      <c r="D227" t="str">
        <f t="shared" si="11"/>
        <v>New</v>
      </c>
      <c r="E227" t="e">
        <f>VLOOKUP(A:A,Reviewed!B:C,2,0)</f>
        <v>#N/A</v>
      </c>
      <c r="F227" t="str">
        <f t="shared" si="12"/>
        <v/>
      </c>
    </row>
    <row r="228" spans="3:6" x14ac:dyDescent="0.35">
      <c r="C228" t="str">
        <f>IFERROR(ROUNDUP(VLOOKUP(F228,'30Days-Baseline'!C:D,2,FALSE),0),"NotExist")</f>
        <v>NotExist</v>
      </c>
      <c r="D228" t="str">
        <f t="shared" si="11"/>
        <v>New</v>
      </c>
      <c r="E228" t="e">
        <f>VLOOKUP(A:A,Reviewed!B:C,2,0)</f>
        <v>#N/A</v>
      </c>
      <c r="F228" t="str">
        <f t="shared" si="12"/>
        <v/>
      </c>
    </row>
    <row r="229" spans="3:6" x14ac:dyDescent="0.35">
      <c r="C229" t="str">
        <f>IFERROR(ROUNDUP(VLOOKUP(F229,'30Days-Baseline'!C:D,2,FALSE),0),"NotExist")</f>
        <v>NotExist</v>
      </c>
      <c r="D229" t="str">
        <f t="shared" si="11"/>
        <v>New</v>
      </c>
      <c r="E229" t="e">
        <f>VLOOKUP(A:A,Reviewed!B:C,2,0)</f>
        <v>#N/A</v>
      </c>
      <c r="F229" t="str">
        <f t="shared" si="12"/>
        <v/>
      </c>
    </row>
    <row r="230" spans="3:6" x14ac:dyDescent="0.35">
      <c r="C230" t="str">
        <f>IFERROR(ROUNDUP(VLOOKUP(F230,'30Days-Baseline'!C:D,2,FALSE),0),"NotExist")</f>
        <v>NotExist</v>
      </c>
      <c r="D230" t="str">
        <f t="shared" si="11"/>
        <v>New</v>
      </c>
      <c r="E230" t="e">
        <f>VLOOKUP(A:A,Reviewed!B:C,2,0)</f>
        <v>#N/A</v>
      </c>
      <c r="F230" t="str">
        <f t="shared" si="12"/>
        <v/>
      </c>
    </row>
    <row r="231" spans="3:6" x14ac:dyDescent="0.35">
      <c r="C231" t="str">
        <f>IFERROR(ROUNDUP(VLOOKUP(F231,'30Days-Baseline'!C:D,2,FALSE),0),"NotExist")</f>
        <v>NotExist</v>
      </c>
      <c r="D231" t="str">
        <f t="shared" si="11"/>
        <v>New</v>
      </c>
      <c r="E231" t="e">
        <f>VLOOKUP(A:A,Reviewed!B:C,2,0)</f>
        <v>#N/A</v>
      </c>
      <c r="F231" t="str">
        <f t="shared" si="12"/>
        <v/>
      </c>
    </row>
    <row r="232" spans="3:6" x14ac:dyDescent="0.35">
      <c r="C232" t="str">
        <f>IFERROR(ROUNDUP(VLOOKUP(F232,'30Days-Baseline'!C:D,2,FALSE),0),"NotExist")</f>
        <v>NotExist</v>
      </c>
      <c r="D232" t="str">
        <f t="shared" si="11"/>
        <v>New</v>
      </c>
      <c r="E232" t="e">
        <f>VLOOKUP(A:A,Reviewed!B:C,2,0)</f>
        <v>#N/A</v>
      </c>
      <c r="F232" t="str">
        <f t="shared" si="12"/>
        <v/>
      </c>
    </row>
    <row r="233" spans="3:6" x14ac:dyDescent="0.35">
      <c r="C233" t="str">
        <f>IFERROR(ROUNDUP(VLOOKUP(F233,'30Days-Baseline'!C:D,2,FALSE),0),"NotExist")</f>
        <v>NotExist</v>
      </c>
      <c r="D233" t="str">
        <f t="shared" si="11"/>
        <v>New</v>
      </c>
      <c r="E233" t="e">
        <f>VLOOKUP(A:A,Reviewed!B:C,2,0)</f>
        <v>#N/A</v>
      </c>
      <c r="F233" t="str">
        <f t="shared" si="12"/>
        <v/>
      </c>
    </row>
    <row r="234" spans="3:6" x14ac:dyDescent="0.35">
      <c r="C234" t="str">
        <f>IFERROR(ROUNDUP(VLOOKUP(F234,'30Days-Baseline'!C:D,2,FALSE),0),"NotExist")</f>
        <v>NotExist</v>
      </c>
      <c r="D234" t="str">
        <f t="shared" si="11"/>
        <v>New</v>
      </c>
      <c r="E234" t="e">
        <f>VLOOKUP(A:A,Reviewed!B:C,2,0)</f>
        <v>#N/A</v>
      </c>
      <c r="F234" t="str">
        <f t="shared" si="12"/>
        <v/>
      </c>
    </row>
    <row r="235" spans="3:6" x14ac:dyDescent="0.35">
      <c r="C235" t="str">
        <f>IFERROR(ROUNDUP(VLOOKUP(F235,'30Days-Baseline'!C:D,2,FALSE),0),"NotExist")</f>
        <v>NotExist</v>
      </c>
      <c r="D235" t="str">
        <f t="shared" si="11"/>
        <v>New</v>
      </c>
      <c r="E235" t="e">
        <f>VLOOKUP(A:A,Reviewed!B:C,2,0)</f>
        <v>#N/A</v>
      </c>
      <c r="F235" t="str">
        <f t="shared" si="12"/>
        <v/>
      </c>
    </row>
    <row r="236" spans="3:6" x14ac:dyDescent="0.35">
      <c r="C236" t="str">
        <f>IFERROR(ROUNDUP(VLOOKUP(F236,'30Days-Baseline'!C:D,2,FALSE),0),"NotExist")</f>
        <v>NotExist</v>
      </c>
      <c r="D236" t="str">
        <f t="shared" si="11"/>
        <v>New</v>
      </c>
      <c r="E236" t="e">
        <f>VLOOKUP(A:A,Reviewed!B:C,2,0)</f>
        <v>#N/A</v>
      </c>
      <c r="F236" t="str">
        <f t="shared" si="12"/>
        <v/>
      </c>
    </row>
    <row r="237" spans="3:6" x14ac:dyDescent="0.35">
      <c r="C237" t="str">
        <f>IFERROR(ROUNDUP(VLOOKUP(F237,'30Days-Baseline'!C:D,2,FALSE),0),"NotExist")</f>
        <v>NotExist</v>
      </c>
      <c r="D237" t="str">
        <f t="shared" si="11"/>
        <v>New</v>
      </c>
      <c r="E237" t="e">
        <f>VLOOKUP(A:A,Reviewed!B:C,2,0)</f>
        <v>#N/A</v>
      </c>
      <c r="F237" t="str">
        <f t="shared" si="12"/>
        <v/>
      </c>
    </row>
    <row r="238" spans="3:6" x14ac:dyDescent="0.35">
      <c r="C238" t="str">
        <f>IFERROR(ROUNDUP(VLOOKUP(F238,'30Days-Baseline'!C:D,2,FALSE),0),"NotExist")</f>
        <v>NotExist</v>
      </c>
      <c r="D238" t="str">
        <f t="shared" si="11"/>
        <v>New</v>
      </c>
      <c r="E238" t="e">
        <f>VLOOKUP(A:A,Reviewed!B:C,2,0)</f>
        <v>#N/A</v>
      </c>
      <c r="F238" t="str">
        <f t="shared" si="12"/>
        <v/>
      </c>
    </row>
    <row r="239" spans="3:6" x14ac:dyDescent="0.35">
      <c r="C239" t="str">
        <f>IFERROR(ROUNDUP(VLOOKUP(F239,'30Days-Baseline'!C:D,2,FALSE),0),"NotExist")</f>
        <v>NotExist</v>
      </c>
      <c r="D239" t="str">
        <f t="shared" si="11"/>
        <v>New</v>
      </c>
      <c r="E239" t="e">
        <f>VLOOKUP(A:A,Reviewed!B:C,2,0)</f>
        <v>#N/A</v>
      </c>
      <c r="F239" t="str">
        <f t="shared" si="12"/>
        <v/>
      </c>
    </row>
    <row r="240" spans="3:6" x14ac:dyDescent="0.35">
      <c r="C240" t="str">
        <f>IFERROR(ROUNDUP(VLOOKUP(F240,'30Days-Baseline'!C:D,2,FALSE),0),"NotExist")</f>
        <v>NotExist</v>
      </c>
      <c r="D240" t="str">
        <f t="shared" si="11"/>
        <v>New</v>
      </c>
      <c r="E240" t="e">
        <f>VLOOKUP(A:A,Reviewed!B:C,2,0)</f>
        <v>#N/A</v>
      </c>
      <c r="F240" t="str">
        <f t="shared" si="12"/>
        <v/>
      </c>
    </row>
    <row r="241" spans="3:6" x14ac:dyDescent="0.35">
      <c r="C241" t="str">
        <f>IFERROR(ROUNDUP(VLOOKUP(F241,'30Days-Baseline'!C:D,2,FALSE),0),"NotExist")</f>
        <v>NotExist</v>
      </c>
      <c r="D241" t="str">
        <f t="shared" si="11"/>
        <v>New</v>
      </c>
      <c r="E241" t="e">
        <f>VLOOKUP(A:A,Reviewed!B:C,2,0)</f>
        <v>#N/A</v>
      </c>
      <c r="F241" t="str">
        <f t="shared" si="12"/>
        <v/>
      </c>
    </row>
    <row r="242" spans="3:6" x14ac:dyDescent="0.35">
      <c r="C242" t="str">
        <f>IFERROR(ROUNDUP(VLOOKUP(F242,'30Days-Baseline'!C:D,2,FALSE),0),"NotExist")</f>
        <v>NotExist</v>
      </c>
      <c r="D242" t="str">
        <f t="shared" si="11"/>
        <v>New</v>
      </c>
      <c r="E242" t="e">
        <f>VLOOKUP(A:A,Reviewed!B:C,2,0)</f>
        <v>#N/A</v>
      </c>
      <c r="F242" t="str">
        <f t="shared" si="12"/>
        <v/>
      </c>
    </row>
    <row r="243" spans="3:6" x14ac:dyDescent="0.35">
      <c r="C243" t="str">
        <f>IFERROR(ROUNDUP(VLOOKUP(F243,'30Days-Baseline'!C:D,2,FALSE),0),"NotExist")</f>
        <v>NotExist</v>
      </c>
      <c r="D243" t="str">
        <f t="shared" si="11"/>
        <v>New</v>
      </c>
      <c r="E243" t="e">
        <f>VLOOKUP(A:A,Reviewed!B:C,2,0)</f>
        <v>#N/A</v>
      </c>
      <c r="F243" t="str">
        <f t="shared" si="12"/>
        <v/>
      </c>
    </row>
    <row r="244" spans="3:6" x14ac:dyDescent="0.35">
      <c r="C244" t="str">
        <f>IFERROR(ROUNDUP(VLOOKUP(F244,'30Days-Baseline'!C:D,2,FALSE),0),"NotExist")</f>
        <v>NotExist</v>
      </c>
      <c r="D244" t="str">
        <f t="shared" si="11"/>
        <v>New</v>
      </c>
      <c r="E244" t="e">
        <f>VLOOKUP(A:A,Reviewed!B:C,2,0)</f>
        <v>#N/A</v>
      </c>
      <c r="F244" t="str">
        <f t="shared" si="12"/>
        <v/>
      </c>
    </row>
    <row r="245" spans="3:6" x14ac:dyDescent="0.35">
      <c r="C245" t="str">
        <f>IFERROR(ROUNDUP(VLOOKUP(F245,'30Days-Baseline'!C:D,2,FALSE),0),"NotExist")</f>
        <v>NotExist</v>
      </c>
      <c r="D245" t="str">
        <f t="shared" si="11"/>
        <v>New</v>
      </c>
      <c r="E245" t="e">
        <f>VLOOKUP(A:A,Reviewed!B:C,2,0)</f>
        <v>#N/A</v>
      </c>
      <c r="F245" t="str">
        <f t="shared" si="12"/>
        <v/>
      </c>
    </row>
    <row r="246" spans="3:6" x14ac:dyDescent="0.35">
      <c r="C246" t="str">
        <f>IFERROR(ROUNDUP(VLOOKUP(F246,'30Days-Baseline'!C:D,2,FALSE),0),"NotExist")</f>
        <v>NotExist</v>
      </c>
      <c r="D246" t="str">
        <f t="shared" si="11"/>
        <v>New</v>
      </c>
      <c r="E246" t="e">
        <f>VLOOKUP(A:A,Reviewed!B:C,2,0)</f>
        <v>#N/A</v>
      </c>
      <c r="F246" t="str">
        <f t="shared" si="12"/>
        <v/>
      </c>
    </row>
    <row r="247" spans="3:6" x14ac:dyDescent="0.35">
      <c r="C247" t="str">
        <f>IFERROR(ROUNDUP(VLOOKUP(F247,'30Days-Baseline'!C:D,2,FALSE),0),"NotExist")</f>
        <v>NotExist</v>
      </c>
      <c r="D247" t="str">
        <f t="shared" si="11"/>
        <v>New</v>
      </c>
      <c r="E247" t="e">
        <f>VLOOKUP(A:A,Reviewed!B:C,2,0)</f>
        <v>#N/A</v>
      </c>
      <c r="F247" t="str">
        <f t="shared" si="12"/>
        <v/>
      </c>
    </row>
    <row r="248" spans="3:6" x14ac:dyDescent="0.35">
      <c r="C248" t="str">
        <f>IFERROR(ROUNDUP(VLOOKUP(F248,'30Days-Baseline'!C:D,2,FALSE),0),"NotExist")</f>
        <v>NotExist</v>
      </c>
      <c r="D248" t="str">
        <f t="shared" si="11"/>
        <v>New</v>
      </c>
      <c r="E248" t="e">
        <f>VLOOKUP(A:A,Reviewed!B:C,2,0)</f>
        <v>#N/A</v>
      </c>
      <c r="F248" t="str">
        <f t="shared" si="12"/>
        <v/>
      </c>
    </row>
    <row r="249" spans="3:6" x14ac:dyDescent="0.35">
      <c r="C249" t="str">
        <f>IFERROR(ROUNDUP(VLOOKUP(F249,'30Days-Baseline'!C:D,2,FALSE),0),"NotExist")</f>
        <v>NotExist</v>
      </c>
      <c r="D249" t="str">
        <f t="shared" si="11"/>
        <v>New</v>
      </c>
      <c r="E249" t="e">
        <f>VLOOKUP(A:A,Reviewed!B:C,2,0)</f>
        <v>#N/A</v>
      </c>
      <c r="F249" t="str">
        <f t="shared" si="12"/>
        <v/>
      </c>
    </row>
    <row r="250" spans="3:6" x14ac:dyDescent="0.35">
      <c r="C250" t="str">
        <f>IFERROR(ROUNDUP(VLOOKUP(F250,'30Days-Baseline'!C:D,2,FALSE),0),"NotExist")</f>
        <v>NotExist</v>
      </c>
      <c r="D250" t="str">
        <f t="shared" si="11"/>
        <v>New</v>
      </c>
      <c r="E250" t="e">
        <f>VLOOKUP(A:A,Reviewed!B:C,2,0)</f>
        <v>#N/A</v>
      </c>
      <c r="F250" t="str">
        <f t="shared" si="12"/>
        <v/>
      </c>
    </row>
    <row r="251" spans="3:6" x14ac:dyDescent="0.35">
      <c r="C251" t="str">
        <f>IFERROR(ROUNDUP(VLOOKUP(F251,'30Days-Baseline'!C:D,2,FALSE),0),"NotExist")</f>
        <v>NotExist</v>
      </c>
      <c r="D251" t="str">
        <f t="shared" si="11"/>
        <v>New</v>
      </c>
      <c r="E251" t="e">
        <f>VLOOKUP(A:A,Reviewed!B:C,2,0)</f>
        <v>#N/A</v>
      </c>
      <c r="F251" t="str">
        <f t="shared" si="12"/>
        <v/>
      </c>
    </row>
    <row r="252" spans="3:6" x14ac:dyDescent="0.35">
      <c r="C252" t="str">
        <f>IFERROR(ROUNDUP(VLOOKUP(F252,'30Days-Baseline'!C:D,2,FALSE),0),"NotExist")</f>
        <v>NotExist</v>
      </c>
      <c r="D252" t="str">
        <f t="shared" si="11"/>
        <v>New</v>
      </c>
      <c r="E252" t="e">
        <f>VLOOKUP(A:A,Reviewed!B:C,2,0)</f>
        <v>#N/A</v>
      </c>
      <c r="F252" t="str">
        <f t="shared" si="12"/>
        <v/>
      </c>
    </row>
    <row r="253" spans="3:6" x14ac:dyDescent="0.35">
      <c r="C253" t="str">
        <f>IFERROR(ROUNDUP(VLOOKUP(F253,'30Days-Baseline'!C:D,2,FALSE),0),"NotExist")</f>
        <v>NotExist</v>
      </c>
      <c r="D253" t="str">
        <f t="shared" si="11"/>
        <v>New</v>
      </c>
      <c r="E253" t="e">
        <f>VLOOKUP(A:A,Reviewed!B:C,2,0)</f>
        <v>#N/A</v>
      </c>
      <c r="F253" t="str">
        <f t="shared" si="12"/>
        <v/>
      </c>
    </row>
    <row r="254" spans="3:6" x14ac:dyDescent="0.35">
      <c r="C254" t="str">
        <f>IFERROR(ROUNDUP(VLOOKUP(F254,'30Days-Baseline'!C:D,2,FALSE),0),"NotExist")</f>
        <v>NotExist</v>
      </c>
      <c r="D254" t="str">
        <f t="shared" si="11"/>
        <v>New</v>
      </c>
      <c r="E254" t="e">
        <f>VLOOKUP(A:A,Reviewed!B:C,2,0)</f>
        <v>#N/A</v>
      </c>
      <c r="F254" t="str">
        <f t="shared" si="12"/>
        <v/>
      </c>
    </row>
    <row r="255" spans="3:6" x14ac:dyDescent="0.35">
      <c r="C255" t="str">
        <f>IFERROR(ROUNDUP(VLOOKUP(F255,'30Days-Baseline'!C:D,2,FALSE),0),"NotExist")</f>
        <v>NotExist</v>
      </c>
      <c r="D255" t="str">
        <f t="shared" si="11"/>
        <v>New</v>
      </c>
      <c r="E255" t="e">
        <f>VLOOKUP(A:A,Reviewed!B:C,2,0)</f>
        <v>#N/A</v>
      </c>
      <c r="F255" t="str">
        <f t="shared" si="12"/>
        <v/>
      </c>
    </row>
    <row r="256" spans="3:6" x14ac:dyDescent="0.35">
      <c r="C256" t="str">
        <f>IFERROR(ROUNDUP(VLOOKUP(F256,'30Days-Baseline'!C:D,2,FALSE),0),"NotExist")</f>
        <v>NotExist</v>
      </c>
      <c r="D256" t="str">
        <f t="shared" si="11"/>
        <v>New</v>
      </c>
      <c r="E256" t="e">
        <f>VLOOKUP(A:A,Reviewed!B:C,2,0)</f>
        <v>#N/A</v>
      </c>
      <c r="F256" t="str">
        <f t="shared" si="12"/>
        <v/>
      </c>
    </row>
    <row r="257" spans="3:6" x14ac:dyDescent="0.35">
      <c r="C257" t="str">
        <f>IFERROR(ROUNDUP(VLOOKUP(F257,'30Days-Baseline'!C:D,2,FALSE),0),"NotExist")</f>
        <v>NotExist</v>
      </c>
      <c r="D257" t="str">
        <f t="shared" si="11"/>
        <v>New</v>
      </c>
      <c r="E257" t="e">
        <f>VLOOKUP(A:A,Reviewed!B:C,2,0)</f>
        <v>#N/A</v>
      </c>
      <c r="F257" t="str">
        <f t="shared" si="12"/>
        <v/>
      </c>
    </row>
    <row r="258" spans="3:6" x14ac:dyDescent="0.35">
      <c r="C258" t="str">
        <f>IFERROR(ROUNDUP(VLOOKUP(F258,'30Days-Baseline'!C:D,2,FALSE),0),"NotExist")</f>
        <v>NotExist</v>
      </c>
      <c r="D258" t="str">
        <f t="shared" si="11"/>
        <v>New</v>
      </c>
      <c r="E258" t="e">
        <f>VLOOKUP(A:A,Reviewed!B:C,2,0)</f>
        <v>#N/A</v>
      </c>
      <c r="F258" t="str">
        <f t="shared" si="12"/>
        <v/>
      </c>
    </row>
    <row r="259" spans="3:6" x14ac:dyDescent="0.35">
      <c r="C259" t="str">
        <f>IFERROR(ROUNDUP(VLOOKUP(F259,'30Days-Baseline'!C:D,2,FALSE),0),"NotExist")</f>
        <v>NotExist</v>
      </c>
      <c r="D259" t="str">
        <f t="shared" si="11"/>
        <v>New</v>
      </c>
      <c r="E259" t="e">
        <f>VLOOKUP(A:A,Reviewed!B:C,2,0)</f>
        <v>#N/A</v>
      </c>
      <c r="F259" t="str">
        <f t="shared" si="12"/>
        <v/>
      </c>
    </row>
    <row r="260" spans="3:6" x14ac:dyDescent="0.35">
      <c r="C260" t="str">
        <f>IFERROR(ROUNDUP(VLOOKUP(F260,'30Days-Baseline'!C:D,2,FALSE),0),"NotExist")</f>
        <v>NotExist</v>
      </c>
      <c r="D260" t="str">
        <f t="shared" si="11"/>
        <v>New</v>
      </c>
      <c r="E260" t="e">
        <f>VLOOKUP(A:A,Reviewed!B:C,2,0)</f>
        <v>#N/A</v>
      </c>
      <c r="F260" t="str">
        <f t="shared" si="12"/>
        <v/>
      </c>
    </row>
    <row r="261" spans="3:6" x14ac:dyDescent="0.35">
      <c r="C261" t="str">
        <f>IFERROR(ROUNDUP(VLOOKUP(F261,'30Days-Baseline'!C:D,2,FALSE),0),"NotExist")</f>
        <v>NotExist</v>
      </c>
      <c r="D261" t="str">
        <f t="shared" si="11"/>
        <v>New</v>
      </c>
      <c r="E261" t="e">
        <f>VLOOKUP(A:A,Reviewed!B:C,2,0)</f>
        <v>#N/A</v>
      </c>
      <c r="F261" t="str">
        <f t="shared" si="12"/>
        <v/>
      </c>
    </row>
    <row r="262" spans="3:6" x14ac:dyDescent="0.35">
      <c r="C262" t="str">
        <f>IFERROR(ROUNDUP(VLOOKUP(F262,'30Days-Baseline'!C:D,2,FALSE),0),"NotExist")</f>
        <v>NotExist</v>
      </c>
      <c r="D262" t="str">
        <f t="shared" si="11"/>
        <v>New</v>
      </c>
      <c r="E262" t="e">
        <f>VLOOKUP(A:A,Reviewed!B:C,2,0)</f>
        <v>#N/A</v>
      </c>
      <c r="F262" t="str">
        <f t="shared" si="12"/>
        <v/>
      </c>
    </row>
    <row r="263" spans="3:6" x14ac:dyDescent="0.35">
      <c r="C263" t="str">
        <f>IFERROR(ROUNDUP(VLOOKUP(F263,'30Days-Baseline'!C:D,2,FALSE),0),"NotExist")</f>
        <v>NotExist</v>
      </c>
      <c r="D263" t="str">
        <f t="shared" si="11"/>
        <v>New</v>
      </c>
      <c r="E263" t="e">
        <f>VLOOKUP(A:A,Reviewed!B:C,2,0)</f>
        <v>#N/A</v>
      </c>
      <c r="F263" t="str">
        <f t="shared" si="12"/>
        <v/>
      </c>
    </row>
    <row r="264" spans="3:6" x14ac:dyDescent="0.35">
      <c r="C264" t="str">
        <f>IFERROR(ROUNDUP(VLOOKUP(F264,'30Days-Baseline'!C:D,2,FALSE),0),"NotExist")</f>
        <v>NotExist</v>
      </c>
      <c r="D264" t="str">
        <f t="shared" si="11"/>
        <v>New</v>
      </c>
      <c r="E264" t="e">
        <f>VLOOKUP(A:A,Reviewed!B:C,2,0)</f>
        <v>#N/A</v>
      </c>
      <c r="F264" t="str">
        <f t="shared" si="12"/>
        <v/>
      </c>
    </row>
    <row r="265" spans="3:6" x14ac:dyDescent="0.35">
      <c r="C265" t="str">
        <f>IFERROR(ROUNDUP(VLOOKUP(F265,'30Days-Baseline'!C:D,2,FALSE),0),"NotExist")</f>
        <v>NotExist</v>
      </c>
      <c r="D265" t="str">
        <f t="shared" si="11"/>
        <v>New</v>
      </c>
      <c r="E265" t="e">
        <f>VLOOKUP(A:A,Reviewed!B:C,2,0)</f>
        <v>#N/A</v>
      </c>
      <c r="F265" t="str">
        <f t="shared" si="12"/>
        <v/>
      </c>
    </row>
    <row r="266" spans="3:6" x14ac:dyDescent="0.35">
      <c r="C266" t="str">
        <f>IFERROR(ROUNDUP(VLOOKUP(F266,'30Days-Baseline'!C:D,2,FALSE),0),"NotExist")</f>
        <v>NotExist</v>
      </c>
      <c r="D266" t="str">
        <f t="shared" si="11"/>
        <v>New</v>
      </c>
      <c r="E266" t="e">
        <f>VLOOKUP(A:A,Reviewed!B:C,2,0)</f>
        <v>#N/A</v>
      </c>
      <c r="F266" t="str">
        <f t="shared" si="12"/>
        <v/>
      </c>
    </row>
    <row r="267" spans="3:6" x14ac:dyDescent="0.35">
      <c r="C267" t="str">
        <f>IFERROR(ROUNDUP(VLOOKUP(F267,'30Days-Baseline'!C:D,2,FALSE),0),"NotExist")</f>
        <v>NotExist</v>
      </c>
      <c r="D267" t="str">
        <f t="shared" si="11"/>
        <v>New</v>
      </c>
      <c r="E267" t="e">
        <f>VLOOKUP(A:A,Reviewed!B:C,2,0)</f>
        <v>#N/A</v>
      </c>
      <c r="F267" t="str">
        <f t="shared" si="12"/>
        <v/>
      </c>
    </row>
    <row r="268" spans="3:6" x14ac:dyDescent="0.35">
      <c r="C268" t="str">
        <f>IFERROR(ROUNDUP(VLOOKUP(F268,'30Days-Baseline'!C:D,2,FALSE),0),"NotExist")</f>
        <v>NotExist</v>
      </c>
      <c r="D268" t="str">
        <f t="shared" si="11"/>
        <v>New</v>
      </c>
      <c r="E268" t="e">
        <f>VLOOKUP(A:A,Reviewed!B:C,2,0)</f>
        <v>#N/A</v>
      </c>
      <c r="F268" t="str">
        <f t="shared" si="12"/>
        <v/>
      </c>
    </row>
    <row r="269" spans="3:6" x14ac:dyDescent="0.35">
      <c r="C269" t="str">
        <f>IFERROR(ROUNDUP(VLOOKUP(F269,'30Days-Baseline'!C:D,2,FALSE),0),"NotExist")</f>
        <v>NotExist</v>
      </c>
      <c r="D269" t="str">
        <f t="shared" si="11"/>
        <v>New</v>
      </c>
      <c r="E269" t="e">
        <f>VLOOKUP(A:A,Reviewed!B:C,2,0)</f>
        <v>#N/A</v>
      </c>
      <c r="F269" t="str">
        <f t="shared" si="12"/>
        <v/>
      </c>
    </row>
    <row r="270" spans="3:6" x14ac:dyDescent="0.35">
      <c r="C270" t="str">
        <f>IFERROR(ROUNDUP(VLOOKUP(F270,'30Days-Baseline'!C:D,2,FALSE),0),"NotExist")</f>
        <v>NotExist</v>
      </c>
      <c r="D270" t="str">
        <f t="shared" ref="D270:D273" si="13">IFERROR(IF(B270&gt;ROUNDUP(C270,0),"Elevated","Ok"),"New")</f>
        <v>New</v>
      </c>
      <c r="E270" t="e">
        <f>VLOOKUP(A:A,Reviewed!B:C,2,0)</f>
        <v>#N/A</v>
      </c>
      <c r="F270" t="str">
        <f t="shared" si="12"/>
        <v/>
      </c>
    </row>
    <row r="271" spans="3:6" x14ac:dyDescent="0.35">
      <c r="C271" t="str">
        <f>IFERROR(ROUNDUP(VLOOKUP(F271,'30Days-Baseline'!C:D,2,FALSE),0),"NotExist")</f>
        <v>NotExist</v>
      </c>
      <c r="D271" t="str">
        <f t="shared" si="13"/>
        <v>New</v>
      </c>
      <c r="E271" t="e">
        <f>VLOOKUP(A:A,Reviewed!B:C,2,0)</f>
        <v>#N/A</v>
      </c>
      <c r="F271" t="str">
        <f t="shared" si="12"/>
        <v/>
      </c>
    </row>
    <row r="272" spans="3:6" x14ac:dyDescent="0.35">
      <c r="C272" t="str">
        <f>IFERROR(ROUNDUP(VLOOKUP(F272,'30Days-Baseline'!C:D,2,FALSE),0),"NotExist")</f>
        <v>NotExist</v>
      </c>
      <c r="D272" t="str">
        <f t="shared" si="13"/>
        <v>New</v>
      </c>
      <c r="E272" t="e">
        <f>VLOOKUP(A:A,Reviewed!B:C,2,0)</f>
        <v>#N/A</v>
      </c>
      <c r="F272" t="str">
        <f t="shared" si="12"/>
        <v/>
      </c>
    </row>
    <row r="273" spans="3:6" x14ac:dyDescent="0.35">
      <c r="C273" t="str">
        <f>IFERROR(ROUNDUP(VLOOKUP(F273,'30Days-Baseline'!C:D,2,FALSE),0),"NotExist")</f>
        <v>NotExist</v>
      </c>
      <c r="D273" t="str">
        <f t="shared" si="13"/>
        <v>New</v>
      </c>
      <c r="E273" t="e">
        <f>VLOOKUP(A:A,Reviewed!B:C,2,0)</f>
        <v>#N/A</v>
      </c>
      <c r="F273" t="str">
        <f t="shared" si="12"/>
        <v/>
      </c>
    </row>
    <row r="299" spans="1:1" x14ac:dyDescent="0.35">
      <c r="A299" s="4"/>
    </row>
    <row r="373" spans="3:6" x14ac:dyDescent="0.35">
      <c r="C373" t="str">
        <f>IFERROR(ROUNDUP(VLOOKUP(F373,'30Days-Baseline'!C:D,2,FALSE),0),"NotExist")</f>
        <v>NotExist</v>
      </c>
      <c r="D373" t="str">
        <f t="shared" ref="D373:D402" si="14">IFERROR(IF(B373&gt;ROUNDUP(C373,0),"Elevated","Ok"),"New")</f>
        <v>New</v>
      </c>
      <c r="E373" t="e">
        <f>VLOOKUP(A:A,Reviewed!B:C,2,0)</f>
        <v>#N/A</v>
      </c>
      <c r="F373" t="str">
        <f t="shared" ref="F373:F402" si="15">LEFT(A373,255)</f>
        <v/>
      </c>
    </row>
    <row r="374" spans="3:6" x14ac:dyDescent="0.35">
      <c r="C374" t="str">
        <f>IFERROR(ROUNDUP(VLOOKUP(F374,'30Days-Baseline'!C:D,2,FALSE),0),"NotExist")</f>
        <v>NotExist</v>
      </c>
      <c r="D374" t="str">
        <f t="shared" si="14"/>
        <v>New</v>
      </c>
      <c r="E374" t="e">
        <f>VLOOKUP(A:A,Reviewed!B:C,2,0)</f>
        <v>#N/A</v>
      </c>
      <c r="F374" t="str">
        <f t="shared" si="15"/>
        <v/>
      </c>
    </row>
    <row r="375" spans="3:6" x14ac:dyDescent="0.35">
      <c r="C375" t="str">
        <f>IFERROR(ROUNDUP(VLOOKUP(F375,'30Days-Baseline'!C:D,2,FALSE),0),"NotExist")</f>
        <v>NotExist</v>
      </c>
      <c r="D375" t="str">
        <f t="shared" si="14"/>
        <v>New</v>
      </c>
      <c r="E375" t="e">
        <f>VLOOKUP(A:A,Reviewed!B:C,2,0)</f>
        <v>#N/A</v>
      </c>
      <c r="F375" t="str">
        <f t="shared" si="15"/>
        <v/>
      </c>
    </row>
    <row r="376" spans="3:6" x14ac:dyDescent="0.35">
      <c r="C376" t="str">
        <f>IFERROR(ROUNDUP(VLOOKUP(F376,'30Days-Baseline'!C:D,2,FALSE),0),"NotExist")</f>
        <v>NotExist</v>
      </c>
      <c r="D376" t="str">
        <f t="shared" si="14"/>
        <v>New</v>
      </c>
      <c r="E376" t="e">
        <f>VLOOKUP(A:A,Reviewed!B:C,2,0)</f>
        <v>#N/A</v>
      </c>
      <c r="F376" t="str">
        <f t="shared" si="15"/>
        <v/>
      </c>
    </row>
    <row r="377" spans="3:6" x14ac:dyDescent="0.35">
      <c r="C377" t="str">
        <f>IFERROR(ROUNDUP(VLOOKUP(F377,'30Days-Baseline'!C:D,2,FALSE),0),"NotExist")</f>
        <v>NotExist</v>
      </c>
      <c r="D377" t="str">
        <f t="shared" si="14"/>
        <v>New</v>
      </c>
      <c r="E377" t="e">
        <f>VLOOKUP(A:A,Reviewed!B:C,2,0)</f>
        <v>#N/A</v>
      </c>
      <c r="F377" t="str">
        <f t="shared" si="15"/>
        <v/>
      </c>
    </row>
    <row r="378" spans="3:6" x14ac:dyDescent="0.35">
      <c r="C378" t="str">
        <f>IFERROR(ROUNDUP(VLOOKUP(F378,'30Days-Baseline'!C:D,2,FALSE),0),"NotExist")</f>
        <v>NotExist</v>
      </c>
      <c r="D378" t="str">
        <f t="shared" si="14"/>
        <v>New</v>
      </c>
      <c r="E378" t="e">
        <f>VLOOKUP(A:A,Reviewed!B:C,2,0)</f>
        <v>#N/A</v>
      </c>
      <c r="F378" t="str">
        <f t="shared" si="15"/>
        <v/>
      </c>
    </row>
    <row r="379" spans="3:6" x14ac:dyDescent="0.35">
      <c r="C379" t="str">
        <f>IFERROR(ROUNDUP(VLOOKUP(F379,'30Days-Baseline'!C:D,2,FALSE),0),"NotExist")</f>
        <v>NotExist</v>
      </c>
      <c r="D379" t="str">
        <f t="shared" si="14"/>
        <v>New</v>
      </c>
      <c r="E379" t="e">
        <f>VLOOKUP(A:A,Reviewed!B:C,2,0)</f>
        <v>#N/A</v>
      </c>
      <c r="F379" t="str">
        <f t="shared" si="15"/>
        <v/>
      </c>
    </row>
    <row r="380" spans="3:6" x14ac:dyDescent="0.35">
      <c r="C380" t="str">
        <f>IFERROR(ROUNDUP(VLOOKUP(F380,'30Days-Baseline'!C:D,2,FALSE),0),"NotExist")</f>
        <v>NotExist</v>
      </c>
      <c r="D380" t="str">
        <f t="shared" si="14"/>
        <v>New</v>
      </c>
      <c r="E380" t="e">
        <f>VLOOKUP(A:A,Reviewed!B:C,2,0)</f>
        <v>#N/A</v>
      </c>
      <c r="F380" t="str">
        <f t="shared" si="15"/>
        <v/>
      </c>
    </row>
    <row r="381" spans="3:6" x14ac:dyDescent="0.35">
      <c r="C381" t="str">
        <f>IFERROR(ROUNDUP(VLOOKUP(F381,'30Days-Baseline'!C:D,2,FALSE),0),"NotExist")</f>
        <v>NotExist</v>
      </c>
      <c r="D381" t="str">
        <f t="shared" si="14"/>
        <v>New</v>
      </c>
      <c r="E381" t="e">
        <f>VLOOKUP(A:A,Reviewed!B:C,2,0)</f>
        <v>#N/A</v>
      </c>
      <c r="F381" t="str">
        <f t="shared" si="15"/>
        <v/>
      </c>
    </row>
    <row r="382" spans="3:6" x14ac:dyDescent="0.35">
      <c r="C382" t="str">
        <f>IFERROR(ROUNDUP(VLOOKUP(F382,'30Days-Baseline'!C:D,2,FALSE),0),"NotExist")</f>
        <v>NotExist</v>
      </c>
      <c r="D382" t="str">
        <f t="shared" si="14"/>
        <v>New</v>
      </c>
      <c r="E382" t="e">
        <f>VLOOKUP(A:A,Reviewed!B:C,2,0)</f>
        <v>#N/A</v>
      </c>
      <c r="F382" t="str">
        <f t="shared" si="15"/>
        <v/>
      </c>
    </row>
    <row r="383" spans="3:6" x14ac:dyDescent="0.35">
      <c r="C383" t="str">
        <f>IFERROR(ROUNDUP(VLOOKUP(F383,'30Days-Baseline'!C:D,2,FALSE),0),"NotExist")</f>
        <v>NotExist</v>
      </c>
      <c r="D383" t="str">
        <f t="shared" si="14"/>
        <v>New</v>
      </c>
      <c r="E383" t="e">
        <f>VLOOKUP(A:A,Reviewed!B:C,2,0)</f>
        <v>#N/A</v>
      </c>
      <c r="F383" t="str">
        <f t="shared" si="15"/>
        <v/>
      </c>
    </row>
    <row r="384" spans="3:6" x14ac:dyDescent="0.35">
      <c r="C384" t="str">
        <f>IFERROR(ROUNDUP(VLOOKUP(F384,'30Days-Baseline'!C:D,2,FALSE),0),"NotExist")</f>
        <v>NotExist</v>
      </c>
      <c r="D384" t="str">
        <f t="shared" si="14"/>
        <v>New</v>
      </c>
      <c r="E384" t="e">
        <f>VLOOKUP(A:A,Reviewed!B:C,2,0)</f>
        <v>#N/A</v>
      </c>
      <c r="F384" t="str">
        <f t="shared" si="15"/>
        <v/>
      </c>
    </row>
    <row r="385" spans="3:6" x14ac:dyDescent="0.35">
      <c r="C385" t="str">
        <f>IFERROR(ROUNDUP(VLOOKUP(F385,'30Days-Baseline'!C:D,2,FALSE),0),"NotExist")</f>
        <v>NotExist</v>
      </c>
      <c r="D385" t="str">
        <f t="shared" si="14"/>
        <v>New</v>
      </c>
      <c r="E385" t="e">
        <f>VLOOKUP(A:A,Reviewed!B:C,2,0)</f>
        <v>#N/A</v>
      </c>
      <c r="F385" t="str">
        <f t="shared" si="15"/>
        <v/>
      </c>
    </row>
    <row r="386" spans="3:6" x14ac:dyDescent="0.35">
      <c r="C386" t="str">
        <f>IFERROR(ROUNDUP(VLOOKUP(F386,'30Days-Baseline'!C:D,2,FALSE),0),"NotExist")</f>
        <v>NotExist</v>
      </c>
      <c r="D386" t="str">
        <f t="shared" si="14"/>
        <v>New</v>
      </c>
      <c r="E386" t="e">
        <f>VLOOKUP(A:A,Reviewed!B:C,2,0)</f>
        <v>#N/A</v>
      </c>
      <c r="F386" t="str">
        <f t="shared" si="15"/>
        <v/>
      </c>
    </row>
    <row r="387" spans="3:6" x14ac:dyDescent="0.35">
      <c r="C387" t="str">
        <f>IFERROR(ROUNDUP(VLOOKUP(F387,'30Days-Baseline'!C:D,2,FALSE),0),"NotExist")</f>
        <v>NotExist</v>
      </c>
      <c r="D387" t="str">
        <f t="shared" si="14"/>
        <v>New</v>
      </c>
      <c r="E387" t="e">
        <f>VLOOKUP(A:A,Reviewed!B:C,2,0)</f>
        <v>#N/A</v>
      </c>
      <c r="F387" t="str">
        <f t="shared" si="15"/>
        <v/>
      </c>
    </row>
    <row r="388" spans="3:6" x14ac:dyDescent="0.35">
      <c r="C388" t="str">
        <f>IFERROR(ROUNDUP(VLOOKUP(F388,'30Days-Baseline'!C:D,2,FALSE),0),"NotExist")</f>
        <v>NotExist</v>
      </c>
      <c r="D388" t="str">
        <f t="shared" si="14"/>
        <v>New</v>
      </c>
      <c r="E388" t="e">
        <f>VLOOKUP(A:A,Reviewed!B:C,2,0)</f>
        <v>#N/A</v>
      </c>
      <c r="F388" t="str">
        <f t="shared" si="15"/>
        <v/>
      </c>
    </row>
    <row r="389" spans="3:6" x14ac:dyDescent="0.35">
      <c r="C389" t="str">
        <f>IFERROR(ROUNDUP(VLOOKUP(F389,'30Days-Baseline'!C:D,2,FALSE),0),"NotExist")</f>
        <v>NotExist</v>
      </c>
      <c r="D389" t="str">
        <f t="shared" si="14"/>
        <v>New</v>
      </c>
      <c r="E389" t="e">
        <f>VLOOKUP(A:A,Reviewed!B:C,2,0)</f>
        <v>#N/A</v>
      </c>
      <c r="F389" t="str">
        <f t="shared" si="15"/>
        <v/>
      </c>
    </row>
    <row r="390" spans="3:6" x14ac:dyDescent="0.35">
      <c r="C390" t="str">
        <f>IFERROR(ROUNDUP(VLOOKUP(F390,'30Days-Baseline'!C:D,2,FALSE),0),"NotExist")</f>
        <v>NotExist</v>
      </c>
      <c r="D390" t="str">
        <f t="shared" si="14"/>
        <v>New</v>
      </c>
      <c r="E390" t="e">
        <f>VLOOKUP(A:A,Reviewed!B:C,2,0)</f>
        <v>#N/A</v>
      </c>
      <c r="F390" t="str">
        <f t="shared" si="15"/>
        <v/>
      </c>
    </row>
    <row r="391" spans="3:6" x14ac:dyDescent="0.35">
      <c r="C391" t="str">
        <f>IFERROR(ROUNDUP(VLOOKUP(F391,'30Days-Baseline'!C:D,2,FALSE),0),"NotExist")</f>
        <v>NotExist</v>
      </c>
      <c r="D391" t="str">
        <f t="shared" si="14"/>
        <v>New</v>
      </c>
      <c r="E391" t="e">
        <f>VLOOKUP(A:A,Reviewed!B:C,2,0)</f>
        <v>#N/A</v>
      </c>
      <c r="F391" t="str">
        <f t="shared" si="15"/>
        <v/>
      </c>
    </row>
    <row r="392" spans="3:6" x14ac:dyDescent="0.35">
      <c r="C392" t="str">
        <f>IFERROR(ROUNDUP(VLOOKUP(F392,'30Days-Baseline'!C:D,2,FALSE),0),"NotExist")</f>
        <v>NotExist</v>
      </c>
      <c r="D392" t="str">
        <f t="shared" si="14"/>
        <v>New</v>
      </c>
      <c r="E392" t="e">
        <f>VLOOKUP(A:A,Reviewed!B:C,2,0)</f>
        <v>#N/A</v>
      </c>
      <c r="F392" t="str">
        <f t="shared" si="15"/>
        <v/>
      </c>
    </row>
    <row r="393" spans="3:6" x14ac:dyDescent="0.35">
      <c r="C393" t="str">
        <f>IFERROR(ROUNDUP(VLOOKUP(F393,'30Days-Baseline'!C:D,2,FALSE),0),"NotExist")</f>
        <v>NotExist</v>
      </c>
      <c r="D393" t="str">
        <f t="shared" si="14"/>
        <v>New</v>
      </c>
      <c r="E393" t="e">
        <f>VLOOKUP(A:A,Reviewed!B:C,2,0)</f>
        <v>#N/A</v>
      </c>
      <c r="F393" t="str">
        <f t="shared" si="15"/>
        <v/>
      </c>
    </row>
    <row r="394" spans="3:6" x14ac:dyDescent="0.35">
      <c r="C394" t="str">
        <f>IFERROR(ROUNDUP(VLOOKUP(F394,'30Days-Baseline'!C:D,2,FALSE),0),"NotExist")</f>
        <v>NotExist</v>
      </c>
      <c r="D394" t="str">
        <f t="shared" si="14"/>
        <v>New</v>
      </c>
      <c r="E394" t="e">
        <f>VLOOKUP(A:A,Reviewed!B:C,2,0)</f>
        <v>#N/A</v>
      </c>
      <c r="F394" t="str">
        <f t="shared" si="15"/>
        <v/>
      </c>
    </row>
    <row r="395" spans="3:6" x14ac:dyDescent="0.35">
      <c r="C395" t="str">
        <f>IFERROR(ROUNDUP(VLOOKUP(F395,'30Days-Baseline'!C:D,2,FALSE),0),"NotExist")</f>
        <v>NotExist</v>
      </c>
      <c r="D395" t="str">
        <f t="shared" si="14"/>
        <v>New</v>
      </c>
      <c r="E395" t="e">
        <f>VLOOKUP(A:A,Reviewed!B:C,2,0)</f>
        <v>#N/A</v>
      </c>
      <c r="F395" t="str">
        <f t="shared" si="15"/>
        <v/>
      </c>
    </row>
    <row r="396" spans="3:6" x14ac:dyDescent="0.35">
      <c r="C396" t="str">
        <f>IFERROR(ROUNDUP(VLOOKUP(F396,'30Days-Baseline'!C:D,2,FALSE),0),"NotExist")</f>
        <v>NotExist</v>
      </c>
      <c r="D396" t="str">
        <f t="shared" si="14"/>
        <v>New</v>
      </c>
      <c r="E396" t="e">
        <f>VLOOKUP(A:A,Reviewed!B:C,2,0)</f>
        <v>#N/A</v>
      </c>
      <c r="F396" t="str">
        <f t="shared" si="15"/>
        <v/>
      </c>
    </row>
    <row r="397" spans="3:6" x14ac:dyDescent="0.35">
      <c r="C397" t="str">
        <f>IFERROR(ROUNDUP(VLOOKUP(F397,'30Days-Baseline'!C:D,2,FALSE),0),"NotExist")</f>
        <v>NotExist</v>
      </c>
      <c r="D397" t="str">
        <f t="shared" si="14"/>
        <v>New</v>
      </c>
      <c r="E397" t="e">
        <f>VLOOKUP(A:A,Reviewed!B:C,2,0)</f>
        <v>#N/A</v>
      </c>
      <c r="F397" t="str">
        <f t="shared" si="15"/>
        <v/>
      </c>
    </row>
    <row r="398" spans="3:6" x14ac:dyDescent="0.35">
      <c r="C398" t="str">
        <f>IFERROR(ROUNDUP(VLOOKUP(F398,'30Days-Baseline'!C:D,2,FALSE),0),"NotExist")</f>
        <v>NotExist</v>
      </c>
      <c r="D398" t="str">
        <f t="shared" si="14"/>
        <v>New</v>
      </c>
      <c r="E398" t="e">
        <f>VLOOKUP(A:A,Reviewed!B:C,2,0)</f>
        <v>#N/A</v>
      </c>
      <c r="F398" t="str">
        <f t="shared" si="15"/>
        <v/>
      </c>
    </row>
    <row r="399" spans="3:6" x14ac:dyDescent="0.35">
      <c r="C399" t="str">
        <f>IFERROR(ROUNDUP(VLOOKUP(F399,'30Days-Baseline'!C:D,2,FALSE),0),"NotExist")</f>
        <v>NotExist</v>
      </c>
      <c r="D399" t="str">
        <f t="shared" si="14"/>
        <v>New</v>
      </c>
      <c r="E399" t="e">
        <f>VLOOKUP(A:A,Reviewed!B:C,2,0)</f>
        <v>#N/A</v>
      </c>
      <c r="F399" t="str">
        <f t="shared" si="15"/>
        <v/>
      </c>
    </row>
    <row r="400" spans="3:6" x14ac:dyDescent="0.35">
      <c r="C400" t="str">
        <f>IFERROR(ROUNDUP(VLOOKUP(F400,'30Days-Baseline'!C:D,2,FALSE),0),"NotExist")</f>
        <v>NotExist</v>
      </c>
      <c r="D400" t="str">
        <f t="shared" si="14"/>
        <v>New</v>
      </c>
      <c r="E400" t="e">
        <f>VLOOKUP(A:A,Reviewed!B:C,2,0)</f>
        <v>#N/A</v>
      </c>
      <c r="F400" t="str">
        <f t="shared" si="15"/>
        <v/>
      </c>
    </row>
    <row r="401" spans="1:6" x14ac:dyDescent="0.35">
      <c r="C401" t="str">
        <f>IFERROR(ROUNDUP(VLOOKUP(F401,'30Days-Baseline'!C:D,2,FALSE),0),"NotExist")</f>
        <v>NotExist</v>
      </c>
      <c r="D401" t="str">
        <f t="shared" si="14"/>
        <v>New</v>
      </c>
      <c r="E401" t="e">
        <f>VLOOKUP(A:A,Reviewed!B:C,2,0)</f>
        <v>#N/A</v>
      </c>
      <c r="F401" t="str">
        <f t="shared" si="15"/>
        <v/>
      </c>
    </row>
    <row r="402" spans="1:6" x14ac:dyDescent="0.35">
      <c r="C402" t="str">
        <f>IFERROR(ROUNDUP(VLOOKUP(F402,'30Days-Baseline'!C:D,2,FALSE),0),"NotExist")</f>
        <v>NotExist</v>
      </c>
      <c r="D402" t="str">
        <f t="shared" si="14"/>
        <v>New</v>
      </c>
      <c r="E402" t="e">
        <f>VLOOKUP(A:A,Reviewed!B:C,2,0)</f>
        <v>#N/A</v>
      </c>
      <c r="F402" t="str">
        <f t="shared" si="15"/>
        <v/>
      </c>
    </row>
    <row r="403" spans="1:6" x14ac:dyDescent="0.35">
      <c r="C403" t="str">
        <f>IFERROR(ROUNDUP(VLOOKUP(F403,'30Days-Baseline'!C:D,2,FALSE),0),"NotExist")</f>
        <v>NotExist</v>
      </c>
      <c r="D403" t="str">
        <f t="shared" ref="D403:D466" si="16">IFERROR(IF(B403&gt;ROUNDUP(C403,0),"Elevated","Ok"),"New")</f>
        <v>New</v>
      </c>
      <c r="E403" t="e">
        <f>VLOOKUP(A:A,Reviewed!B:C,2,0)</f>
        <v>#N/A</v>
      </c>
      <c r="F403" t="str">
        <f t="shared" ref="F403:F466" si="17">LEFT(A403,255)</f>
        <v/>
      </c>
    </row>
    <row r="404" spans="1:6" x14ac:dyDescent="0.35">
      <c r="C404" t="str">
        <f>IFERROR(ROUNDUP(VLOOKUP(F404,'30Days-Baseline'!C:D,2,FALSE),0),"NotExist")</f>
        <v>NotExist</v>
      </c>
      <c r="D404" t="str">
        <f t="shared" si="16"/>
        <v>New</v>
      </c>
      <c r="E404" t="e">
        <f>VLOOKUP(A:A,Reviewed!B:C,2,0)</f>
        <v>#N/A</v>
      </c>
      <c r="F404" t="str">
        <f t="shared" si="17"/>
        <v/>
      </c>
    </row>
    <row r="405" spans="1:6" x14ac:dyDescent="0.35">
      <c r="C405" t="str">
        <f>IFERROR(ROUNDUP(VLOOKUP(F405,'30Days-Baseline'!C:D,2,FALSE),0),"NotExist")</f>
        <v>NotExist</v>
      </c>
      <c r="D405" t="str">
        <f t="shared" si="16"/>
        <v>New</v>
      </c>
      <c r="E405" t="e">
        <f>VLOOKUP(A:A,Reviewed!B:C,2,0)</f>
        <v>#N/A</v>
      </c>
      <c r="F405" t="str">
        <f t="shared" si="17"/>
        <v/>
      </c>
    </row>
    <row r="406" spans="1:6" x14ac:dyDescent="0.35">
      <c r="C406" t="str">
        <f>IFERROR(ROUNDUP(VLOOKUP(F406,'30Days-Baseline'!C:D,2,FALSE),0),"NotExist")</f>
        <v>NotExist</v>
      </c>
      <c r="D406" t="str">
        <f t="shared" si="16"/>
        <v>New</v>
      </c>
      <c r="E406" t="e">
        <f>VLOOKUP(A:A,Reviewed!B:C,2,0)</f>
        <v>#N/A</v>
      </c>
      <c r="F406" t="str">
        <f t="shared" si="17"/>
        <v/>
      </c>
    </row>
    <row r="407" spans="1:6" x14ac:dyDescent="0.35">
      <c r="C407" t="str">
        <f>IFERROR(ROUNDUP(VLOOKUP(F407,'30Days-Baseline'!C:D,2,FALSE),0),"NotExist")</f>
        <v>NotExist</v>
      </c>
      <c r="D407" t="str">
        <f t="shared" si="16"/>
        <v>New</v>
      </c>
      <c r="E407" t="e">
        <f>VLOOKUP(A:A,Reviewed!B:C,2,0)</f>
        <v>#N/A</v>
      </c>
      <c r="F407" t="str">
        <f t="shared" si="17"/>
        <v/>
      </c>
    </row>
    <row r="408" spans="1:6" x14ac:dyDescent="0.35">
      <c r="C408" t="str">
        <f>IFERROR(ROUNDUP(VLOOKUP(F408,'30Days-Baseline'!C:D,2,FALSE),0),"NotExist")</f>
        <v>NotExist</v>
      </c>
      <c r="D408" t="str">
        <f t="shared" si="16"/>
        <v>New</v>
      </c>
      <c r="E408" t="e">
        <f>VLOOKUP(A:A,Reviewed!B:C,2,0)</f>
        <v>#N/A</v>
      </c>
      <c r="F408" t="str">
        <f t="shared" si="17"/>
        <v/>
      </c>
    </row>
    <row r="409" spans="1:6" x14ac:dyDescent="0.35">
      <c r="C409" t="str">
        <f>IFERROR(ROUNDUP(VLOOKUP(F409,'30Days-Baseline'!C:D,2,FALSE),0),"NotExist")</f>
        <v>NotExist</v>
      </c>
      <c r="D409" t="str">
        <f t="shared" si="16"/>
        <v>New</v>
      </c>
      <c r="E409" t="e">
        <f>VLOOKUP(A:A,Reviewed!B:C,2,0)</f>
        <v>#N/A</v>
      </c>
      <c r="F409" t="str">
        <f t="shared" si="17"/>
        <v/>
      </c>
    </row>
    <row r="410" spans="1:6" x14ac:dyDescent="0.35">
      <c r="C410" t="str">
        <f>IFERROR(ROUNDUP(VLOOKUP(F410,'30Days-Baseline'!C:D,2,FALSE),0),"NotExist")</f>
        <v>NotExist</v>
      </c>
      <c r="D410" t="str">
        <f t="shared" si="16"/>
        <v>New</v>
      </c>
      <c r="E410" t="e">
        <f>VLOOKUP(A:A,Reviewed!B:C,2,0)</f>
        <v>#N/A</v>
      </c>
      <c r="F410" t="str">
        <f t="shared" si="17"/>
        <v/>
      </c>
    </row>
    <row r="411" spans="1:6" x14ac:dyDescent="0.35">
      <c r="C411" t="str">
        <f>IFERROR(ROUNDUP(VLOOKUP(F411,'30Days-Baseline'!C:D,2,FALSE),0),"NotExist")</f>
        <v>NotExist</v>
      </c>
      <c r="D411" t="str">
        <f t="shared" si="16"/>
        <v>New</v>
      </c>
      <c r="E411" t="e">
        <f>VLOOKUP(A:A,Reviewed!B:C,2,0)</f>
        <v>#N/A</v>
      </c>
      <c r="F411" t="str">
        <f t="shared" si="17"/>
        <v/>
      </c>
    </row>
    <row r="412" spans="1:6" x14ac:dyDescent="0.35">
      <c r="C412" t="str">
        <f>IFERROR(ROUNDUP(VLOOKUP(F412,'30Days-Baseline'!C:D,2,FALSE),0),"NotExist")</f>
        <v>NotExist</v>
      </c>
      <c r="D412" t="str">
        <f t="shared" si="16"/>
        <v>New</v>
      </c>
      <c r="E412" t="e">
        <f>VLOOKUP(A:A,Reviewed!B:C,2,0)</f>
        <v>#N/A</v>
      </c>
      <c r="F412" t="str">
        <f t="shared" si="17"/>
        <v/>
      </c>
    </row>
    <row r="413" spans="1:6" x14ac:dyDescent="0.35">
      <c r="A413" s="4"/>
      <c r="C413" t="str">
        <f>IFERROR(ROUNDUP(VLOOKUP(F413,'30Days-Baseline'!C:D,2,FALSE),0),"NotExist")</f>
        <v>NotExist</v>
      </c>
      <c r="D413" t="str">
        <f t="shared" si="16"/>
        <v>New</v>
      </c>
      <c r="E413" t="e">
        <f>VLOOKUP(A:A,Reviewed!B:C,2,0)</f>
        <v>#N/A</v>
      </c>
      <c r="F413" t="str">
        <f t="shared" si="17"/>
        <v/>
      </c>
    </row>
    <row r="414" spans="1:6" x14ac:dyDescent="0.35">
      <c r="C414" t="str">
        <f>IFERROR(ROUNDUP(VLOOKUP(F414,'30Days-Baseline'!C:D,2,FALSE),0),"NotExist")</f>
        <v>NotExist</v>
      </c>
      <c r="D414" t="str">
        <f t="shared" si="16"/>
        <v>New</v>
      </c>
      <c r="E414" t="e">
        <f>VLOOKUP(A:A,Reviewed!B:C,2,0)</f>
        <v>#N/A</v>
      </c>
      <c r="F414" t="str">
        <f t="shared" si="17"/>
        <v/>
      </c>
    </row>
    <row r="415" spans="1:6" x14ac:dyDescent="0.35">
      <c r="C415" t="str">
        <f>IFERROR(ROUNDUP(VLOOKUP(F415,'30Days-Baseline'!C:D,2,FALSE),0),"NotExist")</f>
        <v>NotExist</v>
      </c>
      <c r="D415" t="str">
        <f t="shared" si="16"/>
        <v>New</v>
      </c>
      <c r="E415" t="e">
        <f>VLOOKUP(A:A,Reviewed!B:C,2,0)</f>
        <v>#N/A</v>
      </c>
      <c r="F415" t="str">
        <f t="shared" si="17"/>
        <v/>
      </c>
    </row>
    <row r="416" spans="1:6" x14ac:dyDescent="0.35">
      <c r="C416" t="str">
        <f>IFERROR(ROUNDUP(VLOOKUP(F416,'30Days-Baseline'!C:D,2,FALSE),0),"NotExist")</f>
        <v>NotExist</v>
      </c>
      <c r="D416" t="str">
        <f t="shared" si="16"/>
        <v>New</v>
      </c>
      <c r="E416" t="e">
        <f>VLOOKUP(A:A,Reviewed!B:C,2,0)</f>
        <v>#N/A</v>
      </c>
      <c r="F416" t="str">
        <f t="shared" si="17"/>
        <v/>
      </c>
    </row>
    <row r="417" spans="3:6" x14ac:dyDescent="0.35">
      <c r="C417" t="str">
        <f>IFERROR(ROUNDUP(VLOOKUP(F417,'30Days-Baseline'!C:D,2,FALSE),0),"NotExist")</f>
        <v>NotExist</v>
      </c>
      <c r="D417" t="str">
        <f t="shared" si="16"/>
        <v>New</v>
      </c>
      <c r="E417" t="e">
        <f>VLOOKUP(A:A,Reviewed!B:C,2,0)</f>
        <v>#N/A</v>
      </c>
      <c r="F417" t="str">
        <f t="shared" si="17"/>
        <v/>
      </c>
    </row>
    <row r="418" spans="3:6" x14ac:dyDescent="0.35">
      <c r="C418" t="str">
        <f>IFERROR(ROUNDUP(VLOOKUP(F418,'30Days-Baseline'!C:D,2,FALSE),0),"NotExist")</f>
        <v>NotExist</v>
      </c>
      <c r="D418" t="str">
        <f t="shared" si="16"/>
        <v>New</v>
      </c>
      <c r="E418" t="e">
        <f>VLOOKUP(A:A,Reviewed!B:C,2,0)</f>
        <v>#N/A</v>
      </c>
      <c r="F418" t="str">
        <f t="shared" si="17"/>
        <v/>
      </c>
    </row>
    <row r="419" spans="3:6" x14ac:dyDescent="0.35">
      <c r="C419" t="str">
        <f>IFERROR(ROUNDUP(VLOOKUP(F419,'30Days-Baseline'!C:D,2,FALSE),0),"NotExist")</f>
        <v>NotExist</v>
      </c>
      <c r="D419" t="str">
        <f t="shared" si="16"/>
        <v>New</v>
      </c>
      <c r="E419" t="e">
        <f>VLOOKUP(A:A,Reviewed!B:C,2,0)</f>
        <v>#N/A</v>
      </c>
      <c r="F419" t="str">
        <f t="shared" si="17"/>
        <v/>
      </c>
    </row>
    <row r="420" spans="3:6" x14ac:dyDescent="0.35">
      <c r="C420" t="str">
        <f>IFERROR(ROUNDUP(VLOOKUP(F420,'30Days-Baseline'!C:D,2,FALSE),0),"NotExist")</f>
        <v>NotExist</v>
      </c>
      <c r="D420" t="str">
        <f t="shared" si="16"/>
        <v>New</v>
      </c>
      <c r="E420" t="e">
        <f>VLOOKUP(A:A,Reviewed!B:C,2,0)</f>
        <v>#N/A</v>
      </c>
      <c r="F420" t="str">
        <f t="shared" si="17"/>
        <v/>
      </c>
    </row>
    <row r="421" spans="3:6" x14ac:dyDescent="0.35">
      <c r="C421" t="str">
        <f>IFERROR(ROUNDUP(VLOOKUP(F421,'30Days-Baseline'!C:D,2,FALSE),0),"NotExist")</f>
        <v>NotExist</v>
      </c>
      <c r="D421" t="str">
        <f t="shared" si="16"/>
        <v>New</v>
      </c>
      <c r="E421" t="e">
        <f>VLOOKUP(A:A,Reviewed!B:C,2,0)</f>
        <v>#N/A</v>
      </c>
      <c r="F421" t="str">
        <f t="shared" si="17"/>
        <v/>
      </c>
    </row>
    <row r="422" spans="3:6" x14ac:dyDescent="0.35">
      <c r="C422" t="str">
        <f>IFERROR(ROUNDUP(VLOOKUP(F422,'30Days-Baseline'!C:D,2,FALSE),0),"NotExist")</f>
        <v>NotExist</v>
      </c>
      <c r="D422" t="str">
        <f t="shared" si="16"/>
        <v>New</v>
      </c>
      <c r="E422" t="e">
        <f>VLOOKUP(A:A,Reviewed!B:C,2,0)</f>
        <v>#N/A</v>
      </c>
      <c r="F422" t="str">
        <f t="shared" si="17"/>
        <v/>
      </c>
    </row>
    <row r="423" spans="3:6" x14ac:dyDescent="0.35">
      <c r="C423" t="str">
        <f>IFERROR(ROUNDUP(VLOOKUP(F423,'30Days-Baseline'!C:D,2,FALSE),0),"NotExist")</f>
        <v>NotExist</v>
      </c>
      <c r="D423" t="str">
        <f t="shared" si="16"/>
        <v>New</v>
      </c>
      <c r="E423" t="e">
        <f>VLOOKUP(A:A,Reviewed!B:C,2,0)</f>
        <v>#N/A</v>
      </c>
      <c r="F423" t="str">
        <f t="shared" si="17"/>
        <v/>
      </c>
    </row>
    <row r="424" spans="3:6" x14ac:dyDescent="0.35">
      <c r="C424" t="str">
        <f>IFERROR(ROUNDUP(VLOOKUP(F424,'30Days-Baseline'!C:D,2,FALSE),0),"NotExist")</f>
        <v>NotExist</v>
      </c>
      <c r="D424" t="str">
        <f t="shared" si="16"/>
        <v>New</v>
      </c>
      <c r="E424" t="e">
        <f>VLOOKUP(A:A,Reviewed!B:C,2,0)</f>
        <v>#N/A</v>
      </c>
      <c r="F424" t="str">
        <f t="shared" si="17"/>
        <v/>
      </c>
    </row>
    <row r="425" spans="3:6" x14ac:dyDescent="0.35">
      <c r="C425" t="str">
        <f>IFERROR(ROUNDUP(VLOOKUP(F425,'30Days-Baseline'!C:D,2,FALSE),0),"NotExist")</f>
        <v>NotExist</v>
      </c>
      <c r="D425" t="str">
        <f t="shared" si="16"/>
        <v>New</v>
      </c>
      <c r="E425" t="e">
        <f>VLOOKUP(A:A,Reviewed!B:C,2,0)</f>
        <v>#N/A</v>
      </c>
      <c r="F425" t="str">
        <f t="shared" si="17"/>
        <v/>
      </c>
    </row>
    <row r="426" spans="3:6" x14ac:dyDescent="0.35">
      <c r="C426" t="str">
        <f>IFERROR(ROUNDUP(VLOOKUP(F426,'30Days-Baseline'!C:D,2,FALSE),0),"NotExist")</f>
        <v>NotExist</v>
      </c>
      <c r="D426" t="str">
        <f t="shared" si="16"/>
        <v>New</v>
      </c>
      <c r="E426" t="e">
        <f>VLOOKUP(A:A,Reviewed!B:C,2,0)</f>
        <v>#N/A</v>
      </c>
      <c r="F426" t="str">
        <f t="shared" si="17"/>
        <v/>
      </c>
    </row>
    <row r="427" spans="3:6" x14ac:dyDescent="0.35">
      <c r="C427" t="str">
        <f>IFERROR(ROUNDUP(VLOOKUP(F427,'30Days-Baseline'!C:D,2,FALSE),0),"NotExist")</f>
        <v>NotExist</v>
      </c>
      <c r="D427" t="str">
        <f t="shared" si="16"/>
        <v>New</v>
      </c>
      <c r="E427" t="e">
        <f>VLOOKUP(A:A,Reviewed!B:C,2,0)</f>
        <v>#N/A</v>
      </c>
      <c r="F427" t="str">
        <f t="shared" si="17"/>
        <v/>
      </c>
    </row>
    <row r="428" spans="3:6" x14ac:dyDescent="0.35">
      <c r="C428" t="str">
        <f>IFERROR(ROUNDUP(VLOOKUP(F428,'30Days-Baseline'!C:D,2,FALSE),0),"NotExist")</f>
        <v>NotExist</v>
      </c>
      <c r="D428" t="str">
        <f t="shared" si="16"/>
        <v>New</v>
      </c>
      <c r="E428" t="e">
        <f>VLOOKUP(A:A,Reviewed!B:C,2,0)</f>
        <v>#N/A</v>
      </c>
      <c r="F428" t="str">
        <f t="shared" si="17"/>
        <v/>
      </c>
    </row>
    <row r="429" spans="3:6" x14ac:dyDescent="0.35">
      <c r="C429" t="str">
        <f>IFERROR(ROUNDUP(VLOOKUP(F429,'30Days-Baseline'!C:D,2,FALSE),0),"NotExist")</f>
        <v>NotExist</v>
      </c>
      <c r="D429" t="str">
        <f t="shared" si="16"/>
        <v>New</v>
      </c>
      <c r="E429" t="e">
        <f>VLOOKUP(A:A,Reviewed!B:C,2,0)</f>
        <v>#N/A</v>
      </c>
      <c r="F429" t="str">
        <f t="shared" si="17"/>
        <v/>
      </c>
    </row>
    <row r="430" spans="3:6" x14ac:dyDescent="0.35">
      <c r="C430" t="str">
        <f>IFERROR(ROUNDUP(VLOOKUP(F430,'30Days-Baseline'!C:D,2,FALSE),0),"NotExist")</f>
        <v>NotExist</v>
      </c>
      <c r="D430" t="str">
        <f t="shared" si="16"/>
        <v>New</v>
      </c>
      <c r="E430" t="e">
        <f>VLOOKUP(A:A,Reviewed!B:C,2,0)</f>
        <v>#N/A</v>
      </c>
      <c r="F430" t="str">
        <f t="shared" si="17"/>
        <v/>
      </c>
    </row>
    <row r="431" spans="3:6" x14ac:dyDescent="0.35">
      <c r="C431" t="str">
        <f>IFERROR(ROUNDUP(VLOOKUP(F431,'30Days-Baseline'!C:D,2,FALSE),0),"NotExist")</f>
        <v>NotExist</v>
      </c>
      <c r="D431" t="str">
        <f t="shared" si="16"/>
        <v>New</v>
      </c>
      <c r="E431" t="e">
        <f>VLOOKUP(A:A,Reviewed!B:C,2,0)</f>
        <v>#N/A</v>
      </c>
      <c r="F431" t="str">
        <f t="shared" si="17"/>
        <v/>
      </c>
    </row>
    <row r="432" spans="3:6" x14ac:dyDescent="0.35">
      <c r="C432" t="str">
        <f>IFERROR(ROUNDUP(VLOOKUP(F432,'30Days-Baseline'!C:D,2,FALSE),0),"NotExist")</f>
        <v>NotExist</v>
      </c>
      <c r="D432" t="str">
        <f t="shared" si="16"/>
        <v>New</v>
      </c>
      <c r="E432" t="e">
        <f>VLOOKUP(A:A,Reviewed!B:C,2,0)</f>
        <v>#N/A</v>
      </c>
      <c r="F432" t="str">
        <f t="shared" si="17"/>
        <v/>
      </c>
    </row>
    <row r="433" spans="3:6" x14ac:dyDescent="0.35">
      <c r="C433" t="str">
        <f>IFERROR(ROUNDUP(VLOOKUP(F433,'30Days-Baseline'!C:D,2,FALSE),0),"NotExist")</f>
        <v>NotExist</v>
      </c>
      <c r="D433" t="str">
        <f t="shared" si="16"/>
        <v>New</v>
      </c>
      <c r="E433" t="e">
        <f>VLOOKUP(A:A,Reviewed!B:C,2,0)</f>
        <v>#N/A</v>
      </c>
      <c r="F433" t="str">
        <f t="shared" si="17"/>
        <v/>
      </c>
    </row>
    <row r="434" spans="3:6" x14ac:dyDescent="0.35">
      <c r="C434" t="str">
        <f>IFERROR(ROUNDUP(VLOOKUP(F434,'30Days-Baseline'!C:D,2,FALSE),0),"NotExist")</f>
        <v>NotExist</v>
      </c>
      <c r="D434" t="str">
        <f t="shared" si="16"/>
        <v>New</v>
      </c>
      <c r="E434" t="e">
        <f>VLOOKUP(A:A,Reviewed!B:C,2,0)</f>
        <v>#N/A</v>
      </c>
      <c r="F434" t="str">
        <f t="shared" si="17"/>
        <v/>
      </c>
    </row>
    <row r="435" spans="3:6" x14ac:dyDescent="0.35">
      <c r="C435" t="str">
        <f>IFERROR(ROUNDUP(VLOOKUP(F435,'30Days-Baseline'!C:D,2,FALSE),0),"NotExist")</f>
        <v>NotExist</v>
      </c>
      <c r="D435" t="str">
        <f t="shared" si="16"/>
        <v>New</v>
      </c>
      <c r="E435" t="e">
        <f>VLOOKUP(A:A,Reviewed!B:C,2,0)</f>
        <v>#N/A</v>
      </c>
      <c r="F435" t="str">
        <f t="shared" si="17"/>
        <v/>
      </c>
    </row>
    <row r="436" spans="3:6" x14ac:dyDescent="0.35">
      <c r="C436" t="str">
        <f>IFERROR(ROUNDUP(VLOOKUP(F436,'30Days-Baseline'!C:D,2,FALSE),0),"NotExist")</f>
        <v>NotExist</v>
      </c>
      <c r="D436" t="str">
        <f t="shared" si="16"/>
        <v>New</v>
      </c>
      <c r="E436" t="e">
        <f>VLOOKUP(A:A,Reviewed!B:C,2,0)</f>
        <v>#N/A</v>
      </c>
      <c r="F436" t="str">
        <f t="shared" si="17"/>
        <v/>
      </c>
    </row>
    <row r="437" spans="3:6" x14ac:dyDescent="0.35">
      <c r="C437" t="str">
        <f>IFERROR(ROUNDUP(VLOOKUP(F437,'30Days-Baseline'!C:D,2,FALSE),0),"NotExist")</f>
        <v>NotExist</v>
      </c>
      <c r="D437" t="str">
        <f t="shared" si="16"/>
        <v>New</v>
      </c>
      <c r="E437" t="e">
        <f>VLOOKUP(A:A,Reviewed!B:C,2,0)</f>
        <v>#N/A</v>
      </c>
      <c r="F437" t="str">
        <f t="shared" si="17"/>
        <v/>
      </c>
    </row>
    <row r="438" spans="3:6" x14ac:dyDescent="0.35">
      <c r="C438" t="str">
        <f>IFERROR(ROUNDUP(VLOOKUP(F438,'30Days-Baseline'!C:D,2,FALSE),0),"NotExist")</f>
        <v>NotExist</v>
      </c>
      <c r="D438" t="str">
        <f t="shared" si="16"/>
        <v>New</v>
      </c>
      <c r="E438" t="e">
        <f>VLOOKUP(A:A,Reviewed!B:C,2,0)</f>
        <v>#N/A</v>
      </c>
      <c r="F438" t="str">
        <f t="shared" si="17"/>
        <v/>
      </c>
    </row>
    <row r="439" spans="3:6" x14ac:dyDescent="0.35">
      <c r="C439" t="str">
        <f>IFERROR(ROUNDUP(VLOOKUP(F439,'30Days-Baseline'!C:D,2,FALSE),0),"NotExist")</f>
        <v>NotExist</v>
      </c>
      <c r="D439" t="str">
        <f t="shared" si="16"/>
        <v>New</v>
      </c>
      <c r="E439" t="e">
        <f>VLOOKUP(A:A,Reviewed!B:C,2,0)</f>
        <v>#N/A</v>
      </c>
      <c r="F439" t="str">
        <f t="shared" si="17"/>
        <v/>
      </c>
    </row>
    <row r="440" spans="3:6" x14ac:dyDescent="0.35">
      <c r="C440" t="str">
        <f>IFERROR(ROUNDUP(VLOOKUP(F440,'30Days-Baseline'!C:D,2,FALSE),0),"NotExist")</f>
        <v>NotExist</v>
      </c>
      <c r="D440" t="str">
        <f t="shared" si="16"/>
        <v>New</v>
      </c>
      <c r="E440" t="e">
        <f>VLOOKUP(A:A,Reviewed!B:C,2,0)</f>
        <v>#N/A</v>
      </c>
      <c r="F440" t="str">
        <f t="shared" si="17"/>
        <v/>
      </c>
    </row>
    <row r="441" spans="3:6" x14ac:dyDescent="0.35">
      <c r="C441" t="str">
        <f>IFERROR(ROUNDUP(VLOOKUP(F441,'30Days-Baseline'!C:D,2,FALSE),0),"NotExist")</f>
        <v>NotExist</v>
      </c>
      <c r="D441" t="str">
        <f t="shared" si="16"/>
        <v>New</v>
      </c>
      <c r="E441" t="e">
        <f>VLOOKUP(A:A,Reviewed!B:C,2,0)</f>
        <v>#N/A</v>
      </c>
      <c r="F441" t="str">
        <f t="shared" si="17"/>
        <v/>
      </c>
    </row>
    <row r="442" spans="3:6" x14ac:dyDescent="0.35">
      <c r="C442" t="str">
        <f>IFERROR(ROUNDUP(VLOOKUP(F442,'30Days-Baseline'!C:D,2,FALSE),0),"NotExist")</f>
        <v>NotExist</v>
      </c>
      <c r="D442" t="str">
        <f t="shared" si="16"/>
        <v>New</v>
      </c>
      <c r="E442" t="e">
        <f>VLOOKUP(A:A,Reviewed!B:C,2,0)</f>
        <v>#N/A</v>
      </c>
      <c r="F442" t="str">
        <f t="shared" si="17"/>
        <v/>
      </c>
    </row>
    <row r="443" spans="3:6" x14ac:dyDescent="0.35">
      <c r="C443" t="str">
        <f>IFERROR(ROUNDUP(VLOOKUP(F443,'30Days-Baseline'!C:D,2,FALSE),0),"NotExist")</f>
        <v>NotExist</v>
      </c>
      <c r="D443" t="str">
        <f t="shared" si="16"/>
        <v>New</v>
      </c>
      <c r="E443" t="e">
        <f>VLOOKUP(A:A,Reviewed!B:C,2,0)</f>
        <v>#N/A</v>
      </c>
      <c r="F443" t="str">
        <f t="shared" si="17"/>
        <v/>
      </c>
    </row>
    <row r="444" spans="3:6" x14ac:dyDescent="0.35">
      <c r="C444" t="str">
        <f>IFERROR(ROUNDUP(VLOOKUP(F444,'30Days-Baseline'!C:D,2,FALSE),0),"NotExist")</f>
        <v>NotExist</v>
      </c>
      <c r="D444" t="str">
        <f t="shared" si="16"/>
        <v>New</v>
      </c>
      <c r="E444" t="e">
        <f>VLOOKUP(A:A,Reviewed!B:C,2,0)</f>
        <v>#N/A</v>
      </c>
      <c r="F444" t="str">
        <f t="shared" si="17"/>
        <v/>
      </c>
    </row>
    <row r="445" spans="3:6" x14ac:dyDescent="0.35">
      <c r="C445" t="str">
        <f>IFERROR(ROUNDUP(VLOOKUP(F445,'30Days-Baseline'!C:D,2,FALSE),0),"NotExist")</f>
        <v>NotExist</v>
      </c>
      <c r="D445" t="str">
        <f t="shared" si="16"/>
        <v>New</v>
      </c>
      <c r="E445" t="e">
        <f>VLOOKUP(A:A,Reviewed!B:C,2,0)</f>
        <v>#N/A</v>
      </c>
      <c r="F445" t="str">
        <f t="shared" si="17"/>
        <v/>
      </c>
    </row>
    <row r="446" spans="3:6" x14ac:dyDescent="0.35">
      <c r="C446" t="str">
        <f>IFERROR(ROUNDUP(VLOOKUP(F446,'30Days-Baseline'!C:D,2,FALSE),0),"NotExist")</f>
        <v>NotExist</v>
      </c>
      <c r="D446" t="str">
        <f t="shared" si="16"/>
        <v>New</v>
      </c>
      <c r="E446" t="e">
        <f>VLOOKUP(A:A,Reviewed!B:C,2,0)</f>
        <v>#N/A</v>
      </c>
      <c r="F446" t="str">
        <f t="shared" si="17"/>
        <v/>
      </c>
    </row>
    <row r="447" spans="3:6" x14ac:dyDescent="0.35">
      <c r="C447" t="str">
        <f>IFERROR(ROUNDUP(VLOOKUP(F447,'30Days-Baseline'!C:D,2,FALSE),0),"NotExist")</f>
        <v>NotExist</v>
      </c>
      <c r="D447" t="str">
        <f t="shared" si="16"/>
        <v>New</v>
      </c>
      <c r="E447" t="e">
        <f>VLOOKUP(A:A,Reviewed!B:C,2,0)</f>
        <v>#N/A</v>
      </c>
      <c r="F447" t="str">
        <f t="shared" si="17"/>
        <v/>
      </c>
    </row>
    <row r="448" spans="3:6" x14ac:dyDescent="0.35">
      <c r="C448" t="str">
        <f>IFERROR(ROUNDUP(VLOOKUP(F448,'30Days-Baseline'!C:D,2,FALSE),0),"NotExist")</f>
        <v>NotExist</v>
      </c>
      <c r="D448" t="str">
        <f t="shared" si="16"/>
        <v>New</v>
      </c>
      <c r="E448" t="e">
        <f>VLOOKUP(A:A,Reviewed!B:C,2,0)</f>
        <v>#N/A</v>
      </c>
      <c r="F448" t="str">
        <f t="shared" si="17"/>
        <v/>
      </c>
    </row>
    <row r="449" spans="3:6" x14ac:dyDescent="0.35">
      <c r="C449" t="str">
        <f>IFERROR(ROUNDUP(VLOOKUP(F449,'30Days-Baseline'!C:D,2,FALSE),0),"NotExist")</f>
        <v>NotExist</v>
      </c>
      <c r="D449" t="str">
        <f t="shared" si="16"/>
        <v>New</v>
      </c>
      <c r="E449" t="e">
        <f>VLOOKUP(A:A,Reviewed!B:C,2,0)</f>
        <v>#N/A</v>
      </c>
      <c r="F449" t="str">
        <f t="shared" si="17"/>
        <v/>
      </c>
    </row>
    <row r="450" spans="3:6" x14ac:dyDescent="0.35">
      <c r="C450" t="str">
        <f>IFERROR(ROUNDUP(VLOOKUP(F450,'30Days-Baseline'!C:D,2,FALSE),0),"NotExist")</f>
        <v>NotExist</v>
      </c>
      <c r="D450" t="str">
        <f t="shared" si="16"/>
        <v>New</v>
      </c>
      <c r="E450" t="e">
        <f>VLOOKUP(A:A,Reviewed!B:C,2,0)</f>
        <v>#N/A</v>
      </c>
      <c r="F450" t="str">
        <f t="shared" si="17"/>
        <v/>
      </c>
    </row>
    <row r="451" spans="3:6" x14ac:dyDescent="0.35">
      <c r="C451" t="str">
        <f>IFERROR(ROUNDUP(VLOOKUP(F451,'30Days-Baseline'!C:D,2,FALSE),0),"NotExist")</f>
        <v>NotExist</v>
      </c>
      <c r="D451" t="str">
        <f t="shared" si="16"/>
        <v>New</v>
      </c>
      <c r="E451" t="e">
        <f>VLOOKUP(A:A,Reviewed!B:C,2,0)</f>
        <v>#N/A</v>
      </c>
      <c r="F451" t="str">
        <f t="shared" si="17"/>
        <v/>
      </c>
    </row>
    <row r="452" spans="3:6" x14ac:dyDescent="0.35">
      <c r="C452" t="str">
        <f>IFERROR(ROUNDUP(VLOOKUP(F452,'30Days-Baseline'!C:D,2,FALSE),0),"NotExist")</f>
        <v>NotExist</v>
      </c>
      <c r="D452" t="str">
        <f t="shared" si="16"/>
        <v>New</v>
      </c>
      <c r="E452" t="e">
        <f>VLOOKUP(A:A,Reviewed!B:C,2,0)</f>
        <v>#N/A</v>
      </c>
      <c r="F452" t="str">
        <f t="shared" si="17"/>
        <v/>
      </c>
    </row>
    <row r="453" spans="3:6" x14ac:dyDescent="0.35">
      <c r="C453" t="str">
        <f>IFERROR(ROUNDUP(VLOOKUP(F453,'30Days-Baseline'!C:D,2,FALSE),0),"NotExist")</f>
        <v>NotExist</v>
      </c>
      <c r="D453" t="str">
        <f t="shared" si="16"/>
        <v>New</v>
      </c>
      <c r="E453" t="e">
        <f>VLOOKUP(A:A,Reviewed!B:C,2,0)</f>
        <v>#N/A</v>
      </c>
      <c r="F453" t="str">
        <f t="shared" si="17"/>
        <v/>
      </c>
    </row>
    <row r="454" spans="3:6" x14ac:dyDescent="0.35">
      <c r="C454" t="str">
        <f>IFERROR(ROUNDUP(VLOOKUP(F454,'30Days-Baseline'!C:D,2,FALSE),0),"NotExist")</f>
        <v>NotExist</v>
      </c>
      <c r="D454" t="str">
        <f t="shared" si="16"/>
        <v>New</v>
      </c>
      <c r="E454" t="e">
        <f>VLOOKUP(A:A,Reviewed!B:C,2,0)</f>
        <v>#N/A</v>
      </c>
      <c r="F454" t="str">
        <f t="shared" si="17"/>
        <v/>
      </c>
    </row>
    <row r="455" spans="3:6" x14ac:dyDescent="0.35">
      <c r="C455" t="str">
        <f>IFERROR(ROUNDUP(VLOOKUP(F455,'30Days-Baseline'!C:D,2,FALSE),0),"NotExist")</f>
        <v>NotExist</v>
      </c>
      <c r="D455" t="str">
        <f t="shared" si="16"/>
        <v>New</v>
      </c>
      <c r="E455" t="e">
        <f>VLOOKUP(A:A,Reviewed!B:C,2,0)</f>
        <v>#N/A</v>
      </c>
      <c r="F455" t="str">
        <f t="shared" si="17"/>
        <v/>
      </c>
    </row>
    <row r="456" spans="3:6" x14ac:dyDescent="0.35">
      <c r="C456" t="str">
        <f>IFERROR(ROUNDUP(VLOOKUP(F456,'30Days-Baseline'!C:D,2,FALSE),0),"NotExist")</f>
        <v>NotExist</v>
      </c>
      <c r="D456" t="str">
        <f t="shared" si="16"/>
        <v>New</v>
      </c>
      <c r="E456" t="e">
        <f>VLOOKUP(A:A,Reviewed!B:C,2,0)</f>
        <v>#N/A</v>
      </c>
      <c r="F456" t="str">
        <f t="shared" si="17"/>
        <v/>
      </c>
    </row>
    <row r="457" spans="3:6" x14ac:dyDescent="0.35">
      <c r="C457" t="str">
        <f>IFERROR(ROUNDUP(VLOOKUP(F457,'30Days-Baseline'!C:D,2,FALSE),0),"NotExist")</f>
        <v>NotExist</v>
      </c>
      <c r="D457" t="str">
        <f t="shared" si="16"/>
        <v>New</v>
      </c>
      <c r="E457" t="e">
        <f>VLOOKUP(A:A,Reviewed!B:C,2,0)</f>
        <v>#N/A</v>
      </c>
      <c r="F457" t="str">
        <f t="shared" si="17"/>
        <v/>
      </c>
    </row>
    <row r="458" spans="3:6" x14ac:dyDescent="0.35">
      <c r="C458" t="str">
        <f>IFERROR(ROUNDUP(VLOOKUP(F458,'30Days-Baseline'!C:D,2,FALSE),0),"NotExist")</f>
        <v>NotExist</v>
      </c>
      <c r="D458" t="str">
        <f t="shared" si="16"/>
        <v>New</v>
      </c>
      <c r="E458" t="e">
        <f>VLOOKUP(A:A,Reviewed!B:C,2,0)</f>
        <v>#N/A</v>
      </c>
      <c r="F458" t="str">
        <f t="shared" si="17"/>
        <v/>
      </c>
    </row>
    <row r="459" spans="3:6" x14ac:dyDescent="0.35">
      <c r="C459" t="str">
        <f>IFERROR(ROUNDUP(VLOOKUP(F459,'30Days-Baseline'!C:D,2,FALSE),0),"NotExist")</f>
        <v>NotExist</v>
      </c>
      <c r="D459" t="str">
        <f t="shared" si="16"/>
        <v>New</v>
      </c>
      <c r="E459" t="e">
        <f>VLOOKUP(A:A,Reviewed!B:C,2,0)</f>
        <v>#N/A</v>
      </c>
      <c r="F459" t="str">
        <f t="shared" si="17"/>
        <v/>
      </c>
    </row>
    <row r="460" spans="3:6" x14ac:dyDescent="0.35">
      <c r="C460" t="str">
        <f>IFERROR(ROUNDUP(VLOOKUP(F460,'30Days-Baseline'!C:D,2,FALSE),0),"NotExist")</f>
        <v>NotExist</v>
      </c>
      <c r="D460" t="str">
        <f t="shared" si="16"/>
        <v>New</v>
      </c>
      <c r="E460" t="e">
        <f>VLOOKUP(A:A,Reviewed!B:C,2,0)</f>
        <v>#N/A</v>
      </c>
      <c r="F460" t="str">
        <f t="shared" si="17"/>
        <v/>
      </c>
    </row>
    <row r="461" spans="3:6" x14ac:dyDescent="0.35">
      <c r="C461" t="str">
        <f>IFERROR(ROUNDUP(VLOOKUP(F461,'30Days-Baseline'!C:D,2,FALSE),0),"NotExist")</f>
        <v>NotExist</v>
      </c>
      <c r="D461" t="str">
        <f t="shared" si="16"/>
        <v>New</v>
      </c>
      <c r="E461" t="e">
        <f>VLOOKUP(A:A,Reviewed!B:C,2,0)</f>
        <v>#N/A</v>
      </c>
      <c r="F461" t="str">
        <f t="shared" si="17"/>
        <v/>
      </c>
    </row>
    <row r="462" spans="3:6" x14ac:dyDescent="0.35">
      <c r="C462" t="str">
        <f>IFERROR(ROUNDUP(VLOOKUP(F462,'30Days-Baseline'!C:D,2,FALSE),0),"NotExist")</f>
        <v>NotExist</v>
      </c>
      <c r="D462" t="str">
        <f t="shared" si="16"/>
        <v>New</v>
      </c>
      <c r="E462" t="e">
        <f>VLOOKUP(A:A,Reviewed!B:C,2,0)</f>
        <v>#N/A</v>
      </c>
      <c r="F462" t="str">
        <f t="shared" si="17"/>
        <v/>
      </c>
    </row>
    <row r="463" spans="3:6" x14ac:dyDescent="0.35">
      <c r="C463" t="str">
        <f>IFERROR(ROUNDUP(VLOOKUP(F463,'30Days-Baseline'!C:D,2,FALSE),0),"NotExist")</f>
        <v>NotExist</v>
      </c>
      <c r="D463" t="str">
        <f t="shared" si="16"/>
        <v>New</v>
      </c>
      <c r="E463" t="e">
        <f>VLOOKUP(A:A,Reviewed!B:C,2,0)</f>
        <v>#N/A</v>
      </c>
      <c r="F463" t="str">
        <f t="shared" si="17"/>
        <v/>
      </c>
    </row>
    <row r="464" spans="3:6" x14ac:dyDescent="0.35">
      <c r="C464" t="str">
        <f>IFERROR(ROUNDUP(VLOOKUP(F464,'30Days-Baseline'!C:D,2,FALSE),0),"NotExist")</f>
        <v>NotExist</v>
      </c>
      <c r="D464" t="str">
        <f t="shared" si="16"/>
        <v>New</v>
      </c>
      <c r="E464" t="e">
        <f>VLOOKUP(A:A,Reviewed!B:C,2,0)</f>
        <v>#N/A</v>
      </c>
      <c r="F464" t="str">
        <f t="shared" si="17"/>
        <v/>
      </c>
    </row>
    <row r="465" spans="3:6" x14ac:dyDescent="0.35">
      <c r="C465" t="str">
        <f>IFERROR(ROUNDUP(VLOOKUP(F465,'30Days-Baseline'!C:D,2,FALSE),0),"NotExist")</f>
        <v>NotExist</v>
      </c>
      <c r="D465" t="str">
        <f t="shared" si="16"/>
        <v>New</v>
      </c>
      <c r="E465" t="e">
        <f>VLOOKUP(A:A,Reviewed!B:C,2,0)</f>
        <v>#N/A</v>
      </c>
      <c r="F465" t="str">
        <f t="shared" si="17"/>
        <v/>
      </c>
    </row>
    <row r="466" spans="3:6" x14ac:dyDescent="0.35">
      <c r="C466" t="str">
        <f>IFERROR(ROUNDUP(VLOOKUP(F466,'30Days-Baseline'!C:D,2,FALSE),0),"NotExist")</f>
        <v>NotExist</v>
      </c>
      <c r="D466" t="str">
        <f t="shared" si="16"/>
        <v>New</v>
      </c>
      <c r="E466" t="e">
        <f>VLOOKUP(A:A,Reviewed!B:C,2,0)</f>
        <v>#N/A</v>
      </c>
      <c r="F466" t="str">
        <f t="shared" si="17"/>
        <v/>
      </c>
    </row>
    <row r="467" spans="3:6" x14ac:dyDescent="0.35">
      <c r="C467" t="str">
        <f>IFERROR(ROUNDUP(VLOOKUP(F467,'30Days-Baseline'!C:D,2,FALSE),0),"NotExist")</f>
        <v>NotExist</v>
      </c>
      <c r="D467" t="str">
        <f t="shared" ref="D467:D530" si="18">IFERROR(IF(B467&gt;ROUNDUP(C467,0),"Elevated","Ok"),"New")</f>
        <v>New</v>
      </c>
      <c r="E467" t="e">
        <f>VLOOKUP(A:A,Reviewed!B:C,2,0)</f>
        <v>#N/A</v>
      </c>
      <c r="F467" t="str">
        <f t="shared" ref="F467:F530" si="19">LEFT(A467,255)</f>
        <v/>
      </c>
    </row>
    <row r="468" spans="3:6" x14ac:dyDescent="0.35">
      <c r="C468" t="str">
        <f>IFERROR(ROUNDUP(VLOOKUP(F468,'30Days-Baseline'!C:D,2,FALSE),0),"NotExist")</f>
        <v>NotExist</v>
      </c>
      <c r="D468" t="str">
        <f t="shared" si="18"/>
        <v>New</v>
      </c>
      <c r="E468" t="e">
        <f>VLOOKUP(A:A,Reviewed!B:C,2,0)</f>
        <v>#N/A</v>
      </c>
      <c r="F468" t="str">
        <f t="shared" si="19"/>
        <v/>
      </c>
    </row>
    <row r="469" spans="3:6" x14ac:dyDescent="0.35">
      <c r="C469" t="str">
        <f>IFERROR(ROUNDUP(VLOOKUP(F469,'30Days-Baseline'!C:D,2,FALSE),0),"NotExist")</f>
        <v>NotExist</v>
      </c>
      <c r="D469" t="str">
        <f t="shared" si="18"/>
        <v>New</v>
      </c>
      <c r="E469" t="e">
        <f>VLOOKUP(A:A,Reviewed!B:C,2,0)</f>
        <v>#N/A</v>
      </c>
      <c r="F469" t="str">
        <f t="shared" si="19"/>
        <v/>
      </c>
    </row>
    <row r="470" spans="3:6" x14ac:dyDescent="0.35">
      <c r="C470" t="str">
        <f>IFERROR(ROUNDUP(VLOOKUP(F470,'30Days-Baseline'!C:D,2,FALSE),0),"NotExist")</f>
        <v>NotExist</v>
      </c>
      <c r="D470" t="str">
        <f t="shared" si="18"/>
        <v>New</v>
      </c>
      <c r="E470" t="e">
        <f>VLOOKUP(A:A,Reviewed!B:C,2,0)</f>
        <v>#N/A</v>
      </c>
      <c r="F470" t="str">
        <f t="shared" si="19"/>
        <v/>
      </c>
    </row>
    <row r="471" spans="3:6" x14ac:dyDescent="0.35">
      <c r="C471" t="str">
        <f>IFERROR(ROUNDUP(VLOOKUP(F471,'30Days-Baseline'!C:D,2,FALSE),0),"NotExist")</f>
        <v>NotExist</v>
      </c>
      <c r="D471" t="str">
        <f t="shared" si="18"/>
        <v>New</v>
      </c>
      <c r="E471" t="e">
        <f>VLOOKUP(A:A,Reviewed!B:C,2,0)</f>
        <v>#N/A</v>
      </c>
      <c r="F471" t="str">
        <f t="shared" si="19"/>
        <v/>
      </c>
    </row>
    <row r="472" spans="3:6" x14ac:dyDescent="0.35">
      <c r="C472" t="str">
        <f>IFERROR(ROUNDUP(VLOOKUP(F472,'30Days-Baseline'!C:D,2,FALSE),0),"NotExist")</f>
        <v>NotExist</v>
      </c>
      <c r="D472" t="str">
        <f t="shared" si="18"/>
        <v>New</v>
      </c>
      <c r="E472" t="e">
        <f>VLOOKUP(A:A,Reviewed!B:C,2,0)</f>
        <v>#N/A</v>
      </c>
      <c r="F472" t="str">
        <f t="shared" si="19"/>
        <v/>
      </c>
    </row>
    <row r="473" spans="3:6" x14ac:dyDescent="0.35">
      <c r="C473" t="str">
        <f>IFERROR(ROUNDUP(VLOOKUP(F473,'30Days-Baseline'!C:D,2,FALSE),0),"NotExist")</f>
        <v>NotExist</v>
      </c>
      <c r="D473" t="str">
        <f t="shared" si="18"/>
        <v>New</v>
      </c>
      <c r="E473" t="e">
        <f>VLOOKUP(A:A,Reviewed!B:C,2,0)</f>
        <v>#N/A</v>
      </c>
      <c r="F473" t="str">
        <f t="shared" si="19"/>
        <v/>
      </c>
    </row>
    <row r="474" spans="3:6" x14ac:dyDescent="0.35">
      <c r="C474" t="str">
        <f>IFERROR(ROUNDUP(VLOOKUP(F474,'30Days-Baseline'!C:D,2,FALSE),0),"NotExist")</f>
        <v>NotExist</v>
      </c>
      <c r="D474" t="str">
        <f t="shared" si="18"/>
        <v>New</v>
      </c>
      <c r="E474" t="e">
        <f>VLOOKUP(A:A,Reviewed!B:C,2,0)</f>
        <v>#N/A</v>
      </c>
      <c r="F474" t="str">
        <f t="shared" si="19"/>
        <v/>
      </c>
    </row>
    <row r="475" spans="3:6" x14ac:dyDescent="0.35">
      <c r="C475" t="str">
        <f>IFERROR(ROUNDUP(VLOOKUP(F475,'30Days-Baseline'!C:D,2,FALSE),0),"NotExist")</f>
        <v>NotExist</v>
      </c>
      <c r="D475" t="str">
        <f t="shared" si="18"/>
        <v>New</v>
      </c>
      <c r="E475" t="e">
        <f>VLOOKUP(A:A,Reviewed!B:C,2,0)</f>
        <v>#N/A</v>
      </c>
      <c r="F475" t="str">
        <f t="shared" si="19"/>
        <v/>
      </c>
    </row>
    <row r="476" spans="3:6" x14ac:dyDescent="0.35">
      <c r="C476" t="str">
        <f>IFERROR(ROUNDUP(VLOOKUP(F476,'30Days-Baseline'!C:D,2,FALSE),0),"NotExist")</f>
        <v>NotExist</v>
      </c>
      <c r="D476" t="str">
        <f t="shared" si="18"/>
        <v>New</v>
      </c>
      <c r="E476" t="e">
        <f>VLOOKUP(A:A,Reviewed!B:C,2,0)</f>
        <v>#N/A</v>
      </c>
      <c r="F476" t="str">
        <f t="shared" si="19"/>
        <v/>
      </c>
    </row>
    <row r="477" spans="3:6" x14ac:dyDescent="0.35">
      <c r="C477" t="str">
        <f>IFERROR(ROUNDUP(VLOOKUP(F477,'30Days-Baseline'!C:D,2,FALSE),0),"NotExist")</f>
        <v>NotExist</v>
      </c>
      <c r="D477" t="str">
        <f t="shared" si="18"/>
        <v>New</v>
      </c>
      <c r="E477" t="e">
        <f>VLOOKUP(A:A,Reviewed!B:C,2,0)</f>
        <v>#N/A</v>
      </c>
      <c r="F477" t="str">
        <f t="shared" si="19"/>
        <v/>
      </c>
    </row>
    <row r="478" spans="3:6" x14ac:dyDescent="0.35">
      <c r="C478" t="str">
        <f>IFERROR(ROUNDUP(VLOOKUP(F478,'30Days-Baseline'!C:D,2,FALSE),0),"NotExist")</f>
        <v>NotExist</v>
      </c>
      <c r="D478" t="str">
        <f t="shared" si="18"/>
        <v>New</v>
      </c>
      <c r="E478" t="e">
        <f>VLOOKUP(A:A,Reviewed!B:C,2,0)</f>
        <v>#N/A</v>
      </c>
      <c r="F478" t="str">
        <f t="shared" si="19"/>
        <v/>
      </c>
    </row>
    <row r="479" spans="3:6" x14ac:dyDescent="0.35">
      <c r="C479" t="str">
        <f>IFERROR(ROUNDUP(VLOOKUP(F479,'30Days-Baseline'!C:D,2,FALSE),0),"NotExist")</f>
        <v>NotExist</v>
      </c>
      <c r="D479" t="str">
        <f t="shared" si="18"/>
        <v>New</v>
      </c>
      <c r="E479" t="e">
        <f>VLOOKUP(A:A,Reviewed!B:C,2,0)</f>
        <v>#N/A</v>
      </c>
      <c r="F479" t="str">
        <f t="shared" si="19"/>
        <v/>
      </c>
    </row>
    <row r="480" spans="3:6" x14ac:dyDescent="0.35">
      <c r="C480" t="str">
        <f>IFERROR(ROUNDUP(VLOOKUP(F480,'30Days-Baseline'!C:D,2,FALSE),0),"NotExist")</f>
        <v>NotExist</v>
      </c>
      <c r="D480" t="str">
        <f t="shared" si="18"/>
        <v>New</v>
      </c>
      <c r="E480" t="e">
        <f>VLOOKUP(A:A,Reviewed!B:C,2,0)</f>
        <v>#N/A</v>
      </c>
      <c r="F480" t="str">
        <f t="shared" si="19"/>
        <v/>
      </c>
    </row>
    <row r="481" spans="3:6" x14ac:dyDescent="0.35">
      <c r="C481" t="str">
        <f>IFERROR(ROUNDUP(VLOOKUP(F481,'30Days-Baseline'!C:D,2,FALSE),0),"NotExist")</f>
        <v>NotExist</v>
      </c>
      <c r="D481" t="str">
        <f t="shared" si="18"/>
        <v>New</v>
      </c>
      <c r="E481" t="e">
        <f>VLOOKUP(A:A,Reviewed!B:C,2,0)</f>
        <v>#N/A</v>
      </c>
      <c r="F481" t="str">
        <f t="shared" si="19"/>
        <v/>
      </c>
    </row>
    <row r="482" spans="3:6" x14ac:dyDescent="0.35">
      <c r="C482" t="str">
        <f>IFERROR(ROUNDUP(VLOOKUP(F482,'30Days-Baseline'!C:D,2,FALSE),0),"NotExist")</f>
        <v>NotExist</v>
      </c>
      <c r="D482" t="str">
        <f t="shared" si="18"/>
        <v>New</v>
      </c>
      <c r="E482" t="e">
        <f>VLOOKUP(A:A,Reviewed!B:C,2,0)</f>
        <v>#N/A</v>
      </c>
      <c r="F482" t="str">
        <f t="shared" si="19"/>
        <v/>
      </c>
    </row>
    <row r="483" spans="3:6" x14ac:dyDescent="0.35">
      <c r="C483" t="str">
        <f>IFERROR(ROUNDUP(VLOOKUP(F483,'30Days-Baseline'!C:D,2,FALSE),0),"NotExist")</f>
        <v>NotExist</v>
      </c>
      <c r="D483" t="str">
        <f t="shared" si="18"/>
        <v>New</v>
      </c>
      <c r="E483" t="e">
        <f>VLOOKUP(A:A,Reviewed!B:C,2,0)</f>
        <v>#N/A</v>
      </c>
      <c r="F483" t="str">
        <f t="shared" si="19"/>
        <v/>
      </c>
    </row>
    <row r="484" spans="3:6" x14ac:dyDescent="0.35">
      <c r="C484" t="str">
        <f>IFERROR(ROUNDUP(VLOOKUP(F484,'30Days-Baseline'!C:D,2,FALSE),0),"NotExist")</f>
        <v>NotExist</v>
      </c>
      <c r="D484" t="str">
        <f t="shared" si="18"/>
        <v>New</v>
      </c>
      <c r="E484" t="e">
        <f>VLOOKUP(A:A,Reviewed!B:C,2,0)</f>
        <v>#N/A</v>
      </c>
      <c r="F484" t="str">
        <f t="shared" si="19"/>
        <v/>
      </c>
    </row>
    <row r="485" spans="3:6" x14ac:dyDescent="0.35">
      <c r="C485" t="str">
        <f>IFERROR(ROUNDUP(VLOOKUP(F485,'30Days-Baseline'!C:D,2,FALSE),0),"NotExist")</f>
        <v>NotExist</v>
      </c>
      <c r="D485" t="str">
        <f t="shared" si="18"/>
        <v>New</v>
      </c>
      <c r="E485" t="e">
        <f>VLOOKUP(A:A,Reviewed!B:C,2,0)</f>
        <v>#N/A</v>
      </c>
      <c r="F485" t="str">
        <f t="shared" si="19"/>
        <v/>
      </c>
    </row>
    <row r="486" spans="3:6" x14ac:dyDescent="0.35">
      <c r="C486" t="str">
        <f>IFERROR(ROUNDUP(VLOOKUP(F486,'30Days-Baseline'!C:D,2,FALSE),0),"NotExist")</f>
        <v>NotExist</v>
      </c>
      <c r="D486" t="str">
        <f t="shared" si="18"/>
        <v>New</v>
      </c>
      <c r="E486" t="e">
        <f>VLOOKUP(A:A,Reviewed!B:C,2,0)</f>
        <v>#N/A</v>
      </c>
      <c r="F486" t="str">
        <f t="shared" si="19"/>
        <v/>
      </c>
    </row>
    <row r="487" spans="3:6" x14ac:dyDescent="0.35">
      <c r="C487" t="str">
        <f>IFERROR(ROUNDUP(VLOOKUP(F487,'30Days-Baseline'!C:D,2,FALSE),0),"NotExist")</f>
        <v>NotExist</v>
      </c>
      <c r="D487" t="str">
        <f t="shared" si="18"/>
        <v>New</v>
      </c>
      <c r="E487" t="e">
        <f>VLOOKUP(A:A,Reviewed!B:C,2,0)</f>
        <v>#N/A</v>
      </c>
      <c r="F487" t="str">
        <f t="shared" si="19"/>
        <v/>
      </c>
    </row>
    <row r="488" spans="3:6" x14ac:dyDescent="0.35">
      <c r="C488" t="str">
        <f>IFERROR(ROUNDUP(VLOOKUP(F488,'30Days-Baseline'!C:D,2,FALSE),0),"NotExist")</f>
        <v>NotExist</v>
      </c>
      <c r="D488" t="str">
        <f t="shared" si="18"/>
        <v>New</v>
      </c>
      <c r="E488" t="e">
        <f>VLOOKUP(A:A,Reviewed!B:C,2,0)</f>
        <v>#N/A</v>
      </c>
      <c r="F488" t="str">
        <f t="shared" si="19"/>
        <v/>
      </c>
    </row>
    <row r="489" spans="3:6" x14ac:dyDescent="0.35">
      <c r="C489" t="str">
        <f>IFERROR(ROUNDUP(VLOOKUP(F489,'30Days-Baseline'!C:D,2,FALSE),0),"NotExist")</f>
        <v>NotExist</v>
      </c>
      <c r="D489" t="str">
        <f t="shared" si="18"/>
        <v>New</v>
      </c>
      <c r="E489" t="e">
        <f>VLOOKUP(A:A,Reviewed!B:C,2,0)</f>
        <v>#N/A</v>
      </c>
      <c r="F489" t="str">
        <f t="shared" si="19"/>
        <v/>
      </c>
    </row>
    <row r="490" spans="3:6" x14ac:dyDescent="0.35">
      <c r="C490" t="str">
        <f>IFERROR(ROUNDUP(VLOOKUP(F490,'30Days-Baseline'!C:D,2,FALSE),0),"NotExist")</f>
        <v>NotExist</v>
      </c>
      <c r="D490" t="str">
        <f t="shared" si="18"/>
        <v>New</v>
      </c>
      <c r="E490" t="e">
        <f>VLOOKUP(A:A,Reviewed!B:C,2,0)</f>
        <v>#N/A</v>
      </c>
      <c r="F490" t="str">
        <f t="shared" si="19"/>
        <v/>
      </c>
    </row>
    <row r="491" spans="3:6" x14ac:dyDescent="0.35">
      <c r="C491" t="str">
        <f>IFERROR(ROUNDUP(VLOOKUP(F491,'30Days-Baseline'!C:D,2,FALSE),0),"NotExist")</f>
        <v>NotExist</v>
      </c>
      <c r="D491" t="str">
        <f t="shared" si="18"/>
        <v>New</v>
      </c>
      <c r="E491" t="e">
        <f>VLOOKUP(A:A,Reviewed!B:C,2,0)</f>
        <v>#N/A</v>
      </c>
      <c r="F491" t="str">
        <f t="shared" si="19"/>
        <v/>
      </c>
    </row>
    <row r="492" spans="3:6" x14ac:dyDescent="0.35">
      <c r="C492" t="str">
        <f>IFERROR(ROUNDUP(VLOOKUP(F492,'30Days-Baseline'!C:D,2,FALSE),0),"NotExist")</f>
        <v>NotExist</v>
      </c>
      <c r="D492" t="str">
        <f t="shared" si="18"/>
        <v>New</v>
      </c>
      <c r="E492" t="e">
        <f>VLOOKUP(A:A,Reviewed!B:C,2,0)</f>
        <v>#N/A</v>
      </c>
      <c r="F492" t="str">
        <f t="shared" si="19"/>
        <v/>
      </c>
    </row>
    <row r="493" spans="3:6" x14ac:dyDescent="0.35">
      <c r="C493" t="str">
        <f>IFERROR(ROUNDUP(VLOOKUP(F493,'30Days-Baseline'!C:D,2,FALSE),0),"NotExist")</f>
        <v>NotExist</v>
      </c>
      <c r="D493" t="str">
        <f t="shared" si="18"/>
        <v>New</v>
      </c>
      <c r="E493" t="e">
        <f>VLOOKUP(A:A,Reviewed!B:C,2,0)</f>
        <v>#N/A</v>
      </c>
      <c r="F493" t="str">
        <f t="shared" si="19"/>
        <v/>
      </c>
    </row>
    <row r="494" spans="3:6" x14ac:dyDescent="0.35">
      <c r="C494" t="str">
        <f>IFERROR(ROUNDUP(VLOOKUP(F494,'30Days-Baseline'!C:D,2,FALSE),0),"NotExist")</f>
        <v>NotExist</v>
      </c>
      <c r="D494" t="str">
        <f t="shared" si="18"/>
        <v>New</v>
      </c>
      <c r="E494" t="e">
        <f>VLOOKUP(A:A,Reviewed!B:C,2,0)</f>
        <v>#N/A</v>
      </c>
      <c r="F494" t="str">
        <f t="shared" si="19"/>
        <v/>
      </c>
    </row>
    <row r="495" spans="3:6" x14ac:dyDescent="0.35">
      <c r="C495" t="str">
        <f>IFERROR(ROUNDUP(VLOOKUP(F495,'30Days-Baseline'!C:D,2,FALSE),0),"NotExist")</f>
        <v>NotExist</v>
      </c>
      <c r="D495" t="str">
        <f t="shared" si="18"/>
        <v>New</v>
      </c>
      <c r="E495" t="e">
        <f>VLOOKUP(A:A,Reviewed!B:C,2,0)</f>
        <v>#N/A</v>
      </c>
      <c r="F495" t="str">
        <f t="shared" si="19"/>
        <v/>
      </c>
    </row>
    <row r="496" spans="3:6" x14ac:dyDescent="0.35">
      <c r="C496" t="str">
        <f>IFERROR(ROUNDUP(VLOOKUP(F496,'30Days-Baseline'!C:D,2,FALSE),0),"NotExist")</f>
        <v>NotExist</v>
      </c>
      <c r="D496" t="str">
        <f t="shared" si="18"/>
        <v>New</v>
      </c>
      <c r="E496" t="e">
        <f>VLOOKUP(A:A,Reviewed!B:C,2,0)</f>
        <v>#N/A</v>
      </c>
      <c r="F496" t="str">
        <f t="shared" si="19"/>
        <v/>
      </c>
    </row>
    <row r="497" spans="1:6" x14ac:dyDescent="0.35">
      <c r="C497" t="str">
        <f>IFERROR(ROUNDUP(VLOOKUP(F497,'30Days-Baseline'!C:D,2,FALSE),0),"NotExist")</f>
        <v>NotExist</v>
      </c>
      <c r="D497" t="str">
        <f t="shared" si="18"/>
        <v>New</v>
      </c>
      <c r="E497" t="e">
        <f>VLOOKUP(A:A,Reviewed!B:C,2,0)</f>
        <v>#N/A</v>
      </c>
      <c r="F497" t="str">
        <f t="shared" si="19"/>
        <v/>
      </c>
    </row>
    <row r="498" spans="1:6" x14ac:dyDescent="0.35">
      <c r="C498" t="str">
        <f>IFERROR(ROUNDUP(VLOOKUP(F498,'30Days-Baseline'!C:D,2,FALSE),0),"NotExist")</f>
        <v>NotExist</v>
      </c>
      <c r="D498" t="str">
        <f t="shared" si="18"/>
        <v>New</v>
      </c>
      <c r="E498" t="e">
        <f>VLOOKUP(A:A,Reviewed!B:C,2,0)</f>
        <v>#N/A</v>
      </c>
      <c r="F498" t="str">
        <f t="shared" si="19"/>
        <v/>
      </c>
    </row>
    <row r="499" spans="1:6" x14ac:dyDescent="0.35">
      <c r="C499" t="str">
        <f>IFERROR(ROUNDUP(VLOOKUP(F499,'30Days-Baseline'!C:D,2,FALSE),0),"NotExist")</f>
        <v>NotExist</v>
      </c>
      <c r="D499" t="str">
        <f t="shared" si="18"/>
        <v>New</v>
      </c>
      <c r="E499" t="e">
        <f>VLOOKUP(A:A,Reviewed!B:C,2,0)</f>
        <v>#N/A</v>
      </c>
      <c r="F499" t="str">
        <f t="shared" si="19"/>
        <v/>
      </c>
    </row>
    <row r="500" spans="1:6" x14ac:dyDescent="0.35">
      <c r="C500" t="str">
        <f>IFERROR(ROUNDUP(VLOOKUP(F500,'30Days-Baseline'!C:D,2,FALSE),0),"NotExist")</f>
        <v>NotExist</v>
      </c>
      <c r="D500" t="str">
        <f t="shared" si="18"/>
        <v>New</v>
      </c>
      <c r="E500" t="e">
        <f>VLOOKUP(A:A,Reviewed!B:C,2,0)</f>
        <v>#N/A</v>
      </c>
      <c r="F500" t="str">
        <f t="shared" si="19"/>
        <v/>
      </c>
    </row>
    <row r="501" spans="1:6" x14ac:dyDescent="0.35">
      <c r="C501" t="str">
        <f>IFERROR(ROUNDUP(VLOOKUP(F501,'30Days-Baseline'!C:D,2,FALSE),0),"NotExist")</f>
        <v>NotExist</v>
      </c>
      <c r="D501" t="str">
        <f t="shared" si="18"/>
        <v>New</v>
      </c>
      <c r="E501" t="e">
        <f>VLOOKUP(A:A,Reviewed!B:C,2,0)</f>
        <v>#N/A</v>
      </c>
      <c r="F501" t="str">
        <f t="shared" si="19"/>
        <v/>
      </c>
    </row>
    <row r="502" spans="1:6" x14ac:dyDescent="0.35">
      <c r="C502" t="str">
        <f>IFERROR(ROUNDUP(VLOOKUP(F502,'30Days-Baseline'!C:D,2,FALSE),0),"NotExist")</f>
        <v>NotExist</v>
      </c>
      <c r="D502" t="str">
        <f t="shared" si="18"/>
        <v>New</v>
      </c>
      <c r="E502" t="e">
        <f>VLOOKUP(A:A,Reviewed!B:C,2,0)</f>
        <v>#N/A</v>
      </c>
      <c r="F502" t="str">
        <f t="shared" si="19"/>
        <v/>
      </c>
    </row>
    <row r="503" spans="1:6" x14ac:dyDescent="0.35">
      <c r="C503" t="str">
        <f>IFERROR(ROUNDUP(VLOOKUP(F503,'30Days-Baseline'!C:D,2,FALSE),0),"NotExist")</f>
        <v>NotExist</v>
      </c>
      <c r="D503" t="str">
        <f t="shared" si="18"/>
        <v>New</v>
      </c>
      <c r="E503" t="e">
        <f>VLOOKUP(A:A,Reviewed!B:C,2,0)</f>
        <v>#N/A</v>
      </c>
      <c r="F503" t="str">
        <f t="shared" si="19"/>
        <v/>
      </c>
    </row>
    <row r="504" spans="1:6" x14ac:dyDescent="0.35">
      <c r="C504" t="str">
        <f>IFERROR(ROUNDUP(VLOOKUP(F504,'30Days-Baseline'!C:D,2,FALSE),0),"NotExist")</f>
        <v>NotExist</v>
      </c>
      <c r="D504" t="str">
        <f t="shared" si="18"/>
        <v>New</v>
      </c>
      <c r="E504" t="e">
        <f>VLOOKUP(A:A,Reviewed!B:C,2,0)</f>
        <v>#N/A</v>
      </c>
      <c r="F504" t="str">
        <f t="shared" si="19"/>
        <v/>
      </c>
    </row>
    <row r="505" spans="1:6" x14ac:dyDescent="0.35">
      <c r="C505" t="str">
        <f>IFERROR(ROUNDUP(VLOOKUP(F505,'30Days-Baseline'!C:D,2,FALSE),0),"NotExist")</f>
        <v>NotExist</v>
      </c>
      <c r="D505" t="str">
        <f t="shared" si="18"/>
        <v>New</v>
      </c>
      <c r="E505" t="e">
        <f>VLOOKUP(A:A,Reviewed!B:C,2,0)</f>
        <v>#N/A</v>
      </c>
      <c r="F505" t="str">
        <f t="shared" si="19"/>
        <v/>
      </c>
    </row>
    <row r="506" spans="1:6" x14ac:dyDescent="0.35">
      <c r="A506" s="4"/>
      <c r="C506" t="str">
        <f>IFERROR(ROUNDUP(VLOOKUP(F506,'30Days-Baseline'!C:D,2,FALSE),0),"NotExist")</f>
        <v>NotExist</v>
      </c>
      <c r="D506" t="str">
        <f t="shared" si="18"/>
        <v>New</v>
      </c>
      <c r="E506" t="e">
        <f>VLOOKUP(A:A,Reviewed!B:C,2,0)</f>
        <v>#N/A</v>
      </c>
      <c r="F506" t="str">
        <f t="shared" si="19"/>
        <v/>
      </c>
    </row>
    <row r="507" spans="1:6" x14ac:dyDescent="0.35">
      <c r="C507" t="str">
        <f>IFERROR(ROUNDUP(VLOOKUP(F507,'30Days-Baseline'!C:D,2,FALSE),0),"NotExist")</f>
        <v>NotExist</v>
      </c>
      <c r="D507" t="str">
        <f t="shared" si="18"/>
        <v>New</v>
      </c>
      <c r="E507" t="e">
        <f>VLOOKUP(A:A,Reviewed!B:C,2,0)</f>
        <v>#N/A</v>
      </c>
      <c r="F507" t="str">
        <f t="shared" si="19"/>
        <v/>
      </c>
    </row>
    <row r="508" spans="1:6" x14ac:dyDescent="0.35">
      <c r="C508" t="str">
        <f>IFERROR(ROUNDUP(VLOOKUP(F508,'30Days-Baseline'!C:D,2,FALSE),0),"NotExist")</f>
        <v>NotExist</v>
      </c>
      <c r="D508" t="str">
        <f t="shared" si="18"/>
        <v>New</v>
      </c>
      <c r="E508" t="e">
        <f>VLOOKUP(A:A,Reviewed!B:C,2,0)</f>
        <v>#N/A</v>
      </c>
      <c r="F508" t="str">
        <f t="shared" si="19"/>
        <v/>
      </c>
    </row>
    <row r="509" spans="1:6" x14ac:dyDescent="0.35">
      <c r="C509" t="str">
        <f>IFERROR(ROUNDUP(VLOOKUP(F509,'30Days-Baseline'!C:D,2,FALSE),0),"NotExist")</f>
        <v>NotExist</v>
      </c>
      <c r="D509" t="str">
        <f t="shared" si="18"/>
        <v>New</v>
      </c>
      <c r="E509" t="e">
        <f>VLOOKUP(A:A,Reviewed!B:C,2,0)</f>
        <v>#N/A</v>
      </c>
      <c r="F509" t="str">
        <f t="shared" si="19"/>
        <v/>
      </c>
    </row>
    <row r="510" spans="1:6" x14ac:dyDescent="0.35">
      <c r="C510" t="str">
        <f>IFERROR(ROUNDUP(VLOOKUP(F510,'30Days-Baseline'!C:D,2,FALSE),0),"NotExist")</f>
        <v>NotExist</v>
      </c>
      <c r="D510" t="str">
        <f t="shared" si="18"/>
        <v>New</v>
      </c>
      <c r="E510" t="e">
        <f>VLOOKUP(A:A,Reviewed!B:C,2,0)</f>
        <v>#N/A</v>
      </c>
      <c r="F510" t="str">
        <f t="shared" si="19"/>
        <v/>
      </c>
    </row>
    <row r="511" spans="1:6" x14ac:dyDescent="0.35">
      <c r="C511" t="str">
        <f>IFERROR(ROUNDUP(VLOOKUP(F511,'30Days-Baseline'!C:D,2,FALSE),0),"NotExist")</f>
        <v>NotExist</v>
      </c>
      <c r="D511" t="str">
        <f t="shared" si="18"/>
        <v>New</v>
      </c>
      <c r="E511" t="e">
        <f>VLOOKUP(A:A,Reviewed!B:C,2,0)</f>
        <v>#N/A</v>
      </c>
      <c r="F511" t="str">
        <f t="shared" si="19"/>
        <v/>
      </c>
    </row>
    <row r="512" spans="1:6" x14ac:dyDescent="0.35">
      <c r="C512" t="str">
        <f>IFERROR(ROUNDUP(VLOOKUP(F512,'30Days-Baseline'!C:D,2,FALSE),0),"NotExist")</f>
        <v>NotExist</v>
      </c>
      <c r="D512" t="str">
        <f t="shared" si="18"/>
        <v>New</v>
      </c>
      <c r="E512" t="e">
        <f>VLOOKUP(A:A,Reviewed!B:C,2,0)</f>
        <v>#N/A</v>
      </c>
      <c r="F512" t="str">
        <f t="shared" si="19"/>
        <v/>
      </c>
    </row>
    <row r="513" spans="3:6" x14ac:dyDescent="0.35">
      <c r="C513" t="str">
        <f>IFERROR(ROUNDUP(VLOOKUP(F513,'30Days-Baseline'!C:D,2,FALSE),0),"NotExist")</f>
        <v>NotExist</v>
      </c>
      <c r="D513" t="str">
        <f t="shared" si="18"/>
        <v>New</v>
      </c>
      <c r="E513" t="e">
        <f>VLOOKUP(A:A,Reviewed!B:C,2,0)</f>
        <v>#N/A</v>
      </c>
      <c r="F513" t="str">
        <f t="shared" si="19"/>
        <v/>
      </c>
    </row>
    <row r="514" spans="3:6" x14ac:dyDescent="0.35">
      <c r="C514" t="str">
        <f>IFERROR(ROUNDUP(VLOOKUP(F514,'30Days-Baseline'!C:D,2,FALSE),0),"NotExist")</f>
        <v>NotExist</v>
      </c>
      <c r="D514" t="str">
        <f t="shared" si="18"/>
        <v>New</v>
      </c>
      <c r="E514" t="e">
        <f>VLOOKUP(A:A,Reviewed!B:C,2,0)</f>
        <v>#N/A</v>
      </c>
      <c r="F514" t="str">
        <f t="shared" si="19"/>
        <v/>
      </c>
    </row>
    <row r="515" spans="3:6" x14ac:dyDescent="0.35">
      <c r="C515" t="str">
        <f>IFERROR(ROUNDUP(VLOOKUP(F515,'30Days-Baseline'!C:D,2,FALSE),0),"NotExist")</f>
        <v>NotExist</v>
      </c>
      <c r="D515" t="str">
        <f t="shared" si="18"/>
        <v>New</v>
      </c>
      <c r="E515" t="e">
        <f>VLOOKUP(A:A,Reviewed!B:C,2,0)</f>
        <v>#N/A</v>
      </c>
      <c r="F515" t="str">
        <f t="shared" si="19"/>
        <v/>
      </c>
    </row>
    <row r="516" spans="3:6" x14ac:dyDescent="0.35">
      <c r="C516" t="str">
        <f>IFERROR(ROUNDUP(VLOOKUP(F516,'30Days-Baseline'!C:D,2,FALSE),0),"NotExist")</f>
        <v>NotExist</v>
      </c>
      <c r="D516" t="str">
        <f t="shared" si="18"/>
        <v>New</v>
      </c>
      <c r="E516" t="e">
        <f>VLOOKUP(A:A,Reviewed!B:C,2,0)</f>
        <v>#N/A</v>
      </c>
      <c r="F516" t="str">
        <f t="shared" si="19"/>
        <v/>
      </c>
    </row>
    <row r="517" spans="3:6" x14ac:dyDescent="0.35">
      <c r="C517" t="str">
        <f>IFERROR(ROUNDUP(VLOOKUP(F517,'30Days-Baseline'!C:D,2,FALSE),0),"NotExist")</f>
        <v>NotExist</v>
      </c>
      <c r="D517" t="str">
        <f t="shared" si="18"/>
        <v>New</v>
      </c>
      <c r="E517" t="e">
        <f>VLOOKUP(A:A,Reviewed!B:C,2,0)</f>
        <v>#N/A</v>
      </c>
      <c r="F517" t="str">
        <f t="shared" si="19"/>
        <v/>
      </c>
    </row>
    <row r="518" spans="3:6" x14ac:dyDescent="0.35">
      <c r="C518" t="str">
        <f>IFERROR(ROUNDUP(VLOOKUP(F518,'30Days-Baseline'!C:D,2,FALSE),0),"NotExist")</f>
        <v>NotExist</v>
      </c>
      <c r="D518" t="str">
        <f t="shared" si="18"/>
        <v>New</v>
      </c>
      <c r="E518" t="e">
        <f>VLOOKUP(A:A,Reviewed!B:C,2,0)</f>
        <v>#N/A</v>
      </c>
      <c r="F518" t="str">
        <f t="shared" si="19"/>
        <v/>
      </c>
    </row>
    <row r="519" spans="3:6" x14ac:dyDescent="0.35">
      <c r="C519" t="str">
        <f>IFERROR(ROUNDUP(VLOOKUP(F519,'30Days-Baseline'!C:D,2,FALSE),0),"NotExist")</f>
        <v>NotExist</v>
      </c>
      <c r="D519" t="str">
        <f t="shared" si="18"/>
        <v>New</v>
      </c>
      <c r="E519" t="e">
        <f>VLOOKUP(A:A,Reviewed!B:C,2,0)</f>
        <v>#N/A</v>
      </c>
      <c r="F519" t="str">
        <f t="shared" si="19"/>
        <v/>
      </c>
    </row>
    <row r="520" spans="3:6" x14ac:dyDescent="0.35">
      <c r="C520" t="str">
        <f>IFERROR(ROUNDUP(VLOOKUP(F520,'30Days-Baseline'!C:D,2,FALSE),0),"NotExist")</f>
        <v>NotExist</v>
      </c>
      <c r="D520" t="str">
        <f t="shared" si="18"/>
        <v>New</v>
      </c>
      <c r="E520" t="e">
        <f>VLOOKUP(A:A,Reviewed!B:C,2,0)</f>
        <v>#N/A</v>
      </c>
      <c r="F520" t="str">
        <f t="shared" si="19"/>
        <v/>
      </c>
    </row>
    <row r="521" spans="3:6" x14ac:dyDescent="0.35">
      <c r="C521" t="str">
        <f>IFERROR(ROUNDUP(VLOOKUP(F521,'30Days-Baseline'!C:D,2,FALSE),0),"NotExist")</f>
        <v>NotExist</v>
      </c>
      <c r="D521" t="str">
        <f t="shared" si="18"/>
        <v>New</v>
      </c>
      <c r="E521" t="e">
        <f>VLOOKUP(A:A,Reviewed!B:C,2,0)</f>
        <v>#N/A</v>
      </c>
      <c r="F521" t="str">
        <f t="shared" si="19"/>
        <v/>
      </c>
    </row>
    <row r="522" spans="3:6" x14ac:dyDescent="0.35">
      <c r="C522" t="str">
        <f>IFERROR(ROUNDUP(VLOOKUP(F522,'30Days-Baseline'!C:D,2,FALSE),0),"NotExist")</f>
        <v>NotExist</v>
      </c>
      <c r="D522" t="str">
        <f t="shared" si="18"/>
        <v>New</v>
      </c>
      <c r="E522" t="e">
        <f>VLOOKUP(A:A,Reviewed!B:C,2,0)</f>
        <v>#N/A</v>
      </c>
      <c r="F522" t="str">
        <f t="shared" si="19"/>
        <v/>
      </c>
    </row>
    <row r="523" spans="3:6" x14ac:dyDescent="0.35">
      <c r="C523" t="str">
        <f>IFERROR(ROUNDUP(VLOOKUP(F523,'30Days-Baseline'!C:D,2,FALSE),0),"NotExist")</f>
        <v>NotExist</v>
      </c>
      <c r="D523" t="str">
        <f t="shared" si="18"/>
        <v>New</v>
      </c>
      <c r="E523" t="e">
        <f>VLOOKUP(A:A,Reviewed!B:C,2,0)</f>
        <v>#N/A</v>
      </c>
      <c r="F523" t="str">
        <f t="shared" si="19"/>
        <v/>
      </c>
    </row>
    <row r="524" spans="3:6" x14ac:dyDescent="0.35">
      <c r="C524" t="str">
        <f>IFERROR(ROUNDUP(VLOOKUP(F524,'30Days-Baseline'!C:D,2,FALSE),0),"NotExist")</f>
        <v>NotExist</v>
      </c>
      <c r="D524" t="str">
        <f t="shared" si="18"/>
        <v>New</v>
      </c>
      <c r="E524" t="e">
        <f>VLOOKUP(A:A,Reviewed!B:C,2,0)</f>
        <v>#N/A</v>
      </c>
      <c r="F524" t="str">
        <f t="shared" si="19"/>
        <v/>
      </c>
    </row>
    <row r="525" spans="3:6" x14ac:dyDescent="0.35">
      <c r="C525" t="str">
        <f>IFERROR(ROUNDUP(VLOOKUP(F525,'30Days-Baseline'!C:D,2,FALSE),0),"NotExist")</f>
        <v>NotExist</v>
      </c>
      <c r="D525" t="str">
        <f t="shared" si="18"/>
        <v>New</v>
      </c>
      <c r="E525" t="e">
        <f>VLOOKUP(A:A,Reviewed!B:C,2,0)</f>
        <v>#N/A</v>
      </c>
      <c r="F525" t="str">
        <f t="shared" si="19"/>
        <v/>
      </c>
    </row>
    <row r="526" spans="3:6" x14ac:dyDescent="0.35">
      <c r="C526" t="str">
        <f>IFERROR(ROUNDUP(VLOOKUP(F526,'30Days-Baseline'!C:D,2,FALSE),0),"NotExist")</f>
        <v>NotExist</v>
      </c>
      <c r="D526" t="str">
        <f t="shared" si="18"/>
        <v>New</v>
      </c>
      <c r="E526" t="e">
        <f>VLOOKUP(A:A,Reviewed!B:C,2,0)</f>
        <v>#N/A</v>
      </c>
      <c r="F526" t="str">
        <f t="shared" si="19"/>
        <v/>
      </c>
    </row>
    <row r="527" spans="3:6" x14ac:dyDescent="0.35">
      <c r="C527" t="str">
        <f>IFERROR(ROUNDUP(VLOOKUP(F527,'30Days-Baseline'!C:D,2,FALSE),0),"NotExist")</f>
        <v>NotExist</v>
      </c>
      <c r="D527" t="str">
        <f t="shared" si="18"/>
        <v>New</v>
      </c>
      <c r="E527" t="e">
        <f>VLOOKUP(A:A,Reviewed!B:C,2,0)</f>
        <v>#N/A</v>
      </c>
      <c r="F527" t="str">
        <f t="shared" si="19"/>
        <v/>
      </c>
    </row>
    <row r="528" spans="3:6" x14ac:dyDescent="0.35">
      <c r="C528" t="str">
        <f>IFERROR(ROUNDUP(VLOOKUP(F528,'30Days-Baseline'!C:D,2,FALSE),0),"NotExist")</f>
        <v>NotExist</v>
      </c>
      <c r="D528" t="str">
        <f t="shared" si="18"/>
        <v>New</v>
      </c>
      <c r="E528" t="e">
        <f>VLOOKUP(A:A,Reviewed!B:C,2,0)</f>
        <v>#N/A</v>
      </c>
      <c r="F528" t="str">
        <f t="shared" si="19"/>
        <v/>
      </c>
    </row>
    <row r="529" spans="3:6" x14ac:dyDescent="0.35">
      <c r="C529" t="str">
        <f>IFERROR(ROUNDUP(VLOOKUP(F529,'30Days-Baseline'!C:D,2,FALSE),0),"NotExist")</f>
        <v>NotExist</v>
      </c>
      <c r="D529" t="str">
        <f t="shared" si="18"/>
        <v>New</v>
      </c>
      <c r="E529" t="e">
        <f>VLOOKUP(A:A,Reviewed!B:C,2,0)</f>
        <v>#N/A</v>
      </c>
      <c r="F529" t="str">
        <f t="shared" si="19"/>
        <v/>
      </c>
    </row>
    <row r="530" spans="3:6" x14ac:dyDescent="0.35">
      <c r="C530" t="str">
        <f>IFERROR(ROUNDUP(VLOOKUP(F530,'30Days-Baseline'!C:D,2,FALSE),0),"NotExist")</f>
        <v>NotExist</v>
      </c>
      <c r="D530" t="str">
        <f t="shared" si="18"/>
        <v>New</v>
      </c>
      <c r="E530" t="e">
        <f>VLOOKUP(A:A,Reviewed!B:C,2,0)</f>
        <v>#N/A</v>
      </c>
      <c r="F530" t="str">
        <f t="shared" si="19"/>
        <v/>
      </c>
    </row>
    <row r="531" spans="3:6" x14ac:dyDescent="0.35">
      <c r="C531" t="str">
        <f>IFERROR(ROUNDUP(VLOOKUP(F531,'30Days-Baseline'!C:D,2,FALSE),0),"NotExist")</f>
        <v>NotExist</v>
      </c>
      <c r="D531" t="str">
        <f t="shared" ref="D531:D594" si="20">IFERROR(IF(B531&gt;ROUNDUP(C531,0),"Elevated","Ok"),"New")</f>
        <v>New</v>
      </c>
      <c r="E531" t="e">
        <f>VLOOKUP(A:A,Reviewed!B:C,2,0)</f>
        <v>#N/A</v>
      </c>
      <c r="F531" t="str">
        <f t="shared" ref="F531:F594" si="21">LEFT(A531,255)</f>
        <v/>
      </c>
    </row>
    <row r="532" spans="3:6" x14ac:dyDescent="0.35">
      <c r="C532" t="str">
        <f>IFERROR(ROUNDUP(VLOOKUP(F532,'30Days-Baseline'!C:D,2,FALSE),0),"NotExist")</f>
        <v>NotExist</v>
      </c>
      <c r="D532" t="str">
        <f t="shared" si="20"/>
        <v>New</v>
      </c>
      <c r="E532" t="e">
        <f>VLOOKUP(A:A,Reviewed!B:C,2,0)</f>
        <v>#N/A</v>
      </c>
      <c r="F532" t="str">
        <f t="shared" si="21"/>
        <v/>
      </c>
    </row>
    <row r="533" spans="3:6" x14ac:dyDescent="0.35">
      <c r="C533" t="str">
        <f>IFERROR(ROUNDUP(VLOOKUP(F533,'30Days-Baseline'!C:D,2,FALSE),0),"NotExist")</f>
        <v>NotExist</v>
      </c>
      <c r="D533" t="str">
        <f t="shared" si="20"/>
        <v>New</v>
      </c>
      <c r="E533" t="e">
        <f>VLOOKUP(A:A,Reviewed!B:C,2,0)</f>
        <v>#N/A</v>
      </c>
      <c r="F533" t="str">
        <f t="shared" si="21"/>
        <v/>
      </c>
    </row>
    <row r="534" spans="3:6" x14ac:dyDescent="0.35">
      <c r="C534" t="str">
        <f>IFERROR(ROUNDUP(VLOOKUP(F534,'30Days-Baseline'!C:D,2,FALSE),0),"NotExist")</f>
        <v>NotExist</v>
      </c>
      <c r="D534" t="str">
        <f t="shared" si="20"/>
        <v>New</v>
      </c>
      <c r="E534" t="e">
        <f>VLOOKUP(A:A,Reviewed!B:C,2,0)</f>
        <v>#N/A</v>
      </c>
      <c r="F534" t="str">
        <f t="shared" si="21"/>
        <v/>
      </c>
    </row>
    <row r="535" spans="3:6" x14ac:dyDescent="0.35">
      <c r="C535" t="str">
        <f>IFERROR(ROUNDUP(VLOOKUP(F535,'30Days-Baseline'!C:D,2,FALSE),0),"NotExist")</f>
        <v>NotExist</v>
      </c>
      <c r="D535" t="str">
        <f t="shared" si="20"/>
        <v>New</v>
      </c>
      <c r="E535" t="e">
        <f>VLOOKUP(A:A,Reviewed!B:C,2,0)</f>
        <v>#N/A</v>
      </c>
      <c r="F535" t="str">
        <f t="shared" si="21"/>
        <v/>
      </c>
    </row>
    <row r="536" spans="3:6" x14ac:dyDescent="0.35">
      <c r="C536" t="str">
        <f>IFERROR(ROUNDUP(VLOOKUP(F536,'30Days-Baseline'!C:D,2,FALSE),0),"NotExist")</f>
        <v>NotExist</v>
      </c>
      <c r="D536" t="str">
        <f t="shared" si="20"/>
        <v>New</v>
      </c>
      <c r="E536" t="e">
        <f>VLOOKUP(A:A,Reviewed!B:C,2,0)</f>
        <v>#N/A</v>
      </c>
      <c r="F536" t="str">
        <f t="shared" si="21"/>
        <v/>
      </c>
    </row>
    <row r="537" spans="3:6" x14ac:dyDescent="0.35">
      <c r="C537" t="str">
        <f>IFERROR(ROUNDUP(VLOOKUP(F537,'30Days-Baseline'!C:D,2,FALSE),0),"NotExist")</f>
        <v>NotExist</v>
      </c>
      <c r="D537" t="str">
        <f t="shared" si="20"/>
        <v>New</v>
      </c>
      <c r="E537" t="e">
        <f>VLOOKUP(A:A,Reviewed!B:C,2,0)</f>
        <v>#N/A</v>
      </c>
      <c r="F537" t="str">
        <f t="shared" si="21"/>
        <v/>
      </c>
    </row>
    <row r="538" spans="3:6" x14ac:dyDescent="0.35">
      <c r="C538" t="str">
        <f>IFERROR(ROUNDUP(VLOOKUP(F538,'30Days-Baseline'!C:D,2,FALSE),0),"NotExist")</f>
        <v>NotExist</v>
      </c>
      <c r="D538" t="str">
        <f t="shared" si="20"/>
        <v>New</v>
      </c>
      <c r="E538" t="e">
        <f>VLOOKUP(A:A,Reviewed!B:C,2,0)</f>
        <v>#N/A</v>
      </c>
      <c r="F538" t="str">
        <f t="shared" si="21"/>
        <v/>
      </c>
    </row>
    <row r="539" spans="3:6" x14ac:dyDescent="0.35">
      <c r="C539" t="str">
        <f>IFERROR(ROUNDUP(VLOOKUP(F539,'30Days-Baseline'!C:D,2,FALSE),0),"NotExist")</f>
        <v>NotExist</v>
      </c>
      <c r="D539" t="str">
        <f t="shared" si="20"/>
        <v>New</v>
      </c>
      <c r="E539" t="e">
        <f>VLOOKUP(A:A,Reviewed!B:C,2,0)</f>
        <v>#N/A</v>
      </c>
      <c r="F539" t="str">
        <f t="shared" si="21"/>
        <v/>
      </c>
    </row>
    <row r="540" spans="3:6" x14ac:dyDescent="0.35">
      <c r="C540" t="str">
        <f>IFERROR(ROUNDUP(VLOOKUP(F540,'30Days-Baseline'!C:D,2,FALSE),0),"NotExist")</f>
        <v>NotExist</v>
      </c>
      <c r="D540" t="str">
        <f t="shared" si="20"/>
        <v>New</v>
      </c>
      <c r="E540" t="e">
        <f>VLOOKUP(A:A,Reviewed!B:C,2,0)</f>
        <v>#N/A</v>
      </c>
      <c r="F540" t="str">
        <f t="shared" si="21"/>
        <v/>
      </c>
    </row>
    <row r="541" spans="3:6" x14ac:dyDescent="0.35">
      <c r="C541" t="str">
        <f>IFERROR(ROUNDUP(VLOOKUP(F541,'30Days-Baseline'!C:D,2,FALSE),0),"NotExist")</f>
        <v>NotExist</v>
      </c>
      <c r="D541" t="str">
        <f t="shared" si="20"/>
        <v>New</v>
      </c>
      <c r="E541" t="e">
        <f>VLOOKUP(A:A,Reviewed!B:C,2,0)</f>
        <v>#N/A</v>
      </c>
      <c r="F541" t="str">
        <f t="shared" si="21"/>
        <v/>
      </c>
    </row>
    <row r="542" spans="3:6" x14ac:dyDescent="0.35">
      <c r="C542" t="str">
        <f>IFERROR(ROUNDUP(VLOOKUP(F542,'30Days-Baseline'!C:D,2,FALSE),0),"NotExist")</f>
        <v>NotExist</v>
      </c>
      <c r="D542" t="str">
        <f t="shared" si="20"/>
        <v>New</v>
      </c>
      <c r="E542" t="e">
        <f>VLOOKUP(A:A,Reviewed!B:C,2,0)</f>
        <v>#N/A</v>
      </c>
      <c r="F542" t="str">
        <f t="shared" si="21"/>
        <v/>
      </c>
    </row>
    <row r="543" spans="3:6" x14ac:dyDescent="0.35">
      <c r="C543" t="str">
        <f>IFERROR(ROUNDUP(VLOOKUP(F543,'30Days-Baseline'!C:D,2,FALSE),0),"NotExist")</f>
        <v>NotExist</v>
      </c>
      <c r="D543" t="str">
        <f t="shared" si="20"/>
        <v>New</v>
      </c>
      <c r="E543" t="e">
        <f>VLOOKUP(A:A,Reviewed!B:C,2,0)</f>
        <v>#N/A</v>
      </c>
      <c r="F543" t="str">
        <f t="shared" si="21"/>
        <v/>
      </c>
    </row>
    <row r="544" spans="3:6" x14ac:dyDescent="0.35">
      <c r="C544" t="str">
        <f>IFERROR(ROUNDUP(VLOOKUP(F544,'30Days-Baseline'!C:D,2,FALSE),0),"NotExist")</f>
        <v>NotExist</v>
      </c>
      <c r="D544" t="str">
        <f t="shared" si="20"/>
        <v>New</v>
      </c>
      <c r="E544" t="e">
        <f>VLOOKUP(A:A,Reviewed!B:C,2,0)</f>
        <v>#N/A</v>
      </c>
      <c r="F544" t="str">
        <f t="shared" si="21"/>
        <v/>
      </c>
    </row>
    <row r="545" spans="1:6" x14ac:dyDescent="0.35">
      <c r="C545" t="str">
        <f>IFERROR(ROUNDUP(VLOOKUP(F545,'30Days-Baseline'!C:D,2,FALSE),0),"NotExist")</f>
        <v>NotExist</v>
      </c>
      <c r="D545" t="str">
        <f t="shared" si="20"/>
        <v>New</v>
      </c>
      <c r="E545" t="e">
        <f>VLOOKUP(A:A,Reviewed!B:C,2,0)</f>
        <v>#N/A</v>
      </c>
      <c r="F545" t="str">
        <f t="shared" si="21"/>
        <v/>
      </c>
    </row>
    <row r="546" spans="1:6" x14ac:dyDescent="0.35">
      <c r="C546" t="str">
        <f>IFERROR(ROUNDUP(VLOOKUP(F546,'30Days-Baseline'!C:D,2,FALSE),0),"NotExist")</f>
        <v>NotExist</v>
      </c>
      <c r="D546" t="str">
        <f t="shared" si="20"/>
        <v>New</v>
      </c>
      <c r="E546" t="e">
        <f>VLOOKUP(A:A,Reviewed!B:C,2,0)</f>
        <v>#N/A</v>
      </c>
      <c r="F546" t="str">
        <f t="shared" si="21"/>
        <v/>
      </c>
    </row>
    <row r="547" spans="1:6" x14ac:dyDescent="0.35">
      <c r="C547" t="str">
        <f>IFERROR(ROUNDUP(VLOOKUP(F547,'30Days-Baseline'!C:D,2,FALSE),0),"NotExist")</f>
        <v>NotExist</v>
      </c>
      <c r="D547" t="str">
        <f t="shared" si="20"/>
        <v>New</v>
      </c>
      <c r="E547" t="e">
        <f>VLOOKUP(A:A,Reviewed!B:C,2,0)</f>
        <v>#N/A</v>
      </c>
      <c r="F547" t="str">
        <f t="shared" si="21"/>
        <v/>
      </c>
    </row>
    <row r="548" spans="1:6" x14ac:dyDescent="0.35">
      <c r="C548" t="str">
        <f>IFERROR(ROUNDUP(VLOOKUP(F548,'30Days-Baseline'!C:D,2,FALSE),0),"NotExist")</f>
        <v>NotExist</v>
      </c>
      <c r="D548" t="str">
        <f t="shared" si="20"/>
        <v>New</v>
      </c>
      <c r="E548" t="e">
        <f>VLOOKUP(A:A,Reviewed!B:C,2,0)</f>
        <v>#N/A</v>
      </c>
      <c r="F548" t="str">
        <f t="shared" si="21"/>
        <v/>
      </c>
    </row>
    <row r="549" spans="1:6" x14ac:dyDescent="0.35">
      <c r="C549" t="str">
        <f>IFERROR(ROUNDUP(VLOOKUP(F549,'30Days-Baseline'!C:D,2,FALSE),0),"NotExist")</f>
        <v>NotExist</v>
      </c>
      <c r="D549" t="str">
        <f t="shared" si="20"/>
        <v>New</v>
      </c>
      <c r="E549" t="e">
        <f>VLOOKUP(A:A,Reviewed!B:C,2,0)</f>
        <v>#N/A</v>
      </c>
      <c r="F549" t="str">
        <f t="shared" si="21"/>
        <v/>
      </c>
    </row>
    <row r="550" spans="1:6" x14ac:dyDescent="0.35">
      <c r="C550" t="str">
        <f>IFERROR(ROUNDUP(VLOOKUP(F550,'30Days-Baseline'!C:D,2,FALSE),0),"NotExist")</f>
        <v>NotExist</v>
      </c>
      <c r="D550" t="str">
        <f t="shared" si="20"/>
        <v>New</v>
      </c>
      <c r="E550" t="e">
        <f>VLOOKUP(A:A,Reviewed!B:C,2,0)</f>
        <v>#N/A</v>
      </c>
      <c r="F550" t="str">
        <f t="shared" si="21"/>
        <v/>
      </c>
    </row>
    <row r="551" spans="1:6" x14ac:dyDescent="0.35">
      <c r="C551" t="str">
        <f>IFERROR(ROUNDUP(VLOOKUP(F551,'30Days-Baseline'!C:D,2,FALSE),0),"NotExist")</f>
        <v>NotExist</v>
      </c>
      <c r="D551" t="str">
        <f t="shared" si="20"/>
        <v>New</v>
      </c>
      <c r="E551" t="e">
        <f>VLOOKUP(A:A,Reviewed!B:C,2,0)</f>
        <v>#N/A</v>
      </c>
      <c r="F551" t="str">
        <f t="shared" si="21"/>
        <v/>
      </c>
    </row>
    <row r="552" spans="1:6" x14ac:dyDescent="0.35">
      <c r="C552" t="str">
        <f>IFERROR(ROUNDUP(VLOOKUP(F552,'30Days-Baseline'!C:D,2,FALSE),0),"NotExist")</f>
        <v>NotExist</v>
      </c>
      <c r="D552" t="str">
        <f t="shared" si="20"/>
        <v>New</v>
      </c>
      <c r="E552" t="e">
        <f>VLOOKUP(A:A,Reviewed!B:C,2,0)</f>
        <v>#N/A</v>
      </c>
      <c r="F552" t="str">
        <f t="shared" si="21"/>
        <v/>
      </c>
    </row>
    <row r="553" spans="1:6" x14ac:dyDescent="0.35">
      <c r="C553" t="str">
        <f>IFERROR(ROUNDUP(VLOOKUP(F553,'30Days-Baseline'!C:D,2,FALSE),0),"NotExist")</f>
        <v>NotExist</v>
      </c>
      <c r="D553" t="str">
        <f t="shared" si="20"/>
        <v>New</v>
      </c>
      <c r="E553" t="e">
        <f>VLOOKUP(A:A,Reviewed!B:C,2,0)</f>
        <v>#N/A</v>
      </c>
      <c r="F553" t="str">
        <f t="shared" si="21"/>
        <v/>
      </c>
    </row>
    <row r="554" spans="1:6" x14ac:dyDescent="0.35">
      <c r="C554" t="str">
        <f>IFERROR(ROUNDUP(VLOOKUP(F554,'30Days-Baseline'!C:D,2,FALSE),0),"NotExist")</f>
        <v>NotExist</v>
      </c>
      <c r="D554" t="str">
        <f t="shared" si="20"/>
        <v>New</v>
      </c>
      <c r="E554" t="e">
        <f>VLOOKUP(A:A,Reviewed!B:C,2,0)</f>
        <v>#N/A</v>
      </c>
      <c r="F554" t="str">
        <f t="shared" si="21"/>
        <v/>
      </c>
    </row>
    <row r="555" spans="1:6" x14ac:dyDescent="0.35">
      <c r="A555" s="4"/>
      <c r="C555" t="str">
        <f>IFERROR(ROUNDUP(VLOOKUP(F555,'30Days-Baseline'!C:D,2,FALSE),0),"NotExist")</f>
        <v>NotExist</v>
      </c>
      <c r="D555" t="str">
        <f t="shared" si="20"/>
        <v>New</v>
      </c>
      <c r="E555" t="e">
        <f>VLOOKUP(A:A,Reviewed!B:C,2,0)</f>
        <v>#N/A</v>
      </c>
      <c r="F555" t="str">
        <f t="shared" si="21"/>
        <v/>
      </c>
    </row>
    <row r="556" spans="1:6" x14ac:dyDescent="0.35">
      <c r="C556" t="str">
        <f>IFERROR(ROUNDUP(VLOOKUP(F556,'30Days-Baseline'!C:D,2,FALSE),0),"NotExist")</f>
        <v>NotExist</v>
      </c>
      <c r="D556" t="str">
        <f t="shared" si="20"/>
        <v>New</v>
      </c>
      <c r="E556" t="e">
        <f>VLOOKUP(A:A,Reviewed!B:C,2,0)</f>
        <v>#N/A</v>
      </c>
      <c r="F556" t="str">
        <f t="shared" si="21"/>
        <v/>
      </c>
    </row>
    <row r="557" spans="1:6" x14ac:dyDescent="0.35">
      <c r="C557" t="str">
        <f>IFERROR(ROUNDUP(VLOOKUP(F557,'30Days-Baseline'!C:D,2,FALSE),0),"NotExist")</f>
        <v>NotExist</v>
      </c>
      <c r="D557" t="str">
        <f t="shared" si="20"/>
        <v>New</v>
      </c>
      <c r="E557" t="e">
        <f>VLOOKUP(A:A,Reviewed!B:C,2,0)</f>
        <v>#N/A</v>
      </c>
      <c r="F557" t="str">
        <f t="shared" si="21"/>
        <v/>
      </c>
    </row>
    <row r="558" spans="1:6" x14ac:dyDescent="0.35">
      <c r="C558" t="str">
        <f>IFERROR(ROUNDUP(VLOOKUP(F558,'30Days-Baseline'!C:D,2,FALSE),0),"NotExist")</f>
        <v>NotExist</v>
      </c>
      <c r="D558" t="str">
        <f t="shared" si="20"/>
        <v>New</v>
      </c>
      <c r="E558" t="e">
        <f>VLOOKUP(A:A,Reviewed!B:C,2,0)</f>
        <v>#N/A</v>
      </c>
      <c r="F558" t="str">
        <f t="shared" si="21"/>
        <v/>
      </c>
    </row>
    <row r="559" spans="1:6" x14ac:dyDescent="0.35">
      <c r="C559" t="str">
        <f>IFERROR(ROUNDUP(VLOOKUP(F559,'30Days-Baseline'!C:D,2,FALSE),0),"NotExist")</f>
        <v>NotExist</v>
      </c>
      <c r="D559" t="str">
        <f t="shared" si="20"/>
        <v>New</v>
      </c>
      <c r="E559" t="e">
        <f>VLOOKUP(A:A,Reviewed!B:C,2,0)</f>
        <v>#N/A</v>
      </c>
      <c r="F559" t="str">
        <f t="shared" si="21"/>
        <v/>
      </c>
    </row>
    <row r="560" spans="1:6" x14ac:dyDescent="0.35">
      <c r="C560" t="str">
        <f>IFERROR(ROUNDUP(VLOOKUP(F560,'30Days-Baseline'!C:D,2,FALSE),0),"NotExist")</f>
        <v>NotExist</v>
      </c>
      <c r="D560" t="str">
        <f t="shared" si="20"/>
        <v>New</v>
      </c>
      <c r="E560" t="e">
        <f>VLOOKUP(A:A,Reviewed!B:C,2,0)</f>
        <v>#N/A</v>
      </c>
      <c r="F560" t="str">
        <f t="shared" si="21"/>
        <v/>
      </c>
    </row>
    <row r="561" spans="3:6" x14ac:dyDescent="0.35">
      <c r="C561" t="str">
        <f>IFERROR(ROUNDUP(VLOOKUP(F561,'30Days-Baseline'!C:D,2,FALSE),0),"NotExist")</f>
        <v>NotExist</v>
      </c>
      <c r="D561" t="str">
        <f t="shared" si="20"/>
        <v>New</v>
      </c>
      <c r="E561" t="e">
        <f>VLOOKUP(A:A,Reviewed!B:C,2,0)</f>
        <v>#N/A</v>
      </c>
      <c r="F561" t="str">
        <f t="shared" si="21"/>
        <v/>
      </c>
    </row>
    <row r="562" spans="3:6" x14ac:dyDescent="0.35">
      <c r="C562" t="str">
        <f>IFERROR(ROUNDUP(VLOOKUP(F562,'30Days-Baseline'!C:D,2,FALSE),0),"NotExist")</f>
        <v>NotExist</v>
      </c>
      <c r="D562" t="str">
        <f t="shared" si="20"/>
        <v>New</v>
      </c>
      <c r="E562" t="e">
        <f>VLOOKUP(A:A,Reviewed!B:C,2,0)</f>
        <v>#N/A</v>
      </c>
      <c r="F562" t="str">
        <f t="shared" si="21"/>
        <v/>
      </c>
    </row>
    <row r="563" spans="3:6" x14ac:dyDescent="0.35">
      <c r="C563" t="str">
        <f>IFERROR(ROUNDUP(VLOOKUP(F563,'30Days-Baseline'!C:D,2,FALSE),0),"NotExist")</f>
        <v>NotExist</v>
      </c>
      <c r="D563" t="str">
        <f t="shared" si="20"/>
        <v>New</v>
      </c>
      <c r="E563" t="e">
        <f>VLOOKUP(A:A,Reviewed!B:C,2,0)</f>
        <v>#N/A</v>
      </c>
      <c r="F563" t="str">
        <f t="shared" si="21"/>
        <v/>
      </c>
    </row>
    <row r="564" spans="3:6" x14ac:dyDescent="0.35">
      <c r="C564" t="str">
        <f>IFERROR(ROUNDUP(VLOOKUP(F564,'30Days-Baseline'!C:D,2,FALSE),0),"NotExist")</f>
        <v>NotExist</v>
      </c>
      <c r="D564" t="str">
        <f t="shared" si="20"/>
        <v>New</v>
      </c>
      <c r="E564" t="e">
        <f>VLOOKUP(A:A,Reviewed!B:C,2,0)</f>
        <v>#N/A</v>
      </c>
      <c r="F564" t="str">
        <f t="shared" si="21"/>
        <v/>
      </c>
    </row>
    <row r="565" spans="3:6" x14ac:dyDescent="0.35">
      <c r="C565" t="str">
        <f>IFERROR(ROUNDUP(VLOOKUP(F565,'30Days-Baseline'!C:D,2,FALSE),0),"NotExist")</f>
        <v>NotExist</v>
      </c>
      <c r="D565" t="str">
        <f t="shared" si="20"/>
        <v>New</v>
      </c>
      <c r="E565" t="e">
        <f>VLOOKUP(A:A,Reviewed!B:C,2,0)</f>
        <v>#N/A</v>
      </c>
      <c r="F565" t="str">
        <f t="shared" si="21"/>
        <v/>
      </c>
    </row>
    <row r="566" spans="3:6" x14ac:dyDescent="0.35">
      <c r="C566" t="str">
        <f>IFERROR(ROUNDUP(VLOOKUP(F566,'30Days-Baseline'!C:D,2,FALSE),0),"NotExist")</f>
        <v>NotExist</v>
      </c>
      <c r="D566" t="str">
        <f t="shared" si="20"/>
        <v>New</v>
      </c>
      <c r="E566" t="e">
        <f>VLOOKUP(A:A,Reviewed!B:C,2,0)</f>
        <v>#N/A</v>
      </c>
      <c r="F566" t="str">
        <f t="shared" si="21"/>
        <v/>
      </c>
    </row>
    <row r="567" spans="3:6" x14ac:dyDescent="0.35">
      <c r="C567" t="str">
        <f>IFERROR(ROUNDUP(VLOOKUP(F567,'30Days-Baseline'!C:D,2,FALSE),0),"NotExist")</f>
        <v>NotExist</v>
      </c>
      <c r="D567" t="str">
        <f t="shared" si="20"/>
        <v>New</v>
      </c>
      <c r="E567" t="e">
        <f>VLOOKUP(A:A,Reviewed!B:C,2,0)</f>
        <v>#N/A</v>
      </c>
      <c r="F567" t="str">
        <f t="shared" si="21"/>
        <v/>
      </c>
    </row>
    <row r="568" spans="3:6" x14ac:dyDescent="0.35">
      <c r="C568" t="str">
        <f>IFERROR(ROUNDUP(VLOOKUP(F568,'30Days-Baseline'!C:D,2,FALSE),0),"NotExist")</f>
        <v>NotExist</v>
      </c>
      <c r="D568" t="str">
        <f t="shared" si="20"/>
        <v>New</v>
      </c>
      <c r="E568" t="e">
        <f>VLOOKUP(A:A,Reviewed!B:C,2,0)</f>
        <v>#N/A</v>
      </c>
      <c r="F568" t="str">
        <f t="shared" si="21"/>
        <v/>
      </c>
    </row>
    <row r="569" spans="3:6" x14ac:dyDescent="0.35">
      <c r="C569" t="str">
        <f>IFERROR(ROUNDUP(VLOOKUP(F569,'30Days-Baseline'!C:D,2,FALSE),0),"NotExist")</f>
        <v>NotExist</v>
      </c>
      <c r="D569" t="str">
        <f t="shared" si="20"/>
        <v>New</v>
      </c>
      <c r="E569" t="e">
        <f>VLOOKUP(A:A,Reviewed!B:C,2,0)</f>
        <v>#N/A</v>
      </c>
      <c r="F569" t="str">
        <f t="shared" si="21"/>
        <v/>
      </c>
    </row>
    <row r="570" spans="3:6" x14ac:dyDescent="0.35">
      <c r="C570" t="str">
        <f>IFERROR(ROUNDUP(VLOOKUP(F570,'30Days-Baseline'!C:D,2,FALSE),0),"NotExist")</f>
        <v>NotExist</v>
      </c>
      <c r="D570" t="str">
        <f t="shared" si="20"/>
        <v>New</v>
      </c>
      <c r="E570" t="e">
        <f>VLOOKUP(A:A,Reviewed!B:C,2,0)</f>
        <v>#N/A</v>
      </c>
      <c r="F570" t="str">
        <f t="shared" si="21"/>
        <v/>
      </c>
    </row>
    <row r="571" spans="3:6" x14ac:dyDescent="0.35">
      <c r="C571" t="str">
        <f>IFERROR(ROUNDUP(VLOOKUP(F571,'30Days-Baseline'!C:D,2,FALSE),0),"NotExist")</f>
        <v>NotExist</v>
      </c>
      <c r="D571" t="str">
        <f t="shared" si="20"/>
        <v>New</v>
      </c>
      <c r="E571" t="e">
        <f>VLOOKUP(A:A,Reviewed!B:C,2,0)</f>
        <v>#N/A</v>
      </c>
      <c r="F571" t="str">
        <f t="shared" si="21"/>
        <v/>
      </c>
    </row>
    <row r="572" spans="3:6" x14ac:dyDescent="0.35">
      <c r="C572" t="str">
        <f>IFERROR(ROUNDUP(VLOOKUP(F572,'30Days-Baseline'!C:D,2,FALSE),0),"NotExist")</f>
        <v>NotExist</v>
      </c>
      <c r="D572" t="str">
        <f t="shared" si="20"/>
        <v>New</v>
      </c>
      <c r="E572" t="e">
        <f>VLOOKUP(A:A,Reviewed!B:C,2,0)</f>
        <v>#N/A</v>
      </c>
      <c r="F572" t="str">
        <f t="shared" si="21"/>
        <v/>
      </c>
    </row>
    <row r="573" spans="3:6" x14ac:dyDescent="0.35">
      <c r="C573" t="str">
        <f>IFERROR(ROUNDUP(VLOOKUP(F573,'30Days-Baseline'!C:D,2,FALSE),0),"NotExist")</f>
        <v>NotExist</v>
      </c>
      <c r="D573" t="str">
        <f t="shared" si="20"/>
        <v>New</v>
      </c>
      <c r="E573" t="e">
        <f>VLOOKUP(A:A,Reviewed!B:C,2,0)</f>
        <v>#N/A</v>
      </c>
      <c r="F573" t="str">
        <f t="shared" si="21"/>
        <v/>
      </c>
    </row>
    <row r="574" spans="3:6" x14ac:dyDescent="0.35">
      <c r="C574" t="str">
        <f>IFERROR(ROUNDUP(VLOOKUP(F574,'30Days-Baseline'!C:D,2,FALSE),0),"NotExist")</f>
        <v>NotExist</v>
      </c>
      <c r="D574" t="str">
        <f t="shared" si="20"/>
        <v>New</v>
      </c>
      <c r="E574" t="e">
        <f>VLOOKUP(A:A,Reviewed!B:C,2,0)</f>
        <v>#N/A</v>
      </c>
      <c r="F574" t="str">
        <f t="shared" si="21"/>
        <v/>
      </c>
    </row>
    <row r="575" spans="3:6" x14ac:dyDescent="0.35">
      <c r="C575" t="str">
        <f>IFERROR(ROUNDUP(VLOOKUP(F575,'30Days-Baseline'!C:D,2,FALSE),0),"NotExist")</f>
        <v>NotExist</v>
      </c>
      <c r="D575" t="str">
        <f t="shared" si="20"/>
        <v>New</v>
      </c>
      <c r="E575" t="e">
        <f>VLOOKUP(A:A,Reviewed!B:C,2,0)</f>
        <v>#N/A</v>
      </c>
      <c r="F575" t="str">
        <f t="shared" si="21"/>
        <v/>
      </c>
    </row>
    <row r="576" spans="3:6" x14ac:dyDescent="0.35">
      <c r="C576" t="str">
        <f>IFERROR(ROUNDUP(VLOOKUP(F576,'30Days-Baseline'!C:D,2,FALSE),0),"NotExist")</f>
        <v>NotExist</v>
      </c>
      <c r="D576" t="str">
        <f t="shared" si="20"/>
        <v>New</v>
      </c>
      <c r="E576" t="e">
        <f>VLOOKUP(A:A,Reviewed!B:C,2,0)</f>
        <v>#N/A</v>
      </c>
      <c r="F576" t="str">
        <f t="shared" si="21"/>
        <v/>
      </c>
    </row>
    <row r="577" spans="3:6" x14ac:dyDescent="0.35">
      <c r="C577" t="str">
        <f>IFERROR(ROUNDUP(VLOOKUP(F577,'30Days-Baseline'!C:D,2,FALSE),0),"NotExist")</f>
        <v>NotExist</v>
      </c>
      <c r="D577" t="str">
        <f t="shared" si="20"/>
        <v>New</v>
      </c>
      <c r="E577" t="e">
        <f>VLOOKUP(A:A,Reviewed!B:C,2,0)</f>
        <v>#N/A</v>
      </c>
      <c r="F577" t="str">
        <f t="shared" si="21"/>
        <v/>
      </c>
    </row>
    <row r="578" spans="3:6" x14ac:dyDescent="0.35">
      <c r="C578" t="str">
        <f>IFERROR(ROUNDUP(VLOOKUP(F578,'30Days-Baseline'!C:D,2,FALSE),0),"NotExist")</f>
        <v>NotExist</v>
      </c>
      <c r="D578" t="str">
        <f t="shared" si="20"/>
        <v>New</v>
      </c>
      <c r="E578" t="e">
        <f>VLOOKUP(A:A,Reviewed!B:C,2,0)</f>
        <v>#N/A</v>
      </c>
      <c r="F578" t="str">
        <f t="shared" si="21"/>
        <v/>
      </c>
    </row>
    <row r="579" spans="3:6" x14ac:dyDescent="0.35">
      <c r="C579" t="str">
        <f>IFERROR(ROUNDUP(VLOOKUP(F579,'30Days-Baseline'!C:D,2,FALSE),0),"NotExist")</f>
        <v>NotExist</v>
      </c>
      <c r="D579" t="str">
        <f t="shared" si="20"/>
        <v>New</v>
      </c>
      <c r="E579" t="e">
        <f>VLOOKUP(A:A,Reviewed!B:C,2,0)</f>
        <v>#N/A</v>
      </c>
      <c r="F579" t="str">
        <f t="shared" si="21"/>
        <v/>
      </c>
    </row>
    <row r="580" spans="3:6" x14ac:dyDescent="0.35">
      <c r="C580" t="str">
        <f>IFERROR(ROUNDUP(VLOOKUP(F580,'30Days-Baseline'!C:D,2,FALSE),0),"NotExist")</f>
        <v>NotExist</v>
      </c>
      <c r="D580" t="str">
        <f t="shared" si="20"/>
        <v>New</v>
      </c>
      <c r="E580" t="e">
        <f>VLOOKUP(A:A,Reviewed!B:C,2,0)</f>
        <v>#N/A</v>
      </c>
      <c r="F580" t="str">
        <f t="shared" si="21"/>
        <v/>
      </c>
    </row>
    <row r="581" spans="3:6" x14ac:dyDescent="0.35">
      <c r="C581" t="str">
        <f>IFERROR(ROUNDUP(VLOOKUP(F581,'30Days-Baseline'!C:D,2,FALSE),0),"NotExist")</f>
        <v>NotExist</v>
      </c>
      <c r="D581" t="str">
        <f t="shared" si="20"/>
        <v>New</v>
      </c>
      <c r="E581" t="e">
        <f>VLOOKUP(A:A,Reviewed!B:C,2,0)</f>
        <v>#N/A</v>
      </c>
      <c r="F581" t="str">
        <f t="shared" si="21"/>
        <v/>
      </c>
    </row>
    <row r="582" spans="3:6" x14ac:dyDescent="0.35">
      <c r="C582" t="str">
        <f>IFERROR(ROUNDUP(VLOOKUP(F582,'30Days-Baseline'!C:D,2,FALSE),0),"NotExist")</f>
        <v>NotExist</v>
      </c>
      <c r="D582" t="str">
        <f t="shared" si="20"/>
        <v>New</v>
      </c>
      <c r="E582" t="e">
        <f>VLOOKUP(A:A,Reviewed!B:C,2,0)</f>
        <v>#N/A</v>
      </c>
      <c r="F582" t="str">
        <f t="shared" si="21"/>
        <v/>
      </c>
    </row>
    <row r="583" spans="3:6" x14ac:dyDescent="0.35">
      <c r="C583" t="str">
        <f>IFERROR(ROUNDUP(VLOOKUP(F583,'30Days-Baseline'!C:D,2,FALSE),0),"NotExist")</f>
        <v>NotExist</v>
      </c>
      <c r="D583" t="str">
        <f t="shared" si="20"/>
        <v>New</v>
      </c>
      <c r="E583" t="e">
        <f>VLOOKUP(A:A,Reviewed!B:C,2,0)</f>
        <v>#N/A</v>
      </c>
      <c r="F583" t="str">
        <f t="shared" si="21"/>
        <v/>
      </c>
    </row>
    <row r="584" spans="3:6" x14ac:dyDescent="0.35">
      <c r="C584" t="str">
        <f>IFERROR(ROUNDUP(VLOOKUP(F584,'30Days-Baseline'!C:D,2,FALSE),0),"NotExist")</f>
        <v>NotExist</v>
      </c>
      <c r="D584" t="str">
        <f t="shared" si="20"/>
        <v>New</v>
      </c>
      <c r="E584" t="e">
        <f>VLOOKUP(A:A,Reviewed!B:C,2,0)</f>
        <v>#N/A</v>
      </c>
      <c r="F584" t="str">
        <f t="shared" si="21"/>
        <v/>
      </c>
    </row>
    <row r="585" spans="3:6" x14ac:dyDescent="0.35">
      <c r="C585" t="str">
        <f>IFERROR(ROUNDUP(VLOOKUP(F585,'30Days-Baseline'!C:D,2,FALSE),0),"NotExist")</f>
        <v>NotExist</v>
      </c>
      <c r="D585" t="str">
        <f t="shared" si="20"/>
        <v>New</v>
      </c>
      <c r="E585" t="e">
        <f>VLOOKUP(A:A,Reviewed!B:C,2,0)</f>
        <v>#N/A</v>
      </c>
      <c r="F585" t="str">
        <f t="shared" si="21"/>
        <v/>
      </c>
    </row>
    <row r="586" spans="3:6" x14ac:dyDescent="0.35">
      <c r="C586" t="str">
        <f>IFERROR(ROUNDUP(VLOOKUP(F586,'30Days-Baseline'!C:D,2,FALSE),0),"NotExist")</f>
        <v>NotExist</v>
      </c>
      <c r="D586" t="str">
        <f t="shared" si="20"/>
        <v>New</v>
      </c>
      <c r="E586" t="e">
        <f>VLOOKUP(A:A,Reviewed!B:C,2,0)</f>
        <v>#N/A</v>
      </c>
      <c r="F586" t="str">
        <f t="shared" si="21"/>
        <v/>
      </c>
    </row>
    <row r="587" spans="3:6" x14ac:dyDescent="0.35">
      <c r="C587" t="str">
        <f>IFERROR(ROUNDUP(VLOOKUP(F587,'30Days-Baseline'!C:D,2,FALSE),0),"NotExist")</f>
        <v>NotExist</v>
      </c>
      <c r="D587" t="str">
        <f t="shared" si="20"/>
        <v>New</v>
      </c>
      <c r="E587" t="e">
        <f>VLOOKUP(A:A,Reviewed!B:C,2,0)</f>
        <v>#N/A</v>
      </c>
      <c r="F587" t="str">
        <f t="shared" si="21"/>
        <v/>
      </c>
    </row>
    <row r="588" spans="3:6" x14ac:dyDescent="0.35">
      <c r="C588" t="str">
        <f>IFERROR(ROUNDUP(VLOOKUP(F588,'30Days-Baseline'!C:D,2,FALSE),0),"NotExist")</f>
        <v>NotExist</v>
      </c>
      <c r="D588" t="str">
        <f t="shared" si="20"/>
        <v>New</v>
      </c>
      <c r="E588" t="e">
        <f>VLOOKUP(A:A,Reviewed!B:C,2,0)</f>
        <v>#N/A</v>
      </c>
      <c r="F588" t="str">
        <f t="shared" si="21"/>
        <v/>
      </c>
    </row>
    <row r="589" spans="3:6" x14ac:dyDescent="0.35">
      <c r="C589" t="str">
        <f>IFERROR(ROUNDUP(VLOOKUP(F589,'30Days-Baseline'!C:D,2,FALSE),0),"NotExist")</f>
        <v>NotExist</v>
      </c>
      <c r="D589" t="str">
        <f t="shared" si="20"/>
        <v>New</v>
      </c>
      <c r="E589" t="e">
        <f>VLOOKUP(A:A,Reviewed!B:C,2,0)</f>
        <v>#N/A</v>
      </c>
      <c r="F589" t="str">
        <f t="shared" si="21"/>
        <v/>
      </c>
    </row>
    <row r="590" spans="3:6" x14ac:dyDescent="0.35">
      <c r="C590" t="str">
        <f>IFERROR(ROUNDUP(VLOOKUP(F590,'30Days-Baseline'!C:D,2,FALSE),0),"NotExist")</f>
        <v>NotExist</v>
      </c>
      <c r="D590" t="str">
        <f t="shared" si="20"/>
        <v>New</v>
      </c>
      <c r="E590" t="e">
        <f>VLOOKUP(A:A,Reviewed!B:C,2,0)</f>
        <v>#N/A</v>
      </c>
      <c r="F590" t="str">
        <f t="shared" si="21"/>
        <v/>
      </c>
    </row>
    <row r="591" spans="3:6" x14ac:dyDescent="0.35">
      <c r="C591" t="str">
        <f>IFERROR(ROUNDUP(VLOOKUP(F591,'30Days-Baseline'!C:D,2,FALSE),0),"NotExist")</f>
        <v>NotExist</v>
      </c>
      <c r="D591" t="str">
        <f t="shared" si="20"/>
        <v>New</v>
      </c>
      <c r="E591" t="e">
        <f>VLOOKUP(A:A,Reviewed!B:C,2,0)</f>
        <v>#N/A</v>
      </c>
      <c r="F591" t="str">
        <f t="shared" si="21"/>
        <v/>
      </c>
    </row>
    <row r="592" spans="3:6" x14ac:dyDescent="0.35">
      <c r="C592" t="str">
        <f>IFERROR(ROUNDUP(VLOOKUP(F592,'30Days-Baseline'!C:D,2,FALSE),0),"NotExist")</f>
        <v>NotExist</v>
      </c>
      <c r="D592" t="str">
        <f t="shared" si="20"/>
        <v>New</v>
      </c>
      <c r="E592" t="e">
        <f>VLOOKUP(A:A,Reviewed!B:C,2,0)</f>
        <v>#N/A</v>
      </c>
      <c r="F592" t="str">
        <f t="shared" si="21"/>
        <v/>
      </c>
    </row>
    <row r="593" spans="3:6" x14ac:dyDescent="0.35">
      <c r="C593" t="str">
        <f>IFERROR(ROUNDUP(VLOOKUP(F593,'30Days-Baseline'!C:D,2,FALSE),0),"NotExist")</f>
        <v>NotExist</v>
      </c>
      <c r="D593" t="str">
        <f t="shared" si="20"/>
        <v>New</v>
      </c>
      <c r="E593" t="e">
        <f>VLOOKUP(A:A,Reviewed!B:C,2,0)</f>
        <v>#N/A</v>
      </c>
      <c r="F593" t="str">
        <f t="shared" si="21"/>
        <v/>
      </c>
    </row>
    <row r="594" spans="3:6" x14ac:dyDescent="0.35">
      <c r="C594" t="str">
        <f>IFERROR(ROUNDUP(VLOOKUP(F594,'30Days-Baseline'!C:D,2,FALSE),0),"NotExist")</f>
        <v>NotExist</v>
      </c>
      <c r="D594" t="str">
        <f t="shared" si="20"/>
        <v>New</v>
      </c>
      <c r="E594" t="e">
        <f>VLOOKUP(A:A,Reviewed!B:C,2,0)</f>
        <v>#N/A</v>
      </c>
      <c r="F594" t="str">
        <f t="shared" si="21"/>
        <v/>
      </c>
    </row>
    <row r="595" spans="3:6" x14ac:dyDescent="0.35">
      <c r="C595" t="str">
        <f>IFERROR(ROUNDUP(VLOOKUP(F595,'30Days-Baseline'!C:D,2,FALSE),0),"NotExist")</f>
        <v>NotExist</v>
      </c>
      <c r="D595" t="str">
        <f t="shared" ref="D595:D658" si="22">IFERROR(IF(B595&gt;ROUNDUP(C595,0),"Elevated","Ok"),"New")</f>
        <v>New</v>
      </c>
      <c r="E595" t="e">
        <f>VLOOKUP(A:A,Reviewed!B:C,2,0)</f>
        <v>#N/A</v>
      </c>
      <c r="F595" t="str">
        <f t="shared" ref="F595:F658" si="23">LEFT(A595,255)</f>
        <v/>
      </c>
    </row>
    <row r="596" spans="3:6" x14ac:dyDescent="0.35">
      <c r="C596" t="str">
        <f>IFERROR(ROUNDUP(VLOOKUP(F596,'30Days-Baseline'!C:D,2,FALSE),0),"NotExist")</f>
        <v>NotExist</v>
      </c>
      <c r="D596" t="str">
        <f t="shared" si="22"/>
        <v>New</v>
      </c>
      <c r="E596" t="e">
        <f>VLOOKUP(A:A,Reviewed!B:C,2,0)</f>
        <v>#N/A</v>
      </c>
      <c r="F596" t="str">
        <f t="shared" si="23"/>
        <v/>
      </c>
    </row>
    <row r="597" spans="3:6" x14ac:dyDescent="0.35">
      <c r="C597" t="str">
        <f>IFERROR(ROUNDUP(VLOOKUP(F597,'30Days-Baseline'!C:D,2,FALSE),0),"NotExist")</f>
        <v>NotExist</v>
      </c>
      <c r="D597" t="str">
        <f t="shared" si="22"/>
        <v>New</v>
      </c>
      <c r="E597" t="e">
        <f>VLOOKUP(A:A,Reviewed!B:C,2,0)</f>
        <v>#N/A</v>
      </c>
      <c r="F597" t="str">
        <f t="shared" si="23"/>
        <v/>
      </c>
    </row>
    <row r="598" spans="3:6" x14ac:dyDescent="0.35">
      <c r="C598" t="str">
        <f>IFERROR(ROUNDUP(VLOOKUP(F598,'30Days-Baseline'!C:D,2,FALSE),0),"NotExist")</f>
        <v>NotExist</v>
      </c>
      <c r="D598" t="str">
        <f t="shared" si="22"/>
        <v>New</v>
      </c>
      <c r="E598" t="e">
        <f>VLOOKUP(A:A,Reviewed!B:C,2,0)</f>
        <v>#N/A</v>
      </c>
      <c r="F598" t="str">
        <f t="shared" si="23"/>
        <v/>
      </c>
    </row>
    <row r="599" spans="3:6" x14ac:dyDescent="0.35">
      <c r="C599" t="str">
        <f>IFERROR(ROUNDUP(VLOOKUP(F599,'30Days-Baseline'!C:D,2,FALSE),0),"NotExist")</f>
        <v>NotExist</v>
      </c>
      <c r="D599" t="str">
        <f t="shared" si="22"/>
        <v>New</v>
      </c>
      <c r="E599" t="e">
        <f>VLOOKUP(A:A,Reviewed!B:C,2,0)</f>
        <v>#N/A</v>
      </c>
      <c r="F599" t="str">
        <f t="shared" si="23"/>
        <v/>
      </c>
    </row>
    <row r="600" spans="3:6" x14ac:dyDescent="0.35">
      <c r="C600" t="str">
        <f>IFERROR(ROUNDUP(VLOOKUP(F600,'30Days-Baseline'!C:D,2,FALSE),0),"NotExist")</f>
        <v>NotExist</v>
      </c>
      <c r="D600" t="str">
        <f t="shared" si="22"/>
        <v>New</v>
      </c>
      <c r="E600" t="e">
        <f>VLOOKUP(A:A,Reviewed!B:C,2,0)</f>
        <v>#N/A</v>
      </c>
      <c r="F600" t="str">
        <f t="shared" si="23"/>
        <v/>
      </c>
    </row>
    <row r="601" spans="3:6" x14ac:dyDescent="0.35">
      <c r="C601" t="str">
        <f>IFERROR(ROUNDUP(VLOOKUP(F601,'30Days-Baseline'!C:D,2,FALSE),0),"NotExist")</f>
        <v>NotExist</v>
      </c>
      <c r="D601" t="str">
        <f t="shared" si="22"/>
        <v>New</v>
      </c>
      <c r="E601" t="e">
        <f>VLOOKUP(A:A,Reviewed!B:C,2,0)</f>
        <v>#N/A</v>
      </c>
      <c r="F601" t="str">
        <f t="shared" si="23"/>
        <v/>
      </c>
    </row>
    <row r="602" spans="3:6" x14ac:dyDescent="0.35">
      <c r="C602" t="str">
        <f>IFERROR(ROUNDUP(VLOOKUP(F602,'30Days-Baseline'!C:D,2,FALSE),0),"NotExist")</f>
        <v>NotExist</v>
      </c>
      <c r="D602" t="str">
        <f t="shared" si="22"/>
        <v>New</v>
      </c>
      <c r="E602" t="e">
        <f>VLOOKUP(A:A,Reviewed!B:C,2,0)</f>
        <v>#N/A</v>
      </c>
      <c r="F602" t="str">
        <f t="shared" si="23"/>
        <v/>
      </c>
    </row>
    <row r="603" spans="3:6" x14ac:dyDescent="0.35">
      <c r="C603" t="str">
        <f>IFERROR(ROUNDUP(VLOOKUP(F603,'30Days-Baseline'!C:D,2,FALSE),0),"NotExist")</f>
        <v>NotExist</v>
      </c>
      <c r="D603" t="str">
        <f t="shared" si="22"/>
        <v>New</v>
      </c>
      <c r="E603" t="e">
        <f>VLOOKUP(A:A,Reviewed!B:C,2,0)</f>
        <v>#N/A</v>
      </c>
      <c r="F603" t="str">
        <f t="shared" si="23"/>
        <v/>
      </c>
    </row>
    <row r="604" spans="3:6" x14ac:dyDescent="0.35">
      <c r="C604" t="str">
        <f>IFERROR(ROUNDUP(VLOOKUP(F604,'30Days-Baseline'!C:D,2,FALSE),0),"NotExist")</f>
        <v>NotExist</v>
      </c>
      <c r="D604" t="str">
        <f t="shared" si="22"/>
        <v>New</v>
      </c>
      <c r="E604" t="e">
        <f>VLOOKUP(A:A,Reviewed!B:C,2,0)</f>
        <v>#N/A</v>
      </c>
      <c r="F604" t="str">
        <f t="shared" si="23"/>
        <v/>
      </c>
    </row>
    <row r="605" spans="3:6" x14ac:dyDescent="0.35">
      <c r="C605" t="str">
        <f>IFERROR(ROUNDUP(VLOOKUP(F605,'30Days-Baseline'!C:D,2,FALSE),0),"NotExist")</f>
        <v>NotExist</v>
      </c>
      <c r="D605" t="str">
        <f t="shared" si="22"/>
        <v>New</v>
      </c>
      <c r="E605" t="e">
        <f>VLOOKUP(A:A,Reviewed!B:C,2,0)</f>
        <v>#N/A</v>
      </c>
      <c r="F605" t="str">
        <f t="shared" si="23"/>
        <v/>
      </c>
    </row>
    <row r="606" spans="3:6" x14ac:dyDescent="0.35">
      <c r="C606" t="str">
        <f>IFERROR(ROUNDUP(VLOOKUP(F606,'30Days-Baseline'!C:D,2,FALSE),0),"NotExist")</f>
        <v>NotExist</v>
      </c>
      <c r="D606" t="str">
        <f t="shared" si="22"/>
        <v>New</v>
      </c>
      <c r="E606" t="e">
        <f>VLOOKUP(A:A,Reviewed!B:C,2,0)</f>
        <v>#N/A</v>
      </c>
      <c r="F606" t="str">
        <f t="shared" si="23"/>
        <v/>
      </c>
    </row>
    <row r="607" spans="3:6" x14ac:dyDescent="0.35">
      <c r="C607" t="str">
        <f>IFERROR(ROUNDUP(VLOOKUP(F607,'30Days-Baseline'!C:D,2,FALSE),0),"NotExist")</f>
        <v>NotExist</v>
      </c>
      <c r="D607" t="str">
        <f t="shared" si="22"/>
        <v>New</v>
      </c>
      <c r="E607" t="e">
        <f>VLOOKUP(A:A,Reviewed!B:C,2,0)</f>
        <v>#N/A</v>
      </c>
      <c r="F607" t="str">
        <f t="shared" si="23"/>
        <v/>
      </c>
    </row>
    <row r="608" spans="3:6" x14ac:dyDescent="0.35">
      <c r="C608" t="str">
        <f>IFERROR(ROUNDUP(VLOOKUP(F608,'30Days-Baseline'!C:D,2,FALSE),0),"NotExist")</f>
        <v>NotExist</v>
      </c>
      <c r="D608" t="str">
        <f t="shared" si="22"/>
        <v>New</v>
      </c>
      <c r="E608" t="e">
        <f>VLOOKUP(A:A,Reviewed!B:C,2,0)</f>
        <v>#N/A</v>
      </c>
      <c r="F608" t="str">
        <f t="shared" si="23"/>
        <v/>
      </c>
    </row>
    <row r="609" spans="1:6" x14ac:dyDescent="0.35">
      <c r="C609" t="str">
        <f>IFERROR(ROUNDUP(VLOOKUP(F609,'30Days-Baseline'!C:D,2,FALSE),0),"NotExist")</f>
        <v>NotExist</v>
      </c>
      <c r="D609" t="str">
        <f t="shared" si="22"/>
        <v>New</v>
      </c>
      <c r="E609" t="e">
        <f>VLOOKUP(A:A,Reviewed!B:C,2,0)</f>
        <v>#N/A</v>
      </c>
      <c r="F609" t="str">
        <f t="shared" si="23"/>
        <v/>
      </c>
    </row>
    <row r="610" spans="1:6" x14ac:dyDescent="0.35">
      <c r="C610" t="str">
        <f>IFERROR(ROUNDUP(VLOOKUP(F610,'30Days-Baseline'!C:D,2,FALSE),0),"NotExist")</f>
        <v>NotExist</v>
      </c>
      <c r="D610" t="str">
        <f t="shared" si="22"/>
        <v>New</v>
      </c>
      <c r="E610" t="e">
        <f>VLOOKUP(A:A,Reviewed!B:C,2,0)</f>
        <v>#N/A</v>
      </c>
      <c r="F610" t="str">
        <f t="shared" si="23"/>
        <v/>
      </c>
    </row>
    <row r="611" spans="1:6" x14ac:dyDescent="0.35">
      <c r="C611" t="str">
        <f>IFERROR(ROUNDUP(VLOOKUP(F611,'30Days-Baseline'!C:D,2,FALSE),0),"NotExist")</f>
        <v>NotExist</v>
      </c>
      <c r="D611" t="str">
        <f t="shared" si="22"/>
        <v>New</v>
      </c>
      <c r="E611" t="e">
        <f>VLOOKUP(A:A,Reviewed!B:C,2,0)</f>
        <v>#N/A</v>
      </c>
      <c r="F611" t="str">
        <f t="shared" si="23"/>
        <v/>
      </c>
    </row>
    <row r="612" spans="1:6" x14ac:dyDescent="0.35">
      <c r="C612" t="str">
        <f>IFERROR(ROUNDUP(VLOOKUP(F612,'30Days-Baseline'!C:D,2,FALSE),0),"NotExist")</f>
        <v>NotExist</v>
      </c>
      <c r="D612" t="str">
        <f t="shared" si="22"/>
        <v>New</v>
      </c>
      <c r="E612" t="e">
        <f>VLOOKUP(A:A,Reviewed!B:C,2,0)</f>
        <v>#N/A</v>
      </c>
      <c r="F612" t="str">
        <f t="shared" si="23"/>
        <v/>
      </c>
    </row>
    <row r="613" spans="1:6" x14ac:dyDescent="0.35">
      <c r="C613" t="str">
        <f>IFERROR(ROUNDUP(VLOOKUP(F613,'30Days-Baseline'!C:D,2,FALSE),0),"NotExist")</f>
        <v>NotExist</v>
      </c>
      <c r="D613" t="str">
        <f t="shared" si="22"/>
        <v>New</v>
      </c>
      <c r="E613" t="e">
        <f>VLOOKUP(A:A,Reviewed!B:C,2,0)</f>
        <v>#N/A</v>
      </c>
      <c r="F613" t="str">
        <f t="shared" si="23"/>
        <v/>
      </c>
    </row>
    <row r="614" spans="1:6" x14ac:dyDescent="0.35">
      <c r="C614" t="str">
        <f>IFERROR(ROUNDUP(VLOOKUP(F614,'30Days-Baseline'!C:D,2,FALSE),0),"NotExist")</f>
        <v>NotExist</v>
      </c>
      <c r="D614" t="str">
        <f t="shared" si="22"/>
        <v>New</v>
      </c>
      <c r="E614" t="e">
        <f>VLOOKUP(A:A,Reviewed!B:C,2,0)</f>
        <v>#N/A</v>
      </c>
      <c r="F614" t="str">
        <f t="shared" si="23"/>
        <v/>
      </c>
    </row>
    <row r="615" spans="1:6" x14ac:dyDescent="0.35">
      <c r="C615" t="str">
        <f>IFERROR(ROUNDUP(VLOOKUP(F615,'30Days-Baseline'!C:D,2,FALSE),0),"NotExist")</f>
        <v>NotExist</v>
      </c>
      <c r="D615" t="str">
        <f t="shared" si="22"/>
        <v>New</v>
      </c>
      <c r="E615" t="e">
        <f>VLOOKUP(A:A,Reviewed!B:C,2,0)</f>
        <v>#N/A</v>
      </c>
      <c r="F615" t="str">
        <f t="shared" si="23"/>
        <v/>
      </c>
    </row>
    <row r="616" spans="1:6" x14ac:dyDescent="0.35">
      <c r="A616" s="4"/>
      <c r="C616" t="str">
        <f>IFERROR(ROUNDUP(VLOOKUP(F616,'30Days-Baseline'!C:D,2,FALSE),0),"NotExist")</f>
        <v>NotExist</v>
      </c>
      <c r="D616" t="str">
        <f t="shared" si="22"/>
        <v>New</v>
      </c>
      <c r="E616" t="e">
        <f>VLOOKUP(A:A,Reviewed!B:C,2,0)</f>
        <v>#N/A</v>
      </c>
      <c r="F616" t="str">
        <f t="shared" si="23"/>
        <v/>
      </c>
    </row>
    <row r="617" spans="1:6" x14ac:dyDescent="0.35">
      <c r="C617" t="str">
        <f>IFERROR(ROUNDUP(VLOOKUP(F617,'30Days-Baseline'!C:D,2,FALSE),0),"NotExist")</f>
        <v>NotExist</v>
      </c>
      <c r="D617" t="str">
        <f t="shared" si="22"/>
        <v>New</v>
      </c>
      <c r="E617" t="e">
        <f>VLOOKUP(A:A,Reviewed!B:C,2,0)</f>
        <v>#N/A</v>
      </c>
      <c r="F617" t="str">
        <f t="shared" si="23"/>
        <v/>
      </c>
    </row>
    <row r="618" spans="1:6" x14ac:dyDescent="0.35">
      <c r="C618" t="str">
        <f>IFERROR(ROUNDUP(VLOOKUP(F618,'30Days-Baseline'!C:D,2,FALSE),0),"NotExist")</f>
        <v>NotExist</v>
      </c>
      <c r="D618" t="str">
        <f t="shared" si="22"/>
        <v>New</v>
      </c>
      <c r="E618" t="e">
        <f>VLOOKUP(A:A,Reviewed!B:C,2,0)</f>
        <v>#N/A</v>
      </c>
      <c r="F618" t="str">
        <f t="shared" si="23"/>
        <v/>
      </c>
    </row>
    <row r="619" spans="1:6" x14ac:dyDescent="0.35">
      <c r="C619" t="str">
        <f>IFERROR(ROUNDUP(VLOOKUP(F619,'30Days-Baseline'!C:D,2,FALSE),0),"NotExist")</f>
        <v>NotExist</v>
      </c>
      <c r="D619" t="str">
        <f t="shared" si="22"/>
        <v>New</v>
      </c>
      <c r="E619" t="e">
        <f>VLOOKUP(A:A,Reviewed!B:C,2,0)</f>
        <v>#N/A</v>
      </c>
      <c r="F619" t="str">
        <f t="shared" si="23"/>
        <v/>
      </c>
    </row>
    <row r="620" spans="1:6" x14ac:dyDescent="0.35">
      <c r="C620" t="str">
        <f>IFERROR(ROUNDUP(VLOOKUP(F620,'30Days-Baseline'!C:D,2,FALSE),0),"NotExist")</f>
        <v>NotExist</v>
      </c>
      <c r="D620" t="str">
        <f t="shared" si="22"/>
        <v>New</v>
      </c>
      <c r="E620" t="e">
        <f>VLOOKUP(A:A,Reviewed!B:C,2,0)</f>
        <v>#N/A</v>
      </c>
      <c r="F620" t="str">
        <f t="shared" si="23"/>
        <v/>
      </c>
    </row>
    <row r="621" spans="1:6" x14ac:dyDescent="0.35">
      <c r="C621" t="str">
        <f>IFERROR(ROUNDUP(VLOOKUP(F621,'30Days-Baseline'!C:D,2,FALSE),0),"NotExist")</f>
        <v>NotExist</v>
      </c>
      <c r="D621" t="str">
        <f t="shared" si="22"/>
        <v>New</v>
      </c>
      <c r="E621" t="e">
        <f>VLOOKUP(A:A,Reviewed!B:C,2,0)</f>
        <v>#N/A</v>
      </c>
      <c r="F621" t="str">
        <f t="shared" si="23"/>
        <v/>
      </c>
    </row>
    <row r="622" spans="1:6" x14ac:dyDescent="0.35">
      <c r="C622" t="str">
        <f>IFERROR(ROUNDUP(VLOOKUP(F622,'30Days-Baseline'!C:D,2,FALSE),0),"NotExist")</f>
        <v>NotExist</v>
      </c>
      <c r="D622" t="str">
        <f t="shared" si="22"/>
        <v>New</v>
      </c>
      <c r="E622" t="e">
        <f>VLOOKUP(A:A,Reviewed!B:C,2,0)</f>
        <v>#N/A</v>
      </c>
      <c r="F622" t="str">
        <f t="shared" si="23"/>
        <v/>
      </c>
    </row>
    <row r="623" spans="1:6" x14ac:dyDescent="0.35">
      <c r="C623" t="str">
        <f>IFERROR(ROUNDUP(VLOOKUP(F623,'30Days-Baseline'!C:D,2,FALSE),0),"NotExist")</f>
        <v>NotExist</v>
      </c>
      <c r="D623" t="str">
        <f t="shared" si="22"/>
        <v>New</v>
      </c>
      <c r="E623" t="e">
        <f>VLOOKUP(A:A,Reviewed!B:C,2,0)</f>
        <v>#N/A</v>
      </c>
      <c r="F623" t="str">
        <f t="shared" si="23"/>
        <v/>
      </c>
    </row>
    <row r="624" spans="1:6" x14ac:dyDescent="0.35">
      <c r="C624" t="str">
        <f>IFERROR(ROUNDUP(VLOOKUP(F624,'30Days-Baseline'!C:D,2,FALSE),0),"NotExist")</f>
        <v>NotExist</v>
      </c>
      <c r="D624" t="str">
        <f t="shared" si="22"/>
        <v>New</v>
      </c>
      <c r="E624" t="e">
        <f>VLOOKUP(A:A,Reviewed!B:C,2,0)</f>
        <v>#N/A</v>
      </c>
      <c r="F624" t="str">
        <f t="shared" si="23"/>
        <v/>
      </c>
    </row>
    <row r="625" spans="3:6" x14ac:dyDescent="0.35">
      <c r="C625" t="str">
        <f>IFERROR(ROUNDUP(VLOOKUP(F625,'30Days-Baseline'!C:D,2,FALSE),0),"NotExist")</f>
        <v>NotExist</v>
      </c>
      <c r="D625" t="str">
        <f t="shared" si="22"/>
        <v>New</v>
      </c>
      <c r="E625" t="e">
        <f>VLOOKUP(A:A,Reviewed!B:C,2,0)</f>
        <v>#N/A</v>
      </c>
      <c r="F625" t="str">
        <f t="shared" si="23"/>
        <v/>
      </c>
    </row>
    <row r="626" spans="3:6" x14ac:dyDescent="0.35">
      <c r="C626" t="str">
        <f>IFERROR(ROUNDUP(VLOOKUP(F626,'30Days-Baseline'!C:D,2,FALSE),0),"NotExist")</f>
        <v>NotExist</v>
      </c>
      <c r="D626" t="str">
        <f t="shared" si="22"/>
        <v>New</v>
      </c>
      <c r="E626" t="e">
        <f>VLOOKUP(A:A,Reviewed!B:C,2,0)</f>
        <v>#N/A</v>
      </c>
      <c r="F626" t="str">
        <f t="shared" si="23"/>
        <v/>
      </c>
    </row>
    <row r="627" spans="3:6" x14ac:dyDescent="0.35">
      <c r="C627" t="str">
        <f>IFERROR(ROUNDUP(VLOOKUP(F627,'30Days-Baseline'!C:D,2,FALSE),0),"NotExist")</f>
        <v>NotExist</v>
      </c>
      <c r="D627" t="str">
        <f t="shared" si="22"/>
        <v>New</v>
      </c>
      <c r="E627" t="e">
        <f>VLOOKUP(A:A,Reviewed!B:C,2,0)</f>
        <v>#N/A</v>
      </c>
      <c r="F627" t="str">
        <f t="shared" si="23"/>
        <v/>
      </c>
    </row>
    <row r="628" spans="3:6" x14ac:dyDescent="0.35">
      <c r="C628" t="str">
        <f>IFERROR(ROUNDUP(VLOOKUP(F628,'30Days-Baseline'!C:D,2,FALSE),0),"NotExist")</f>
        <v>NotExist</v>
      </c>
      <c r="D628" t="str">
        <f t="shared" si="22"/>
        <v>New</v>
      </c>
      <c r="E628" t="e">
        <f>VLOOKUP(A:A,Reviewed!B:C,2,0)</f>
        <v>#N/A</v>
      </c>
      <c r="F628" t="str">
        <f t="shared" si="23"/>
        <v/>
      </c>
    </row>
    <row r="629" spans="3:6" x14ac:dyDescent="0.35">
      <c r="C629" t="str">
        <f>IFERROR(ROUNDUP(VLOOKUP(F629,'30Days-Baseline'!C:D,2,FALSE),0),"NotExist")</f>
        <v>NotExist</v>
      </c>
      <c r="D629" t="str">
        <f t="shared" si="22"/>
        <v>New</v>
      </c>
      <c r="E629" t="e">
        <f>VLOOKUP(A:A,Reviewed!B:C,2,0)</f>
        <v>#N/A</v>
      </c>
      <c r="F629" t="str">
        <f t="shared" si="23"/>
        <v/>
      </c>
    </row>
    <row r="630" spans="3:6" x14ac:dyDescent="0.35">
      <c r="C630" t="str">
        <f>IFERROR(ROUNDUP(VLOOKUP(F630,'30Days-Baseline'!C:D,2,FALSE),0),"NotExist")</f>
        <v>NotExist</v>
      </c>
      <c r="D630" t="str">
        <f t="shared" si="22"/>
        <v>New</v>
      </c>
      <c r="E630" t="e">
        <f>VLOOKUP(A:A,Reviewed!B:C,2,0)</f>
        <v>#N/A</v>
      </c>
      <c r="F630" t="str">
        <f t="shared" si="23"/>
        <v/>
      </c>
    </row>
    <row r="631" spans="3:6" x14ac:dyDescent="0.35">
      <c r="C631" t="str">
        <f>IFERROR(ROUNDUP(VLOOKUP(F631,'30Days-Baseline'!C:D,2,FALSE),0),"NotExist")</f>
        <v>NotExist</v>
      </c>
      <c r="D631" t="str">
        <f t="shared" si="22"/>
        <v>New</v>
      </c>
      <c r="E631" t="e">
        <f>VLOOKUP(A:A,Reviewed!B:C,2,0)</f>
        <v>#N/A</v>
      </c>
      <c r="F631" t="str">
        <f t="shared" si="23"/>
        <v/>
      </c>
    </row>
    <row r="632" spans="3:6" x14ac:dyDescent="0.35">
      <c r="C632" t="str">
        <f>IFERROR(ROUNDUP(VLOOKUP(F632,'30Days-Baseline'!C:D,2,FALSE),0),"NotExist")</f>
        <v>NotExist</v>
      </c>
      <c r="D632" t="str">
        <f t="shared" si="22"/>
        <v>New</v>
      </c>
      <c r="E632" t="e">
        <f>VLOOKUP(A:A,Reviewed!B:C,2,0)</f>
        <v>#N/A</v>
      </c>
      <c r="F632" t="str">
        <f t="shared" si="23"/>
        <v/>
      </c>
    </row>
    <row r="633" spans="3:6" x14ac:dyDescent="0.35">
      <c r="C633" t="str">
        <f>IFERROR(ROUNDUP(VLOOKUP(F633,'30Days-Baseline'!C:D,2,FALSE),0),"NotExist")</f>
        <v>NotExist</v>
      </c>
      <c r="D633" t="str">
        <f t="shared" si="22"/>
        <v>New</v>
      </c>
      <c r="E633" t="e">
        <f>VLOOKUP(A:A,Reviewed!B:C,2,0)</f>
        <v>#N/A</v>
      </c>
      <c r="F633" t="str">
        <f t="shared" si="23"/>
        <v/>
      </c>
    </row>
    <row r="634" spans="3:6" x14ac:dyDescent="0.35">
      <c r="C634" t="str">
        <f>IFERROR(ROUNDUP(VLOOKUP(F634,'30Days-Baseline'!C:D,2,FALSE),0),"NotExist")</f>
        <v>NotExist</v>
      </c>
      <c r="D634" t="str">
        <f t="shared" si="22"/>
        <v>New</v>
      </c>
      <c r="E634" t="e">
        <f>VLOOKUP(A:A,Reviewed!B:C,2,0)</f>
        <v>#N/A</v>
      </c>
      <c r="F634" t="str">
        <f t="shared" si="23"/>
        <v/>
      </c>
    </row>
    <row r="635" spans="3:6" x14ac:dyDescent="0.35">
      <c r="C635" t="str">
        <f>IFERROR(ROUNDUP(VLOOKUP(F635,'30Days-Baseline'!C:D,2,FALSE),0),"NotExist")</f>
        <v>NotExist</v>
      </c>
      <c r="D635" t="str">
        <f t="shared" si="22"/>
        <v>New</v>
      </c>
      <c r="E635" t="e">
        <f>VLOOKUP(A:A,Reviewed!B:C,2,0)</f>
        <v>#N/A</v>
      </c>
      <c r="F635" t="str">
        <f t="shared" si="23"/>
        <v/>
      </c>
    </row>
    <row r="636" spans="3:6" x14ac:dyDescent="0.35">
      <c r="C636" t="str">
        <f>IFERROR(ROUNDUP(VLOOKUP(F636,'30Days-Baseline'!C:D,2,FALSE),0),"NotExist")</f>
        <v>NotExist</v>
      </c>
      <c r="D636" t="str">
        <f t="shared" si="22"/>
        <v>New</v>
      </c>
      <c r="E636" t="e">
        <f>VLOOKUP(A:A,Reviewed!B:C,2,0)</f>
        <v>#N/A</v>
      </c>
      <c r="F636" t="str">
        <f t="shared" si="23"/>
        <v/>
      </c>
    </row>
    <row r="637" spans="3:6" x14ac:dyDescent="0.35">
      <c r="C637" t="str">
        <f>IFERROR(ROUNDUP(VLOOKUP(F637,'30Days-Baseline'!C:D,2,FALSE),0),"NotExist")</f>
        <v>NotExist</v>
      </c>
      <c r="D637" t="str">
        <f t="shared" si="22"/>
        <v>New</v>
      </c>
      <c r="E637" t="e">
        <f>VLOOKUP(A:A,Reviewed!B:C,2,0)</f>
        <v>#N/A</v>
      </c>
      <c r="F637" t="str">
        <f t="shared" si="23"/>
        <v/>
      </c>
    </row>
    <row r="638" spans="3:6" x14ac:dyDescent="0.35">
      <c r="C638" t="str">
        <f>IFERROR(ROUNDUP(VLOOKUP(F638,'30Days-Baseline'!C:D,2,FALSE),0),"NotExist")</f>
        <v>NotExist</v>
      </c>
      <c r="D638" t="str">
        <f t="shared" si="22"/>
        <v>New</v>
      </c>
      <c r="E638" t="e">
        <f>VLOOKUP(A:A,Reviewed!B:C,2,0)</f>
        <v>#N/A</v>
      </c>
      <c r="F638" t="str">
        <f t="shared" si="23"/>
        <v/>
      </c>
    </row>
    <row r="639" spans="3:6" x14ac:dyDescent="0.35">
      <c r="C639" t="str">
        <f>IFERROR(ROUNDUP(VLOOKUP(F639,'30Days-Baseline'!C:D,2,FALSE),0),"NotExist")</f>
        <v>NotExist</v>
      </c>
      <c r="D639" t="str">
        <f t="shared" si="22"/>
        <v>New</v>
      </c>
      <c r="E639" t="e">
        <f>VLOOKUP(A:A,Reviewed!B:C,2,0)</f>
        <v>#N/A</v>
      </c>
      <c r="F639" t="str">
        <f t="shared" si="23"/>
        <v/>
      </c>
    </row>
    <row r="640" spans="3:6" x14ac:dyDescent="0.35">
      <c r="C640" t="str">
        <f>IFERROR(ROUNDUP(VLOOKUP(F640,'30Days-Baseline'!C:D,2,FALSE),0),"NotExist")</f>
        <v>NotExist</v>
      </c>
      <c r="D640" t="str">
        <f t="shared" si="22"/>
        <v>New</v>
      </c>
      <c r="E640" t="e">
        <f>VLOOKUP(A:A,Reviewed!B:C,2,0)</f>
        <v>#N/A</v>
      </c>
      <c r="F640" t="str">
        <f t="shared" si="23"/>
        <v/>
      </c>
    </row>
    <row r="641" spans="3:6" x14ac:dyDescent="0.35">
      <c r="C641" t="str">
        <f>IFERROR(ROUNDUP(VLOOKUP(F641,'30Days-Baseline'!C:D,2,FALSE),0),"NotExist")</f>
        <v>NotExist</v>
      </c>
      <c r="D641" t="str">
        <f t="shared" si="22"/>
        <v>New</v>
      </c>
      <c r="E641" t="e">
        <f>VLOOKUP(A:A,Reviewed!B:C,2,0)</f>
        <v>#N/A</v>
      </c>
      <c r="F641" t="str">
        <f t="shared" si="23"/>
        <v/>
      </c>
    </row>
    <row r="642" spans="3:6" x14ac:dyDescent="0.35">
      <c r="C642" t="str">
        <f>IFERROR(ROUNDUP(VLOOKUP(F642,'30Days-Baseline'!C:D,2,FALSE),0),"NotExist")</f>
        <v>NotExist</v>
      </c>
      <c r="D642" t="str">
        <f t="shared" si="22"/>
        <v>New</v>
      </c>
      <c r="E642" t="e">
        <f>VLOOKUP(A:A,Reviewed!B:C,2,0)</f>
        <v>#N/A</v>
      </c>
      <c r="F642" t="str">
        <f t="shared" si="23"/>
        <v/>
      </c>
    </row>
    <row r="643" spans="3:6" x14ac:dyDescent="0.35">
      <c r="C643" t="str">
        <f>IFERROR(ROUNDUP(VLOOKUP(F643,'30Days-Baseline'!C:D,2,FALSE),0),"NotExist")</f>
        <v>NotExist</v>
      </c>
      <c r="D643" t="str">
        <f t="shared" si="22"/>
        <v>New</v>
      </c>
      <c r="E643" t="e">
        <f>VLOOKUP(A:A,Reviewed!B:C,2,0)</f>
        <v>#N/A</v>
      </c>
      <c r="F643" t="str">
        <f t="shared" si="23"/>
        <v/>
      </c>
    </row>
    <row r="644" spans="3:6" x14ac:dyDescent="0.35">
      <c r="C644" t="str">
        <f>IFERROR(ROUNDUP(VLOOKUP(F644,'30Days-Baseline'!C:D,2,FALSE),0),"NotExist")</f>
        <v>NotExist</v>
      </c>
      <c r="D644" t="str">
        <f t="shared" si="22"/>
        <v>New</v>
      </c>
      <c r="E644" t="e">
        <f>VLOOKUP(A:A,Reviewed!B:C,2,0)</f>
        <v>#N/A</v>
      </c>
      <c r="F644" t="str">
        <f t="shared" si="23"/>
        <v/>
      </c>
    </row>
    <row r="645" spans="3:6" x14ac:dyDescent="0.35">
      <c r="C645" t="str">
        <f>IFERROR(ROUNDUP(VLOOKUP(F645,'30Days-Baseline'!C:D,2,FALSE),0),"NotExist")</f>
        <v>NotExist</v>
      </c>
      <c r="D645" t="str">
        <f t="shared" si="22"/>
        <v>New</v>
      </c>
      <c r="E645" t="e">
        <f>VLOOKUP(A:A,Reviewed!B:C,2,0)</f>
        <v>#N/A</v>
      </c>
      <c r="F645" t="str">
        <f t="shared" si="23"/>
        <v/>
      </c>
    </row>
    <row r="646" spans="3:6" x14ac:dyDescent="0.35">
      <c r="C646" t="str">
        <f>IFERROR(ROUNDUP(VLOOKUP(F646,'30Days-Baseline'!C:D,2,FALSE),0),"NotExist")</f>
        <v>NotExist</v>
      </c>
      <c r="D646" t="str">
        <f t="shared" si="22"/>
        <v>New</v>
      </c>
      <c r="E646" t="e">
        <f>VLOOKUP(A:A,Reviewed!B:C,2,0)</f>
        <v>#N/A</v>
      </c>
      <c r="F646" t="str">
        <f t="shared" si="23"/>
        <v/>
      </c>
    </row>
    <row r="647" spans="3:6" x14ac:dyDescent="0.35">
      <c r="C647" t="str">
        <f>IFERROR(ROUNDUP(VLOOKUP(F647,'30Days-Baseline'!C:D,2,FALSE),0),"NotExist")</f>
        <v>NotExist</v>
      </c>
      <c r="D647" t="str">
        <f t="shared" si="22"/>
        <v>New</v>
      </c>
      <c r="E647" t="e">
        <f>VLOOKUP(A:A,Reviewed!B:C,2,0)</f>
        <v>#N/A</v>
      </c>
      <c r="F647" t="str">
        <f t="shared" si="23"/>
        <v/>
      </c>
    </row>
    <row r="648" spans="3:6" x14ac:dyDescent="0.35">
      <c r="C648" t="str">
        <f>IFERROR(ROUNDUP(VLOOKUP(F648,'30Days-Baseline'!C:D,2,FALSE),0),"NotExist")</f>
        <v>NotExist</v>
      </c>
      <c r="D648" t="str">
        <f t="shared" si="22"/>
        <v>New</v>
      </c>
      <c r="E648" t="e">
        <f>VLOOKUP(A:A,Reviewed!B:C,2,0)</f>
        <v>#N/A</v>
      </c>
      <c r="F648" t="str">
        <f t="shared" si="23"/>
        <v/>
      </c>
    </row>
    <row r="649" spans="3:6" x14ac:dyDescent="0.35">
      <c r="C649" t="str">
        <f>IFERROR(ROUNDUP(VLOOKUP(F649,'30Days-Baseline'!C:D,2,FALSE),0),"NotExist")</f>
        <v>NotExist</v>
      </c>
      <c r="D649" t="str">
        <f t="shared" si="22"/>
        <v>New</v>
      </c>
      <c r="E649" t="e">
        <f>VLOOKUP(A:A,Reviewed!B:C,2,0)</f>
        <v>#N/A</v>
      </c>
      <c r="F649" t="str">
        <f t="shared" si="23"/>
        <v/>
      </c>
    </row>
    <row r="650" spans="3:6" x14ac:dyDescent="0.35">
      <c r="C650" t="str">
        <f>IFERROR(ROUNDUP(VLOOKUP(F650,'30Days-Baseline'!C:D,2,FALSE),0),"NotExist")</f>
        <v>NotExist</v>
      </c>
      <c r="D650" t="str">
        <f t="shared" si="22"/>
        <v>New</v>
      </c>
      <c r="E650" t="e">
        <f>VLOOKUP(A:A,Reviewed!B:C,2,0)</f>
        <v>#N/A</v>
      </c>
      <c r="F650" t="str">
        <f t="shared" si="23"/>
        <v/>
      </c>
    </row>
    <row r="651" spans="3:6" x14ac:dyDescent="0.35">
      <c r="C651" t="str">
        <f>IFERROR(ROUNDUP(VLOOKUP(F651,'30Days-Baseline'!C:D,2,FALSE),0),"NotExist")</f>
        <v>NotExist</v>
      </c>
      <c r="D651" t="str">
        <f t="shared" si="22"/>
        <v>New</v>
      </c>
      <c r="E651" t="e">
        <f>VLOOKUP(A:A,Reviewed!B:C,2,0)</f>
        <v>#N/A</v>
      </c>
      <c r="F651" t="str">
        <f t="shared" si="23"/>
        <v/>
      </c>
    </row>
    <row r="652" spans="3:6" x14ac:dyDescent="0.35">
      <c r="C652" t="str">
        <f>IFERROR(ROUNDUP(VLOOKUP(F652,'30Days-Baseline'!C:D,2,FALSE),0),"NotExist")</f>
        <v>NotExist</v>
      </c>
      <c r="D652" t="str">
        <f t="shared" si="22"/>
        <v>New</v>
      </c>
      <c r="E652" t="e">
        <f>VLOOKUP(A:A,Reviewed!B:C,2,0)</f>
        <v>#N/A</v>
      </c>
      <c r="F652" t="str">
        <f t="shared" si="23"/>
        <v/>
      </c>
    </row>
    <row r="653" spans="3:6" x14ac:dyDescent="0.35">
      <c r="C653" t="str">
        <f>IFERROR(ROUNDUP(VLOOKUP(F653,'30Days-Baseline'!C:D,2,FALSE),0),"NotExist")</f>
        <v>NotExist</v>
      </c>
      <c r="D653" t="str">
        <f t="shared" si="22"/>
        <v>New</v>
      </c>
      <c r="E653" t="e">
        <f>VLOOKUP(A:A,Reviewed!B:C,2,0)</f>
        <v>#N/A</v>
      </c>
      <c r="F653" t="str">
        <f t="shared" si="23"/>
        <v/>
      </c>
    </row>
    <row r="654" spans="3:6" x14ac:dyDescent="0.35">
      <c r="C654" t="str">
        <f>IFERROR(ROUNDUP(VLOOKUP(F654,'30Days-Baseline'!C:D,2,FALSE),0),"NotExist")</f>
        <v>NotExist</v>
      </c>
      <c r="D654" t="str">
        <f t="shared" si="22"/>
        <v>New</v>
      </c>
      <c r="E654" t="e">
        <f>VLOOKUP(A:A,Reviewed!B:C,2,0)</f>
        <v>#N/A</v>
      </c>
      <c r="F654" t="str">
        <f t="shared" si="23"/>
        <v/>
      </c>
    </row>
    <row r="655" spans="3:6" x14ac:dyDescent="0.35">
      <c r="C655" t="str">
        <f>IFERROR(ROUNDUP(VLOOKUP(F655,'30Days-Baseline'!C:D,2,FALSE),0),"NotExist")</f>
        <v>NotExist</v>
      </c>
      <c r="D655" t="str">
        <f t="shared" si="22"/>
        <v>New</v>
      </c>
      <c r="E655" t="e">
        <f>VLOOKUP(A:A,Reviewed!B:C,2,0)</f>
        <v>#N/A</v>
      </c>
      <c r="F655" t="str">
        <f t="shared" si="23"/>
        <v/>
      </c>
    </row>
    <row r="656" spans="3:6" x14ac:dyDescent="0.35">
      <c r="C656" t="str">
        <f>IFERROR(ROUNDUP(VLOOKUP(F656,'30Days-Baseline'!C:D,2,FALSE),0),"NotExist")</f>
        <v>NotExist</v>
      </c>
      <c r="D656" t="str">
        <f t="shared" si="22"/>
        <v>New</v>
      </c>
      <c r="E656" t="e">
        <f>VLOOKUP(A:A,Reviewed!B:C,2,0)</f>
        <v>#N/A</v>
      </c>
      <c r="F656" t="str">
        <f t="shared" si="23"/>
        <v/>
      </c>
    </row>
    <row r="657" spans="1:6" x14ac:dyDescent="0.35">
      <c r="C657" t="str">
        <f>IFERROR(ROUNDUP(VLOOKUP(F657,'30Days-Baseline'!C:D,2,FALSE),0),"NotExist")</f>
        <v>NotExist</v>
      </c>
      <c r="D657" t="str">
        <f t="shared" si="22"/>
        <v>New</v>
      </c>
      <c r="E657" t="e">
        <f>VLOOKUP(A:A,Reviewed!B:C,2,0)</f>
        <v>#N/A</v>
      </c>
      <c r="F657" t="str">
        <f t="shared" si="23"/>
        <v/>
      </c>
    </row>
    <row r="658" spans="1:6" x14ac:dyDescent="0.35">
      <c r="C658" t="str">
        <f>IFERROR(ROUNDUP(VLOOKUP(F658,'30Days-Baseline'!C:D,2,FALSE),0),"NotExist")</f>
        <v>NotExist</v>
      </c>
      <c r="D658" t="str">
        <f t="shared" si="22"/>
        <v>New</v>
      </c>
      <c r="E658" t="e">
        <f>VLOOKUP(A:A,Reviewed!B:C,2,0)</f>
        <v>#N/A</v>
      </c>
      <c r="F658" t="str">
        <f t="shared" si="23"/>
        <v/>
      </c>
    </row>
    <row r="659" spans="1:6" x14ac:dyDescent="0.35">
      <c r="C659" t="str">
        <f>IFERROR(ROUNDUP(VLOOKUP(F659,'30Days-Baseline'!C:D,2,FALSE),0),"NotExist")</f>
        <v>NotExist</v>
      </c>
      <c r="D659" t="str">
        <f t="shared" ref="D659:D722" si="24">IFERROR(IF(B659&gt;ROUNDUP(C659,0),"Elevated","Ok"),"New")</f>
        <v>New</v>
      </c>
      <c r="E659" t="e">
        <f>VLOOKUP(A:A,Reviewed!B:C,2,0)</f>
        <v>#N/A</v>
      </c>
      <c r="F659" t="str">
        <f t="shared" ref="F659:F722" si="25">LEFT(A659,255)</f>
        <v/>
      </c>
    </row>
    <row r="660" spans="1:6" x14ac:dyDescent="0.35">
      <c r="C660" t="str">
        <f>IFERROR(ROUNDUP(VLOOKUP(F660,'30Days-Baseline'!C:D,2,FALSE),0),"NotExist")</f>
        <v>NotExist</v>
      </c>
      <c r="D660" t="str">
        <f t="shared" si="24"/>
        <v>New</v>
      </c>
      <c r="E660" t="e">
        <f>VLOOKUP(A:A,Reviewed!B:C,2,0)</f>
        <v>#N/A</v>
      </c>
      <c r="F660" t="str">
        <f t="shared" si="25"/>
        <v/>
      </c>
    </row>
    <row r="661" spans="1:6" x14ac:dyDescent="0.35">
      <c r="C661" t="str">
        <f>IFERROR(ROUNDUP(VLOOKUP(F661,'30Days-Baseline'!C:D,2,FALSE),0),"NotExist")</f>
        <v>NotExist</v>
      </c>
      <c r="D661" t="str">
        <f t="shared" si="24"/>
        <v>New</v>
      </c>
      <c r="E661" t="e">
        <f>VLOOKUP(A:A,Reviewed!B:C,2,0)</f>
        <v>#N/A</v>
      </c>
      <c r="F661" t="str">
        <f t="shared" si="25"/>
        <v/>
      </c>
    </row>
    <row r="662" spans="1:6" x14ac:dyDescent="0.35">
      <c r="C662" t="str">
        <f>IFERROR(ROUNDUP(VLOOKUP(F662,'30Days-Baseline'!C:D,2,FALSE),0),"NotExist")</f>
        <v>NotExist</v>
      </c>
      <c r="D662" t="str">
        <f t="shared" si="24"/>
        <v>New</v>
      </c>
      <c r="E662" t="e">
        <f>VLOOKUP(A:A,Reviewed!B:C,2,0)</f>
        <v>#N/A</v>
      </c>
      <c r="F662" t="str">
        <f t="shared" si="25"/>
        <v/>
      </c>
    </row>
    <row r="663" spans="1:6" x14ac:dyDescent="0.35">
      <c r="C663" t="str">
        <f>IFERROR(ROUNDUP(VLOOKUP(F663,'30Days-Baseline'!C:D,2,FALSE),0),"NotExist")</f>
        <v>NotExist</v>
      </c>
      <c r="D663" t="str">
        <f t="shared" si="24"/>
        <v>New</v>
      </c>
      <c r="E663" t="e">
        <f>VLOOKUP(A:A,Reviewed!B:C,2,0)</f>
        <v>#N/A</v>
      </c>
      <c r="F663" t="str">
        <f t="shared" si="25"/>
        <v/>
      </c>
    </row>
    <row r="664" spans="1:6" x14ac:dyDescent="0.35">
      <c r="C664" t="str">
        <f>IFERROR(ROUNDUP(VLOOKUP(F664,'30Days-Baseline'!C:D,2,FALSE),0),"NotExist")</f>
        <v>NotExist</v>
      </c>
      <c r="D664" t="str">
        <f t="shared" si="24"/>
        <v>New</v>
      </c>
      <c r="E664" t="e">
        <f>VLOOKUP(A:A,Reviewed!B:C,2,0)</f>
        <v>#N/A</v>
      </c>
      <c r="F664" t="str">
        <f t="shared" si="25"/>
        <v/>
      </c>
    </row>
    <row r="665" spans="1:6" x14ac:dyDescent="0.35">
      <c r="C665" t="str">
        <f>IFERROR(ROUNDUP(VLOOKUP(F665,'30Days-Baseline'!C:D,2,FALSE),0),"NotExist")</f>
        <v>NotExist</v>
      </c>
      <c r="D665" t="str">
        <f t="shared" si="24"/>
        <v>New</v>
      </c>
      <c r="E665" t="e">
        <f>VLOOKUP(A:A,Reviewed!B:C,2,0)</f>
        <v>#N/A</v>
      </c>
      <c r="F665" t="str">
        <f t="shared" si="25"/>
        <v/>
      </c>
    </row>
    <row r="666" spans="1:6" x14ac:dyDescent="0.35">
      <c r="C666" t="str">
        <f>IFERROR(ROUNDUP(VLOOKUP(F666,'30Days-Baseline'!C:D,2,FALSE),0),"NotExist")</f>
        <v>NotExist</v>
      </c>
      <c r="D666" t="str">
        <f t="shared" si="24"/>
        <v>New</v>
      </c>
      <c r="E666" t="e">
        <f>VLOOKUP(A:A,Reviewed!B:C,2,0)</f>
        <v>#N/A</v>
      </c>
      <c r="F666" t="str">
        <f t="shared" si="25"/>
        <v/>
      </c>
    </row>
    <row r="667" spans="1:6" x14ac:dyDescent="0.35">
      <c r="C667" t="str">
        <f>IFERROR(ROUNDUP(VLOOKUP(F667,'30Days-Baseline'!C:D,2,FALSE),0),"NotExist")</f>
        <v>NotExist</v>
      </c>
      <c r="D667" t="str">
        <f t="shared" si="24"/>
        <v>New</v>
      </c>
      <c r="E667" t="e">
        <f>VLOOKUP(A:A,Reviewed!B:C,2,0)</f>
        <v>#N/A</v>
      </c>
      <c r="F667" t="str">
        <f t="shared" si="25"/>
        <v/>
      </c>
    </row>
    <row r="668" spans="1:6" x14ac:dyDescent="0.35">
      <c r="C668" t="str">
        <f>IFERROR(ROUNDUP(VLOOKUP(F668,'30Days-Baseline'!C:D,2,FALSE),0),"NotExist")</f>
        <v>NotExist</v>
      </c>
      <c r="D668" t="str">
        <f t="shared" si="24"/>
        <v>New</v>
      </c>
      <c r="E668" t="e">
        <f>VLOOKUP(A:A,Reviewed!B:C,2,0)</f>
        <v>#N/A</v>
      </c>
      <c r="F668" t="str">
        <f t="shared" si="25"/>
        <v/>
      </c>
    </row>
    <row r="669" spans="1:6" x14ac:dyDescent="0.35">
      <c r="A669" s="4"/>
      <c r="C669" t="str">
        <f>IFERROR(ROUNDUP(VLOOKUP(F669,'30Days-Baseline'!C:D,2,FALSE),0),"NotExist")</f>
        <v>NotExist</v>
      </c>
      <c r="D669" t="str">
        <f t="shared" si="24"/>
        <v>New</v>
      </c>
      <c r="E669" t="e">
        <f>VLOOKUP(A:A,Reviewed!B:C,2,0)</f>
        <v>#N/A</v>
      </c>
      <c r="F669" t="str">
        <f t="shared" si="25"/>
        <v/>
      </c>
    </row>
    <row r="670" spans="1:6" x14ac:dyDescent="0.35">
      <c r="C670" t="str">
        <f>IFERROR(ROUNDUP(VLOOKUP(F670,'30Days-Baseline'!C:D,2,FALSE),0),"NotExist")</f>
        <v>NotExist</v>
      </c>
      <c r="D670" t="str">
        <f t="shared" si="24"/>
        <v>New</v>
      </c>
      <c r="E670" t="e">
        <f>VLOOKUP(A:A,Reviewed!B:C,2,0)</f>
        <v>#N/A</v>
      </c>
      <c r="F670" t="str">
        <f t="shared" si="25"/>
        <v/>
      </c>
    </row>
    <row r="671" spans="1:6" x14ac:dyDescent="0.35">
      <c r="C671" t="str">
        <f>IFERROR(ROUNDUP(VLOOKUP(F671,'30Days-Baseline'!C:D,2,FALSE),0),"NotExist")</f>
        <v>NotExist</v>
      </c>
      <c r="D671" t="str">
        <f t="shared" si="24"/>
        <v>New</v>
      </c>
      <c r="E671" t="e">
        <f>VLOOKUP(A:A,Reviewed!B:C,2,0)</f>
        <v>#N/A</v>
      </c>
      <c r="F671" t="str">
        <f t="shared" si="25"/>
        <v/>
      </c>
    </row>
    <row r="672" spans="1:6" x14ac:dyDescent="0.35">
      <c r="C672" t="str">
        <f>IFERROR(ROUNDUP(VLOOKUP(F672,'30Days-Baseline'!C:D,2,FALSE),0),"NotExist")</f>
        <v>NotExist</v>
      </c>
      <c r="D672" t="str">
        <f t="shared" si="24"/>
        <v>New</v>
      </c>
      <c r="E672" t="e">
        <f>VLOOKUP(A:A,Reviewed!B:C,2,0)</f>
        <v>#N/A</v>
      </c>
      <c r="F672" t="str">
        <f t="shared" si="25"/>
        <v/>
      </c>
    </row>
    <row r="673" spans="3:6" x14ac:dyDescent="0.35">
      <c r="C673" t="str">
        <f>IFERROR(ROUNDUP(VLOOKUP(F673,'30Days-Baseline'!C:D,2,FALSE),0),"NotExist")</f>
        <v>NotExist</v>
      </c>
      <c r="D673" t="str">
        <f t="shared" si="24"/>
        <v>New</v>
      </c>
      <c r="E673" t="e">
        <f>VLOOKUP(A:A,Reviewed!B:C,2,0)</f>
        <v>#N/A</v>
      </c>
      <c r="F673" t="str">
        <f t="shared" si="25"/>
        <v/>
      </c>
    </row>
    <row r="674" spans="3:6" x14ac:dyDescent="0.35">
      <c r="C674" t="str">
        <f>IFERROR(ROUNDUP(VLOOKUP(F674,'30Days-Baseline'!C:D,2,FALSE),0),"NotExist")</f>
        <v>NotExist</v>
      </c>
      <c r="D674" t="str">
        <f t="shared" si="24"/>
        <v>New</v>
      </c>
      <c r="E674" t="e">
        <f>VLOOKUP(A:A,Reviewed!B:C,2,0)</f>
        <v>#N/A</v>
      </c>
      <c r="F674" t="str">
        <f t="shared" si="25"/>
        <v/>
      </c>
    </row>
    <row r="675" spans="3:6" x14ac:dyDescent="0.35">
      <c r="C675" t="str">
        <f>IFERROR(ROUNDUP(VLOOKUP(F675,'30Days-Baseline'!C:D,2,FALSE),0),"NotExist")</f>
        <v>NotExist</v>
      </c>
      <c r="D675" t="str">
        <f t="shared" si="24"/>
        <v>New</v>
      </c>
      <c r="E675" t="e">
        <f>VLOOKUP(A:A,Reviewed!B:C,2,0)</f>
        <v>#N/A</v>
      </c>
      <c r="F675" t="str">
        <f t="shared" si="25"/>
        <v/>
      </c>
    </row>
    <row r="676" spans="3:6" x14ac:dyDescent="0.35">
      <c r="C676" t="str">
        <f>IFERROR(ROUNDUP(VLOOKUP(F676,'30Days-Baseline'!C:D,2,FALSE),0),"NotExist")</f>
        <v>NotExist</v>
      </c>
      <c r="D676" t="str">
        <f t="shared" si="24"/>
        <v>New</v>
      </c>
      <c r="E676" t="e">
        <f>VLOOKUP(A:A,Reviewed!B:C,2,0)</f>
        <v>#N/A</v>
      </c>
      <c r="F676" t="str">
        <f t="shared" si="25"/>
        <v/>
      </c>
    </row>
    <row r="677" spans="3:6" x14ac:dyDescent="0.35">
      <c r="C677" t="str">
        <f>IFERROR(ROUNDUP(VLOOKUP(F677,'30Days-Baseline'!C:D,2,FALSE),0),"NotExist")</f>
        <v>NotExist</v>
      </c>
      <c r="D677" t="str">
        <f t="shared" si="24"/>
        <v>New</v>
      </c>
      <c r="E677" t="e">
        <f>VLOOKUP(A:A,Reviewed!B:C,2,0)</f>
        <v>#N/A</v>
      </c>
      <c r="F677" t="str">
        <f t="shared" si="25"/>
        <v/>
      </c>
    </row>
    <row r="678" spans="3:6" x14ac:dyDescent="0.35">
      <c r="C678" t="str">
        <f>IFERROR(ROUNDUP(VLOOKUP(F678,'30Days-Baseline'!C:D,2,FALSE),0),"NotExist")</f>
        <v>NotExist</v>
      </c>
      <c r="D678" t="str">
        <f t="shared" si="24"/>
        <v>New</v>
      </c>
      <c r="E678" t="e">
        <f>VLOOKUP(A:A,Reviewed!B:C,2,0)</f>
        <v>#N/A</v>
      </c>
      <c r="F678" t="str">
        <f t="shared" si="25"/>
        <v/>
      </c>
    </row>
    <row r="679" spans="3:6" x14ac:dyDescent="0.35">
      <c r="C679" t="str">
        <f>IFERROR(ROUNDUP(VLOOKUP(F679,'30Days-Baseline'!C:D,2,FALSE),0),"NotExist")</f>
        <v>NotExist</v>
      </c>
      <c r="D679" t="str">
        <f t="shared" si="24"/>
        <v>New</v>
      </c>
      <c r="E679" t="e">
        <f>VLOOKUP(A:A,Reviewed!B:C,2,0)</f>
        <v>#N/A</v>
      </c>
      <c r="F679" t="str">
        <f t="shared" si="25"/>
        <v/>
      </c>
    </row>
    <row r="680" spans="3:6" x14ac:dyDescent="0.35">
      <c r="C680" t="str">
        <f>IFERROR(ROUNDUP(VLOOKUP(F680,'30Days-Baseline'!C:D,2,FALSE),0),"NotExist")</f>
        <v>NotExist</v>
      </c>
      <c r="D680" t="str">
        <f t="shared" si="24"/>
        <v>New</v>
      </c>
      <c r="E680" t="e">
        <f>VLOOKUP(A:A,Reviewed!B:C,2,0)</f>
        <v>#N/A</v>
      </c>
      <c r="F680" t="str">
        <f t="shared" si="25"/>
        <v/>
      </c>
    </row>
    <row r="681" spans="3:6" x14ac:dyDescent="0.35">
      <c r="C681" t="str">
        <f>IFERROR(ROUNDUP(VLOOKUP(F681,'30Days-Baseline'!C:D,2,FALSE),0),"NotExist")</f>
        <v>NotExist</v>
      </c>
      <c r="D681" t="str">
        <f t="shared" si="24"/>
        <v>New</v>
      </c>
      <c r="E681" t="e">
        <f>VLOOKUP(A:A,Reviewed!B:C,2,0)</f>
        <v>#N/A</v>
      </c>
      <c r="F681" t="str">
        <f t="shared" si="25"/>
        <v/>
      </c>
    </row>
    <row r="682" spans="3:6" x14ac:dyDescent="0.35">
      <c r="C682" t="str">
        <f>IFERROR(ROUNDUP(VLOOKUP(F682,'30Days-Baseline'!C:D,2,FALSE),0),"NotExist")</f>
        <v>NotExist</v>
      </c>
      <c r="D682" t="str">
        <f t="shared" si="24"/>
        <v>New</v>
      </c>
      <c r="E682" t="e">
        <f>VLOOKUP(A:A,Reviewed!B:C,2,0)</f>
        <v>#N/A</v>
      </c>
      <c r="F682" t="str">
        <f t="shared" si="25"/>
        <v/>
      </c>
    </row>
    <row r="683" spans="3:6" x14ac:dyDescent="0.35">
      <c r="C683" t="str">
        <f>IFERROR(ROUNDUP(VLOOKUP(F683,'30Days-Baseline'!C:D,2,FALSE),0),"NotExist")</f>
        <v>NotExist</v>
      </c>
      <c r="D683" t="str">
        <f t="shared" si="24"/>
        <v>New</v>
      </c>
      <c r="E683" t="e">
        <f>VLOOKUP(A:A,Reviewed!B:C,2,0)</f>
        <v>#N/A</v>
      </c>
      <c r="F683" t="str">
        <f t="shared" si="25"/>
        <v/>
      </c>
    </row>
    <row r="684" spans="3:6" x14ac:dyDescent="0.35">
      <c r="C684" t="str">
        <f>IFERROR(ROUNDUP(VLOOKUP(F684,'30Days-Baseline'!C:D,2,FALSE),0),"NotExist")</f>
        <v>NotExist</v>
      </c>
      <c r="D684" t="str">
        <f t="shared" si="24"/>
        <v>New</v>
      </c>
      <c r="E684" t="e">
        <f>VLOOKUP(A:A,Reviewed!B:C,2,0)</f>
        <v>#N/A</v>
      </c>
      <c r="F684" t="str">
        <f t="shared" si="25"/>
        <v/>
      </c>
    </row>
    <row r="685" spans="3:6" x14ac:dyDescent="0.35">
      <c r="C685" t="str">
        <f>IFERROR(ROUNDUP(VLOOKUP(F685,'30Days-Baseline'!C:D,2,FALSE),0),"NotExist")</f>
        <v>NotExist</v>
      </c>
      <c r="D685" t="str">
        <f t="shared" si="24"/>
        <v>New</v>
      </c>
      <c r="E685" t="e">
        <f>VLOOKUP(A:A,Reviewed!B:C,2,0)</f>
        <v>#N/A</v>
      </c>
      <c r="F685" t="str">
        <f t="shared" si="25"/>
        <v/>
      </c>
    </row>
    <row r="686" spans="3:6" x14ac:dyDescent="0.35">
      <c r="C686" t="str">
        <f>IFERROR(ROUNDUP(VLOOKUP(F686,'30Days-Baseline'!C:D,2,FALSE),0),"NotExist")</f>
        <v>NotExist</v>
      </c>
      <c r="D686" t="str">
        <f t="shared" si="24"/>
        <v>New</v>
      </c>
      <c r="E686" t="e">
        <f>VLOOKUP(A:A,Reviewed!B:C,2,0)</f>
        <v>#N/A</v>
      </c>
      <c r="F686" t="str">
        <f t="shared" si="25"/>
        <v/>
      </c>
    </row>
    <row r="687" spans="3:6" x14ac:dyDescent="0.35">
      <c r="C687" t="str">
        <f>IFERROR(ROUNDUP(VLOOKUP(F687,'30Days-Baseline'!C:D,2,FALSE),0),"NotExist")</f>
        <v>NotExist</v>
      </c>
      <c r="D687" t="str">
        <f t="shared" si="24"/>
        <v>New</v>
      </c>
      <c r="E687" t="e">
        <f>VLOOKUP(A:A,Reviewed!B:C,2,0)</f>
        <v>#N/A</v>
      </c>
      <c r="F687" t="str">
        <f t="shared" si="25"/>
        <v/>
      </c>
    </row>
    <row r="688" spans="3:6" x14ac:dyDescent="0.35">
      <c r="C688" t="str">
        <f>IFERROR(ROUNDUP(VLOOKUP(F688,'30Days-Baseline'!C:D,2,FALSE),0),"NotExist")</f>
        <v>NotExist</v>
      </c>
      <c r="D688" t="str">
        <f t="shared" si="24"/>
        <v>New</v>
      </c>
      <c r="E688" t="e">
        <f>VLOOKUP(A:A,Reviewed!B:C,2,0)</f>
        <v>#N/A</v>
      </c>
      <c r="F688" t="str">
        <f t="shared" si="25"/>
        <v/>
      </c>
    </row>
    <row r="689" spans="3:6" x14ac:dyDescent="0.35">
      <c r="C689" t="str">
        <f>IFERROR(ROUNDUP(VLOOKUP(F689,'30Days-Baseline'!C:D,2,FALSE),0),"NotExist")</f>
        <v>NotExist</v>
      </c>
      <c r="D689" t="str">
        <f t="shared" si="24"/>
        <v>New</v>
      </c>
      <c r="E689" t="e">
        <f>VLOOKUP(A:A,Reviewed!B:C,2,0)</f>
        <v>#N/A</v>
      </c>
      <c r="F689" t="str">
        <f t="shared" si="25"/>
        <v/>
      </c>
    </row>
    <row r="690" spans="3:6" x14ac:dyDescent="0.35">
      <c r="C690" t="str">
        <f>IFERROR(ROUNDUP(VLOOKUP(F690,'30Days-Baseline'!C:D,2,FALSE),0),"NotExist")</f>
        <v>NotExist</v>
      </c>
      <c r="D690" t="str">
        <f t="shared" si="24"/>
        <v>New</v>
      </c>
      <c r="E690" t="e">
        <f>VLOOKUP(A:A,Reviewed!B:C,2,0)</f>
        <v>#N/A</v>
      </c>
      <c r="F690" t="str">
        <f t="shared" si="25"/>
        <v/>
      </c>
    </row>
    <row r="691" spans="3:6" x14ac:dyDescent="0.35">
      <c r="C691" t="str">
        <f>IFERROR(ROUNDUP(VLOOKUP(F691,'30Days-Baseline'!C:D,2,FALSE),0),"NotExist")</f>
        <v>NotExist</v>
      </c>
      <c r="D691" t="str">
        <f t="shared" si="24"/>
        <v>New</v>
      </c>
      <c r="E691" t="e">
        <f>VLOOKUP(A:A,Reviewed!B:C,2,0)</f>
        <v>#N/A</v>
      </c>
      <c r="F691" t="str">
        <f t="shared" si="25"/>
        <v/>
      </c>
    </row>
    <row r="692" spans="3:6" x14ac:dyDescent="0.35">
      <c r="C692" t="str">
        <f>IFERROR(ROUNDUP(VLOOKUP(F692,'30Days-Baseline'!C:D,2,FALSE),0),"NotExist")</f>
        <v>NotExist</v>
      </c>
      <c r="D692" t="str">
        <f t="shared" si="24"/>
        <v>New</v>
      </c>
      <c r="E692" t="e">
        <f>VLOOKUP(A:A,Reviewed!B:C,2,0)</f>
        <v>#N/A</v>
      </c>
      <c r="F692" t="str">
        <f t="shared" si="25"/>
        <v/>
      </c>
    </row>
    <row r="693" spans="3:6" x14ac:dyDescent="0.35">
      <c r="C693" t="str">
        <f>IFERROR(ROUNDUP(VLOOKUP(F693,'30Days-Baseline'!C:D,2,FALSE),0),"NotExist")</f>
        <v>NotExist</v>
      </c>
      <c r="D693" t="str">
        <f t="shared" si="24"/>
        <v>New</v>
      </c>
      <c r="E693" t="e">
        <f>VLOOKUP(A:A,Reviewed!B:C,2,0)</f>
        <v>#N/A</v>
      </c>
      <c r="F693" t="str">
        <f t="shared" si="25"/>
        <v/>
      </c>
    </row>
    <row r="694" spans="3:6" x14ac:dyDescent="0.35">
      <c r="C694" t="str">
        <f>IFERROR(ROUNDUP(VLOOKUP(F694,'30Days-Baseline'!C:D,2,FALSE),0),"NotExist")</f>
        <v>NotExist</v>
      </c>
      <c r="D694" t="str">
        <f t="shared" si="24"/>
        <v>New</v>
      </c>
      <c r="E694" t="e">
        <f>VLOOKUP(A:A,Reviewed!B:C,2,0)</f>
        <v>#N/A</v>
      </c>
      <c r="F694" t="str">
        <f t="shared" si="25"/>
        <v/>
      </c>
    </row>
    <row r="695" spans="3:6" x14ac:dyDescent="0.35">
      <c r="C695" t="str">
        <f>IFERROR(ROUNDUP(VLOOKUP(F695,'30Days-Baseline'!C:D,2,FALSE),0),"NotExist")</f>
        <v>NotExist</v>
      </c>
      <c r="D695" t="str">
        <f t="shared" si="24"/>
        <v>New</v>
      </c>
      <c r="E695" t="e">
        <f>VLOOKUP(A:A,Reviewed!B:C,2,0)</f>
        <v>#N/A</v>
      </c>
      <c r="F695" t="str">
        <f t="shared" si="25"/>
        <v/>
      </c>
    </row>
    <row r="696" spans="3:6" x14ac:dyDescent="0.35">
      <c r="C696" t="str">
        <f>IFERROR(ROUNDUP(VLOOKUP(F696,'30Days-Baseline'!C:D,2,FALSE),0),"NotExist")</f>
        <v>NotExist</v>
      </c>
      <c r="D696" t="str">
        <f t="shared" si="24"/>
        <v>New</v>
      </c>
      <c r="E696" t="e">
        <f>VLOOKUP(A:A,Reviewed!B:C,2,0)</f>
        <v>#N/A</v>
      </c>
      <c r="F696" t="str">
        <f t="shared" si="25"/>
        <v/>
      </c>
    </row>
    <row r="697" spans="3:6" x14ac:dyDescent="0.35">
      <c r="C697" t="str">
        <f>IFERROR(ROUNDUP(VLOOKUP(F697,'30Days-Baseline'!C:D,2,FALSE),0),"NotExist")</f>
        <v>NotExist</v>
      </c>
      <c r="D697" t="str">
        <f t="shared" si="24"/>
        <v>New</v>
      </c>
      <c r="E697" t="e">
        <f>VLOOKUP(A:A,Reviewed!B:C,2,0)</f>
        <v>#N/A</v>
      </c>
      <c r="F697" t="str">
        <f t="shared" si="25"/>
        <v/>
      </c>
    </row>
    <row r="698" spans="3:6" x14ac:dyDescent="0.35">
      <c r="C698" t="str">
        <f>IFERROR(ROUNDUP(VLOOKUP(F698,'30Days-Baseline'!C:D,2,FALSE),0),"NotExist")</f>
        <v>NotExist</v>
      </c>
      <c r="D698" t="str">
        <f t="shared" si="24"/>
        <v>New</v>
      </c>
      <c r="E698" t="e">
        <f>VLOOKUP(A:A,Reviewed!B:C,2,0)</f>
        <v>#N/A</v>
      </c>
      <c r="F698" t="str">
        <f t="shared" si="25"/>
        <v/>
      </c>
    </row>
    <row r="699" spans="3:6" x14ac:dyDescent="0.35">
      <c r="C699" t="str">
        <f>IFERROR(ROUNDUP(VLOOKUP(F699,'30Days-Baseline'!C:D,2,FALSE),0),"NotExist")</f>
        <v>NotExist</v>
      </c>
      <c r="D699" t="str">
        <f t="shared" si="24"/>
        <v>New</v>
      </c>
      <c r="E699" t="e">
        <f>VLOOKUP(A:A,Reviewed!B:C,2,0)</f>
        <v>#N/A</v>
      </c>
      <c r="F699" t="str">
        <f t="shared" si="25"/>
        <v/>
      </c>
    </row>
    <row r="700" spans="3:6" x14ac:dyDescent="0.35">
      <c r="C700" t="str">
        <f>IFERROR(ROUNDUP(VLOOKUP(F700,'30Days-Baseline'!C:D,2,FALSE),0),"NotExist")</f>
        <v>NotExist</v>
      </c>
      <c r="D700" t="str">
        <f t="shared" si="24"/>
        <v>New</v>
      </c>
      <c r="E700" t="e">
        <f>VLOOKUP(A:A,Reviewed!B:C,2,0)</f>
        <v>#N/A</v>
      </c>
      <c r="F700" t="str">
        <f t="shared" si="25"/>
        <v/>
      </c>
    </row>
    <row r="701" spans="3:6" x14ac:dyDescent="0.35">
      <c r="C701" t="str">
        <f>IFERROR(ROUNDUP(VLOOKUP(F701,'30Days-Baseline'!C:D,2,FALSE),0),"NotExist")</f>
        <v>NotExist</v>
      </c>
      <c r="D701" t="str">
        <f t="shared" si="24"/>
        <v>New</v>
      </c>
      <c r="E701" t="e">
        <f>VLOOKUP(A:A,Reviewed!B:C,2,0)</f>
        <v>#N/A</v>
      </c>
      <c r="F701" t="str">
        <f t="shared" si="25"/>
        <v/>
      </c>
    </row>
    <row r="702" spans="3:6" x14ac:dyDescent="0.35">
      <c r="C702" t="str">
        <f>IFERROR(ROUNDUP(VLOOKUP(F702,'30Days-Baseline'!C:D,2,FALSE),0),"NotExist")</f>
        <v>NotExist</v>
      </c>
      <c r="D702" t="str">
        <f t="shared" si="24"/>
        <v>New</v>
      </c>
      <c r="E702" t="e">
        <f>VLOOKUP(A:A,Reviewed!B:C,2,0)</f>
        <v>#N/A</v>
      </c>
      <c r="F702" t="str">
        <f t="shared" si="25"/>
        <v/>
      </c>
    </row>
    <row r="703" spans="3:6" x14ac:dyDescent="0.35">
      <c r="C703" t="str">
        <f>IFERROR(ROUNDUP(VLOOKUP(F703,'30Days-Baseline'!C:D,2,FALSE),0),"NotExist")</f>
        <v>NotExist</v>
      </c>
      <c r="D703" t="str">
        <f t="shared" si="24"/>
        <v>New</v>
      </c>
      <c r="E703" t="e">
        <f>VLOOKUP(A:A,Reviewed!B:C,2,0)</f>
        <v>#N/A</v>
      </c>
      <c r="F703" t="str">
        <f t="shared" si="25"/>
        <v/>
      </c>
    </row>
    <row r="704" spans="3:6" x14ac:dyDescent="0.35">
      <c r="C704" t="str">
        <f>IFERROR(ROUNDUP(VLOOKUP(F704,'30Days-Baseline'!C:D,2,FALSE),0),"NotExist")</f>
        <v>NotExist</v>
      </c>
      <c r="D704" t="str">
        <f t="shared" si="24"/>
        <v>New</v>
      </c>
      <c r="E704" t="e">
        <f>VLOOKUP(A:A,Reviewed!B:C,2,0)</f>
        <v>#N/A</v>
      </c>
      <c r="F704" t="str">
        <f t="shared" si="25"/>
        <v/>
      </c>
    </row>
    <row r="705" spans="3:6" x14ac:dyDescent="0.35">
      <c r="C705" t="str">
        <f>IFERROR(ROUNDUP(VLOOKUP(F705,'30Days-Baseline'!C:D,2,FALSE),0),"NotExist")</f>
        <v>NotExist</v>
      </c>
      <c r="D705" t="str">
        <f t="shared" si="24"/>
        <v>New</v>
      </c>
      <c r="E705" t="e">
        <f>VLOOKUP(A:A,Reviewed!B:C,2,0)</f>
        <v>#N/A</v>
      </c>
      <c r="F705" t="str">
        <f t="shared" si="25"/>
        <v/>
      </c>
    </row>
    <row r="706" spans="3:6" x14ac:dyDescent="0.35">
      <c r="C706" t="str">
        <f>IFERROR(ROUNDUP(VLOOKUP(F706,'30Days-Baseline'!C:D,2,FALSE),0),"NotExist")</f>
        <v>NotExist</v>
      </c>
      <c r="D706" t="str">
        <f t="shared" si="24"/>
        <v>New</v>
      </c>
      <c r="E706" t="e">
        <f>VLOOKUP(A:A,Reviewed!B:C,2,0)</f>
        <v>#N/A</v>
      </c>
      <c r="F706" t="str">
        <f t="shared" si="25"/>
        <v/>
      </c>
    </row>
    <row r="707" spans="3:6" x14ac:dyDescent="0.35">
      <c r="C707" t="str">
        <f>IFERROR(ROUNDUP(VLOOKUP(F707,'30Days-Baseline'!C:D,2,FALSE),0),"NotExist")</f>
        <v>NotExist</v>
      </c>
      <c r="D707" t="str">
        <f t="shared" si="24"/>
        <v>New</v>
      </c>
      <c r="E707" t="e">
        <f>VLOOKUP(A:A,Reviewed!B:C,2,0)</f>
        <v>#N/A</v>
      </c>
      <c r="F707" t="str">
        <f t="shared" si="25"/>
        <v/>
      </c>
    </row>
    <row r="708" spans="3:6" x14ac:dyDescent="0.35">
      <c r="C708" t="str">
        <f>IFERROR(ROUNDUP(VLOOKUP(F708,'30Days-Baseline'!C:D,2,FALSE),0),"NotExist")</f>
        <v>NotExist</v>
      </c>
      <c r="D708" t="str">
        <f t="shared" si="24"/>
        <v>New</v>
      </c>
      <c r="E708" t="e">
        <f>VLOOKUP(A:A,Reviewed!B:C,2,0)</f>
        <v>#N/A</v>
      </c>
      <c r="F708" t="str">
        <f t="shared" si="25"/>
        <v/>
      </c>
    </row>
    <row r="709" spans="3:6" x14ac:dyDescent="0.35">
      <c r="C709" t="str">
        <f>IFERROR(ROUNDUP(VLOOKUP(F709,'30Days-Baseline'!C:D,2,FALSE),0),"NotExist")</f>
        <v>NotExist</v>
      </c>
      <c r="D709" t="str">
        <f t="shared" si="24"/>
        <v>New</v>
      </c>
      <c r="E709" t="e">
        <f>VLOOKUP(A:A,Reviewed!B:C,2,0)</f>
        <v>#N/A</v>
      </c>
      <c r="F709" t="str">
        <f t="shared" si="25"/>
        <v/>
      </c>
    </row>
    <row r="710" spans="3:6" x14ac:dyDescent="0.35">
      <c r="C710" t="str">
        <f>IFERROR(ROUNDUP(VLOOKUP(F710,'30Days-Baseline'!C:D,2,FALSE),0),"NotExist")</f>
        <v>NotExist</v>
      </c>
      <c r="D710" t="str">
        <f t="shared" si="24"/>
        <v>New</v>
      </c>
      <c r="E710" t="e">
        <f>VLOOKUP(A:A,Reviewed!B:C,2,0)</f>
        <v>#N/A</v>
      </c>
      <c r="F710" t="str">
        <f t="shared" si="25"/>
        <v/>
      </c>
    </row>
    <row r="711" spans="3:6" x14ac:dyDescent="0.35">
      <c r="C711" t="str">
        <f>IFERROR(ROUNDUP(VLOOKUP(F711,'30Days-Baseline'!C:D,2,FALSE),0),"NotExist")</f>
        <v>NotExist</v>
      </c>
      <c r="D711" t="str">
        <f t="shared" si="24"/>
        <v>New</v>
      </c>
      <c r="E711" t="e">
        <f>VLOOKUP(A:A,Reviewed!B:C,2,0)</f>
        <v>#N/A</v>
      </c>
      <c r="F711" t="str">
        <f t="shared" si="25"/>
        <v/>
      </c>
    </row>
    <row r="712" spans="3:6" x14ac:dyDescent="0.35">
      <c r="C712" t="str">
        <f>IFERROR(ROUNDUP(VLOOKUP(F712,'30Days-Baseline'!C:D,2,FALSE),0),"NotExist")</f>
        <v>NotExist</v>
      </c>
      <c r="D712" t="str">
        <f t="shared" si="24"/>
        <v>New</v>
      </c>
      <c r="E712" t="e">
        <f>VLOOKUP(A:A,Reviewed!B:C,2,0)</f>
        <v>#N/A</v>
      </c>
      <c r="F712" t="str">
        <f t="shared" si="25"/>
        <v/>
      </c>
    </row>
    <row r="713" spans="3:6" x14ac:dyDescent="0.35">
      <c r="C713" t="str">
        <f>IFERROR(ROUNDUP(VLOOKUP(F713,'30Days-Baseline'!C:D,2,FALSE),0),"NotExist")</f>
        <v>NotExist</v>
      </c>
      <c r="D713" t="str">
        <f t="shared" si="24"/>
        <v>New</v>
      </c>
      <c r="E713" t="e">
        <f>VLOOKUP(A:A,Reviewed!B:C,2,0)</f>
        <v>#N/A</v>
      </c>
      <c r="F713" t="str">
        <f t="shared" si="25"/>
        <v/>
      </c>
    </row>
    <row r="714" spans="3:6" x14ac:dyDescent="0.35">
      <c r="C714" t="str">
        <f>IFERROR(ROUNDUP(VLOOKUP(F714,'30Days-Baseline'!C:D,2,FALSE),0),"NotExist")</f>
        <v>NotExist</v>
      </c>
      <c r="D714" t="str">
        <f t="shared" si="24"/>
        <v>New</v>
      </c>
      <c r="E714" t="e">
        <f>VLOOKUP(A:A,Reviewed!B:C,2,0)</f>
        <v>#N/A</v>
      </c>
      <c r="F714" t="str">
        <f t="shared" si="25"/>
        <v/>
      </c>
    </row>
    <row r="715" spans="3:6" x14ac:dyDescent="0.35">
      <c r="C715" t="str">
        <f>IFERROR(ROUNDUP(VLOOKUP(F715,'30Days-Baseline'!C:D,2,FALSE),0),"NotExist")</f>
        <v>NotExist</v>
      </c>
      <c r="D715" t="str">
        <f t="shared" si="24"/>
        <v>New</v>
      </c>
      <c r="E715" t="e">
        <f>VLOOKUP(A:A,Reviewed!B:C,2,0)</f>
        <v>#N/A</v>
      </c>
      <c r="F715" t="str">
        <f t="shared" si="25"/>
        <v/>
      </c>
    </row>
    <row r="716" spans="3:6" x14ac:dyDescent="0.35">
      <c r="C716" t="str">
        <f>IFERROR(ROUNDUP(VLOOKUP(F716,'30Days-Baseline'!C:D,2,FALSE),0),"NotExist")</f>
        <v>NotExist</v>
      </c>
      <c r="D716" t="str">
        <f t="shared" si="24"/>
        <v>New</v>
      </c>
      <c r="E716" t="e">
        <f>VLOOKUP(A:A,Reviewed!B:C,2,0)</f>
        <v>#N/A</v>
      </c>
      <c r="F716" t="str">
        <f t="shared" si="25"/>
        <v/>
      </c>
    </row>
    <row r="717" spans="3:6" x14ac:dyDescent="0.35">
      <c r="C717" t="str">
        <f>IFERROR(ROUNDUP(VLOOKUP(F717,'30Days-Baseline'!C:D,2,FALSE),0),"NotExist")</f>
        <v>NotExist</v>
      </c>
      <c r="D717" t="str">
        <f t="shared" si="24"/>
        <v>New</v>
      </c>
      <c r="E717" t="e">
        <f>VLOOKUP(A:A,Reviewed!B:C,2,0)</f>
        <v>#N/A</v>
      </c>
      <c r="F717" t="str">
        <f t="shared" si="25"/>
        <v/>
      </c>
    </row>
    <row r="718" spans="3:6" x14ac:dyDescent="0.35">
      <c r="C718" t="str">
        <f>IFERROR(ROUNDUP(VLOOKUP(F718,'30Days-Baseline'!C:D,2,FALSE),0),"NotExist")</f>
        <v>NotExist</v>
      </c>
      <c r="D718" t="str">
        <f t="shared" si="24"/>
        <v>New</v>
      </c>
      <c r="E718" t="e">
        <f>VLOOKUP(A:A,Reviewed!B:C,2,0)</f>
        <v>#N/A</v>
      </c>
      <c r="F718" t="str">
        <f t="shared" si="25"/>
        <v/>
      </c>
    </row>
    <row r="719" spans="3:6" x14ac:dyDescent="0.35">
      <c r="C719" t="str">
        <f>IFERROR(ROUNDUP(VLOOKUP(F719,'30Days-Baseline'!C:D,2,FALSE),0),"NotExist")</f>
        <v>NotExist</v>
      </c>
      <c r="D719" t="str">
        <f t="shared" si="24"/>
        <v>New</v>
      </c>
      <c r="E719" t="e">
        <f>VLOOKUP(A:A,Reviewed!B:C,2,0)</f>
        <v>#N/A</v>
      </c>
      <c r="F719" t="str">
        <f t="shared" si="25"/>
        <v/>
      </c>
    </row>
    <row r="720" spans="3:6" x14ac:dyDescent="0.35">
      <c r="C720" t="str">
        <f>IFERROR(ROUNDUP(VLOOKUP(F720,'30Days-Baseline'!C:D,2,FALSE),0),"NotExist")</f>
        <v>NotExist</v>
      </c>
      <c r="D720" t="str">
        <f t="shared" si="24"/>
        <v>New</v>
      </c>
      <c r="E720" t="e">
        <f>VLOOKUP(A:A,Reviewed!B:C,2,0)</f>
        <v>#N/A</v>
      </c>
      <c r="F720" t="str">
        <f t="shared" si="25"/>
        <v/>
      </c>
    </row>
    <row r="721" spans="3:6" x14ac:dyDescent="0.35">
      <c r="C721" t="str">
        <f>IFERROR(ROUNDUP(VLOOKUP(F721,'30Days-Baseline'!C:D,2,FALSE),0),"NotExist")</f>
        <v>NotExist</v>
      </c>
      <c r="D721" t="str">
        <f t="shared" si="24"/>
        <v>New</v>
      </c>
      <c r="E721" t="e">
        <f>VLOOKUP(A:A,Reviewed!B:C,2,0)</f>
        <v>#N/A</v>
      </c>
      <c r="F721" t="str">
        <f t="shared" si="25"/>
        <v/>
      </c>
    </row>
    <row r="722" spans="3:6" x14ac:dyDescent="0.35">
      <c r="C722" t="str">
        <f>IFERROR(ROUNDUP(VLOOKUP(F722,'30Days-Baseline'!C:D,2,FALSE),0),"NotExist")</f>
        <v>NotExist</v>
      </c>
      <c r="D722" t="str">
        <f t="shared" si="24"/>
        <v>New</v>
      </c>
      <c r="E722" t="e">
        <f>VLOOKUP(A:A,Reviewed!B:C,2,0)</f>
        <v>#N/A</v>
      </c>
      <c r="F722" t="str">
        <f t="shared" si="25"/>
        <v/>
      </c>
    </row>
    <row r="723" spans="3:6" x14ac:dyDescent="0.35">
      <c r="C723" t="str">
        <f>IFERROR(ROUNDUP(VLOOKUP(F723,'30Days-Baseline'!C:D,2,FALSE),0),"NotExist")</f>
        <v>NotExist</v>
      </c>
      <c r="D723" t="str">
        <f t="shared" ref="D723:D786" si="26">IFERROR(IF(B723&gt;ROUNDUP(C723,0),"Elevated","Ok"),"New")</f>
        <v>New</v>
      </c>
      <c r="E723" t="e">
        <f>VLOOKUP(A:A,Reviewed!B:C,2,0)</f>
        <v>#N/A</v>
      </c>
      <c r="F723" t="str">
        <f t="shared" ref="F723:F786" si="27">LEFT(A723,255)</f>
        <v/>
      </c>
    </row>
    <row r="724" spans="3:6" x14ac:dyDescent="0.35">
      <c r="C724" t="str">
        <f>IFERROR(ROUNDUP(VLOOKUP(F724,'30Days-Baseline'!C:D,2,FALSE),0),"NotExist")</f>
        <v>NotExist</v>
      </c>
      <c r="D724" t="str">
        <f t="shared" si="26"/>
        <v>New</v>
      </c>
      <c r="E724" t="e">
        <f>VLOOKUP(A:A,Reviewed!B:C,2,0)</f>
        <v>#N/A</v>
      </c>
      <c r="F724" t="str">
        <f t="shared" si="27"/>
        <v/>
      </c>
    </row>
    <row r="725" spans="3:6" x14ac:dyDescent="0.35">
      <c r="C725" t="str">
        <f>IFERROR(ROUNDUP(VLOOKUP(F725,'30Days-Baseline'!C:D,2,FALSE),0),"NotExist")</f>
        <v>NotExist</v>
      </c>
      <c r="D725" t="str">
        <f t="shared" si="26"/>
        <v>New</v>
      </c>
      <c r="E725" t="e">
        <f>VLOOKUP(A:A,Reviewed!B:C,2,0)</f>
        <v>#N/A</v>
      </c>
      <c r="F725" t="str">
        <f t="shared" si="27"/>
        <v/>
      </c>
    </row>
    <row r="726" spans="3:6" x14ac:dyDescent="0.35">
      <c r="C726" t="str">
        <f>IFERROR(ROUNDUP(VLOOKUP(F726,'30Days-Baseline'!C:D,2,FALSE),0),"NotExist")</f>
        <v>NotExist</v>
      </c>
      <c r="D726" t="str">
        <f t="shared" si="26"/>
        <v>New</v>
      </c>
      <c r="E726" t="e">
        <f>VLOOKUP(A:A,Reviewed!B:C,2,0)</f>
        <v>#N/A</v>
      </c>
      <c r="F726" t="str">
        <f t="shared" si="27"/>
        <v/>
      </c>
    </row>
    <row r="727" spans="3:6" x14ac:dyDescent="0.35">
      <c r="C727" t="str">
        <f>IFERROR(ROUNDUP(VLOOKUP(F727,'30Days-Baseline'!C:D,2,FALSE),0),"NotExist")</f>
        <v>NotExist</v>
      </c>
      <c r="D727" t="str">
        <f t="shared" si="26"/>
        <v>New</v>
      </c>
      <c r="E727" t="e">
        <f>VLOOKUP(A:A,Reviewed!B:C,2,0)</f>
        <v>#N/A</v>
      </c>
      <c r="F727" t="str">
        <f t="shared" si="27"/>
        <v/>
      </c>
    </row>
    <row r="728" spans="3:6" x14ac:dyDescent="0.35">
      <c r="C728" t="str">
        <f>IFERROR(ROUNDUP(VLOOKUP(F728,'30Days-Baseline'!C:D,2,FALSE),0),"NotExist")</f>
        <v>NotExist</v>
      </c>
      <c r="D728" t="str">
        <f t="shared" si="26"/>
        <v>New</v>
      </c>
      <c r="E728" t="e">
        <f>VLOOKUP(A:A,Reviewed!B:C,2,0)</f>
        <v>#N/A</v>
      </c>
      <c r="F728" t="str">
        <f t="shared" si="27"/>
        <v/>
      </c>
    </row>
    <row r="729" spans="3:6" x14ac:dyDescent="0.35">
      <c r="C729" t="str">
        <f>IFERROR(ROUNDUP(VLOOKUP(F729,'30Days-Baseline'!C:D,2,FALSE),0),"NotExist")</f>
        <v>NotExist</v>
      </c>
      <c r="D729" t="str">
        <f t="shared" si="26"/>
        <v>New</v>
      </c>
      <c r="E729" t="e">
        <f>VLOOKUP(A:A,Reviewed!B:C,2,0)</f>
        <v>#N/A</v>
      </c>
      <c r="F729" t="str">
        <f t="shared" si="27"/>
        <v/>
      </c>
    </row>
    <row r="730" spans="3:6" x14ac:dyDescent="0.35">
      <c r="C730" t="str">
        <f>IFERROR(ROUNDUP(VLOOKUP(F730,'30Days-Baseline'!C:D,2,FALSE),0),"NotExist")</f>
        <v>NotExist</v>
      </c>
      <c r="D730" t="str">
        <f t="shared" si="26"/>
        <v>New</v>
      </c>
      <c r="E730" t="e">
        <f>VLOOKUP(A:A,Reviewed!B:C,2,0)</f>
        <v>#N/A</v>
      </c>
      <c r="F730" t="str">
        <f t="shared" si="27"/>
        <v/>
      </c>
    </row>
    <row r="731" spans="3:6" x14ac:dyDescent="0.35">
      <c r="C731" t="str">
        <f>IFERROR(ROUNDUP(VLOOKUP(F731,'30Days-Baseline'!C:D,2,FALSE),0),"NotExist")</f>
        <v>NotExist</v>
      </c>
      <c r="D731" t="str">
        <f t="shared" si="26"/>
        <v>New</v>
      </c>
      <c r="E731" t="e">
        <f>VLOOKUP(A:A,Reviewed!B:C,2,0)</f>
        <v>#N/A</v>
      </c>
      <c r="F731" t="str">
        <f t="shared" si="27"/>
        <v/>
      </c>
    </row>
    <row r="732" spans="3:6" x14ac:dyDescent="0.35">
      <c r="C732" t="str">
        <f>IFERROR(ROUNDUP(VLOOKUP(F732,'30Days-Baseline'!C:D,2,FALSE),0),"NotExist")</f>
        <v>NotExist</v>
      </c>
      <c r="D732" t="str">
        <f t="shared" si="26"/>
        <v>New</v>
      </c>
      <c r="E732" t="e">
        <f>VLOOKUP(A:A,Reviewed!B:C,2,0)</f>
        <v>#N/A</v>
      </c>
      <c r="F732" t="str">
        <f t="shared" si="27"/>
        <v/>
      </c>
    </row>
    <row r="733" spans="3:6" x14ac:dyDescent="0.35">
      <c r="C733" t="str">
        <f>IFERROR(ROUNDUP(VLOOKUP(F733,'30Days-Baseline'!C:D,2,FALSE),0),"NotExist")</f>
        <v>NotExist</v>
      </c>
      <c r="D733" t="str">
        <f t="shared" si="26"/>
        <v>New</v>
      </c>
      <c r="E733" t="e">
        <f>VLOOKUP(A:A,Reviewed!B:C,2,0)</f>
        <v>#N/A</v>
      </c>
      <c r="F733" t="str">
        <f t="shared" si="27"/>
        <v/>
      </c>
    </row>
    <row r="734" spans="3:6" x14ac:dyDescent="0.35">
      <c r="C734" t="str">
        <f>IFERROR(ROUNDUP(VLOOKUP(F734,'30Days-Baseline'!C:D,2,FALSE),0),"NotExist")</f>
        <v>NotExist</v>
      </c>
      <c r="D734" t="str">
        <f t="shared" si="26"/>
        <v>New</v>
      </c>
      <c r="E734" t="e">
        <f>VLOOKUP(A:A,Reviewed!B:C,2,0)</f>
        <v>#N/A</v>
      </c>
      <c r="F734" t="str">
        <f t="shared" si="27"/>
        <v/>
      </c>
    </row>
    <row r="735" spans="3:6" x14ac:dyDescent="0.35">
      <c r="C735" t="str">
        <f>IFERROR(ROUNDUP(VLOOKUP(F735,'30Days-Baseline'!C:D,2,FALSE),0),"NotExist")</f>
        <v>NotExist</v>
      </c>
      <c r="D735" t="str">
        <f t="shared" si="26"/>
        <v>New</v>
      </c>
      <c r="E735" t="e">
        <f>VLOOKUP(A:A,Reviewed!B:C,2,0)</f>
        <v>#N/A</v>
      </c>
      <c r="F735" t="str">
        <f t="shared" si="27"/>
        <v/>
      </c>
    </row>
    <row r="736" spans="3:6" x14ac:dyDescent="0.35">
      <c r="C736" t="str">
        <f>IFERROR(ROUNDUP(VLOOKUP(F736,'30Days-Baseline'!C:D,2,FALSE),0),"NotExist")</f>
        <v>NotExist</v>
      </c>
      <c r="D736" t="str">
        <f t="shared" si="26"/>
        <v>New</v>
      </c>
      <c r="E736" t="e">
        <f>VLOOKUP(A:A,Reviewed!B:C,2,0)</f>
        <v>#N/A</v>
      </c>
      <c r="F736" t="str">
        <f t="shared" si="27"/>
        <v/>
      </c>
    </row>
    <row r="737" spans="3:6" x14ac:dyDescent="0.35">
      <c r="C737" t="str">
        <f>IFERROR(ROUNDUP(VLOOKUP(F737,'30Days-Baseline'!C:D,2,FALSE),0),"NotExist")</f>
        <v>NotExist</v>
      </c>
      <c r="D737" t="str">
        <f t="shared" si="26"/>
        <v>New</v>
      </c>
      <c r="E737" t="e">
        <f>VLOOKUP(A:A,Reviewed!B:C,2,0)</f>
        <v>#N/A</v>
      </c>
      <c r="F737" t="str">
        <f t="shared" si="27"/>
        <v/>
      </c>
    </row>
    <row r="738" spans="3:6" x14ac:dyDescent="0.35">
      <c r="C738" t="str">
        <f>IFERROR(ROUNDUP(VLOOKUP(F738,'30Days-Baseline'!C:D,2,FALSE),0),"NotExist")</f>
        <v>NotExist</v>
      </c>
      <c r="D738" t="str">
        <f t="shared" si="26"/>
        <v>New</v>
      </c>
      <c r="E738" t="e">
        <f>VLOOKUP(A:A,Reviewed!B:C,2,0)</f>
        <v>#N/A</v>
      </c>
      <c r="F738" t="str">
        <f t="shared" si="27"/>
        <v/>
      </c>
    </row>
    <row r="739" spans="3:6" x14ac:dyDescent="0.35">
      <c r="C739" t="str">
        <f>IFERROR(ROUNDUP(VLOOKUP(F739,'30Days-Baseline'!C:D,2,FALSE),0),"NotExist")</f>
        <v>NotExist</v>
      </c>
      <c r="D739" t="str">
        <f t="shared" si="26"/>
        <v>New</v>
      </c>
      <c r="E739" t="e">
        <f>VLOOKUP(A:A,Reviewed!B:C,2,0)</f>
        <v>#N/A</v>
      </c>
      <c r="F739" t="str">
        <f t="shared" si="27"/>
        <v/>
      </c>
    </row>
    <row r="740" spans="3:6" x14ac:dyDescent="0.35">
      <c r="C740" t="str">
        <f>IFERROR(ROUNDUP(VLOOKUP(F740,'30Days-Baseline'!C:D,2,FALSE),0),"NotExist")</f>
        <v>NotExist</v>
      </c>
      <c r="D740" t="str">
        <f t="shared" si="26"/>
        <v>New</v>
      </c>
      <c r="E740" t="e">
        <f>VLOOKUP(A:A,Reviewed!B:C,2,0)</f>
        <v>#N/A</v>
      </c>
      <c r="F740" t="str">
        <f t="shared" si="27"/>
        <v/>
      </c>
    </row>
    <row r="741" spans="3:6" x14ac:dyDescent="0.35">
      <c r="C741" t="str">
        <f>IFERROR(ROUNDUP(VLOOKUP(F741,'30Days-Baseline'!C:D,2,FALSE),0),"NotExist")</f>
        <v>NotExist</v>
      </c>
      <c r="D741" t="str">
        <f t="shared" si="26"/>
        <v>New</v>
      </c>
      <c r="E741" t="e">
        <f>VLOOKUP(A:A,Reviewed!B:C,2,0)</f>
        <v>#N/A</v>
      </c>
      <c r="F741" t="str">
        <f t="shared" si="27"/>
        <v/>
      </c>
    </row>
    <row r="742" spans="3:6" x14ac:dyDescent="0.35">
      <c r="C742" t="str">
        <f>IFERROR(ROUNDUP(VLOOKUP(F742,'30Days-Baseline'!C:D,2,FALSE),0),"NotExist")</f>
        <v>NotExist</v>
      </c>
      <c r="D742" t="str">
        <f t="shared" si="26"/>
        <v>New</v>
      </c>
      <c r="E742" t="e">
        <f>VLOOKUP(A:A,Reviewed!B:C,2,0)</f>
        <v>#N/A</v>
      </c>
      <c r="F742" t="str">
        <f t="shared" si="27"/>
        <v/>
      </c>
    </row>
    <row r="743" spans="3:6" x14ac:dyDescent="0.35">
      <c r="C743" t="str">
        <f>IFERROR(ROUNDUP(VLOOKUP(F743,'30Days-Baseline'!C:D,2,FALSE),0),"NotExist")</f>
        <v>NotExist</v>
      </c>
      <c r="D743" t="str">
        <f t="shared" si="26"/>
        <v>New</v>
      </c>
      <c r="E743" t="e">
        <f>VLOOKUP(A:A,Reviewed!B:C,2,0)</f>
        <v>#N/A</v>
      </c>
      <c r="F743" t="str">
        <f t="shared" si="27"/>
        <v/>
      </c>
    </row>
    <row r="744" spans="3:6" x14ac:dyDescent="0.35">
      <c r="C744" t="str">
        <f>IFERROR(ROUNDUP(VLOOKUP(F744,'30Days-Baseline'!C:D,2,FALSE),0),"NotExist")</f>
        <v>NotExist</v>
      </c>
      <c r="D744" t="str">
        <f t="shared" si="26"/>
        <v>New</v>
      </c>
      <c r="E744" t="e">
        <f>VLOOKUP(A:A,Reviewed!B:C,2,0)</f>
        <v>#N/A</v>
      </c>
      <c r="F744" t="str">
        <f t="shared" si="27"/>
        <v/>
      </c>
    </row>
    <row r="745" spans="3:6" x14ac:dyDescent="0.35">
      <c r="C745" t="str">
        <f>IFERROR(ROUNDUP(VLOOKUP(F745,'30Days-Baseline'!C:D,2,FALSE),0),"NotExist")</f>
        <v>NotExist</v>
      </c>
      <c r="D745" t="str">
        <f t="shared" si="26"/>
        <v>New</v>
      </c>
      <c r="E745" t="e">
        <f>VLOOKUP(A:A,Reviewed!B:C,2,0)</f>
        <v>#N/A</v>
      </c>
      <c r="F745" t="str">
        <f t="shared" si="27"/>
        <v/>
      </c>
    </row>
    <row r="746" spans="3:6" x14ac:dyDescent="0.35">
      <c r="C746" t="str">
        <f>IFERROR(ROUNDUP(VLOOKUP(F746,'30Days-Baseline'!C:D,2,FALSE),0),"NotExist")</f>
        <v>NotExist</v>
      </c>
      <c r="D746" t="str">
        <f t="shared" si="26"/>
        <v>New</v>
      </c>
      <c r="E746" t="e">
        <f>VLOOKUP(A:A,Reviewed!B:C,2,0)</f>
        <v>#N/A</v>
      </c>
      <c r="F746" t="str">
        <f t="shared" si="27"/>
        <v/>
      </c>
    </row>
    <row r="747" spans="3:6" x14ac:dyDescent="0.35">
      <c r="C747" t="str">
        <f>IFERROR(ROUNDUP(VLOOKUP(F747,'30Days-Baseline'!C:D,2,FALSE),0),"NotExist")</f>
        <v>NotExist</v>
      </c>
      <c r="D747" t="str">
        <f t="shared" si="26"/>
        <v>New</v>
      </c>
      <c r="E747" t="e">
        <f>VLOOKUP(A:A,Reviewed!B:C,2,0)</f>
        <v>#N/A</v>
      </c>
      <c r="F747" t="str">
        <f t="shared" si="27"/>
        <v/>
      </c>
    </row>
    <row r="748" spans="3:6" x14ac:dyDescent="0.35">
      <c r="C748" t="str">
        <f>IFERROR(ROUNDUP(VLOOKUP(F748,'30Days-Baseline'!C:D,2,FALSE),0),"NotExist")</f>
        <v>NotExist</v>
      </c>
      <c r="D748" t="str">
        <f t="shared" si="26"/>
        <v>New</v>
      </c>
      <c r="E748" t="e">
        <f>VLOOKUP(A:A,Reviewed!B:C,2,0)</f>
        <v>#N/A</v>
      </c>
      <c r="F748" t="str">
        <f t="shared" si="27"/>
        <v/>
      </c>
    </row>
    <row r="749" spans="3:6" x14ac:dyDescent="0.35">
      <c r="C749" t="str">
        <f>IFERROR(ROUNDUP(VLOOKUP(F749,'30Days-Baseline'!C:D,2,FALSE),0),"NotExist")</f>
        <v>NotExist</v>
      </c>
      <c r="D749" t="str">
        <f t="shared" si="26"/>
        <v>New</v>
      </c>
      <c r="E749" t="e">
        <f>VLOOKUP(A:A,Reviewed!B:C,2,0)</f>
        <v>#N/A</v>
      </c>
      <c r="F749" t="str">
        <f t="shared" si="27"/>
        <v/>
      </c>
    </row>
    <row r="750" spans="3:6" x14ac:dyDescent="0.35">
      <c r="C750" t="str">
        <f>IFERROR(ROUNDUP(VLOOKUP(F750,'30Days-Baseline'!C:D,2,FALSE),0),"NotExist")</f>
        <v>NotExist</v>
      </c>
      <c r="D750" t="str">
        <f t="shared" si="26"/>
        <v>New</v>
      </c>
      <c r="E750" t="e">
        <f>VLOOKUP(A:A,Reviewed!B:C,2,0)</f>
        <v>#N/A</v>
      </c>
      <c r="F750" t="str">
        <f t="shared" si="27"/>
        <v/>
      </c>
    </row>
    <row r="751" spans="3:6" x14ac:dyDescent="0.35">
      <c r="C751" t="str">
        <f>IFERROR(ROUNDUP(VLOOKUP(F751,'30Days-Baseline'!C:D,2,FALSE),0),"NotExist")</f>
        <v>NotExist</v>
      </c>
      <c r="D751" t="str">
        <f t="shared" si="26"/>
        <v>New</v>
      </c>
      <c r="E751" t="e">
        <f>VLOOKUP(A:A,Reviewed!B:C,2,0)</f>
        <v>#N/A</v>
      </c>
      <c r="F751" t="str">
        <f t="shared" si="27"/>
        <v/>
      </c>
    </row>
    <row r="752" spans="3:6" x14ac:dyDescent="0.35">
      <c r="C752" t="str">
        <f>IFERROR(ROUNDUP(VLOOKUP(F752,'30Days-Baseline'!C:D,2,FALSE),0),"NotExist")</f>
        <v>NotExist</v>
      </c>
      <c r="D752" t="str">
        <f t="shared" si="26"/>
        <v>New</v>
      </c>
      <c r="E752" t="e">
        <f>VLOOKUP(A:A,Reviewed!B:C,2,0)</f>
        <v>#N/A</v>
      </c>
      <c r="F752" t="str">
        <f t="shared" si="27"/>
        <v/>
      </c>
    </row>
    <row r="753" spans="3:6" x14ac:dyDescent="0.35">
      <c r="C753" t="str">
        <f>IFERROR(ROUNDUP(VLOOKUP(F753,'30Days-Baseline'!C:D,2,FALSE),0),"NotExist")</f>
        <v>NotExist</v>
      </c>
      <c r="D753" t="str">
        <f t="shared" si="26"/>
        <v>New</v>
      </c>
      <c r="E753" t="e">
        <f>VLOOKUP(A:A,Reviewed!B:C,2,0)</f>
        <v>#N/A</v>
      </c>
      <c r="F753" t="str">
        <f t="shared" si="27"/>
        <v/>
      </c>
    </row>
    <row r="754" spans="3:6" x14ac:dyDescent="0.35">
      <c r="C754" t="str">
        <f>IFERROR(ROUNDUP(VLOOKUP(F754,'30Days-Baseline'!C:D,2,FALSE),0),"NotExist")</f>
        <v>NotExist</v>
      </c>
      <c r="D754" t="str">
        <f t="shared" si="26"/>
        <v>New</v>
      </c>
      <c r="E754" t="e">
        <f>VLOOKUP(A:A,Reviewed!B:C,2,0)</f>
        <v>#N/A</v>
      </c>
      <c r="F754" t="str">
        <f t="shared" si="27"/>
        <v/>
      </c>
    </row>
    <row r="755" spans="3:6" x14ac:dyDescent="0.35">
      <c r="C755" t="str">
        <f>IFERROR(ROUNDUP(VLOOKUP(F755,'30Days-Baseline'!C:D,2,FALSE),0),"NotExist")</f>
        <v>NotExist</v>
      </c>
      <c r="D755" t="str">
        <f t="shared" si="26"/>
        <v>New</v>
      </c>
      <c r="E755" t="e">
        <f>VLOOKUP(A:A,Reviewed!B:C,2,0)</f>
        <v>#N/A</v>
      </c>
      <c r="F755" t="str">
        <f t="shared" si="27"/>
        <v/>
      </c>
    </row>
    <row r="756" spans="3:6" x14ac:dyDescent="0.35">
      <c r="C756" t="str">
        <f>IFERROR(ROUNDUP(VLOOKUP(F756,'30Days-Baseline'!C:D,2,FALSE),0),"NotExist")</f>
        <v>NotExist</v>
      </c>
      <c r="D756" t="str">
        <f t="shared" si="26"/>
        <v>New</v>
      </c>
      <c r="E756" t="e">
        <f>VLOOKUP(A:A,Reviewed!B:C,2,0)</f>
        <v>#N/A</v>
      </c>
      <c r="F756" t="str">
        <f t="shared" si="27"/>
        <v/>
      </c>
    </row>
    <row r="757" spans="3:6" x14ac:dyDescent="0.35">
      <c r="C757" t="str">
        <f>IFERROR(ROUNDUP(VLOOKUP(F757,'30Days-Baseline'!C:D,2,FALSE),0),"NotExist")</f>
        <v>NotExist</v>
      </c>
      <c r="D757" t="str">
        <f t="shared" si="26"/>
        <v>New</v>
      </c>
      <c r="E757" t="e">
        <f>VLOOKUP(A:A,Reviewed!B:C,2,0)</f>
        <v>#N/A</v>
      </c>
      <c r="F757" t="str">
        <f t="shared" si="27"/>
        <v/>
      </c>
    </row>
    <row r="758" spans="3:6" x14ac:dyDescent="0.35">
      <c r="C758" t="str">
        <f>IFERROR(ROUNDUP(VLOOKUP(F758,'30Days-Baseline'!C:D,2,FALSE),0),"NotExist")</f>
        <v>NotExist</v>
      </c>
      <c r="D758" t="str">
        <f t="shared" si="26"/>
        <v>New</v>
      </c>
      <c r="E758" t="e">
        <f>VLOOKUP(A:A,Reviewed!B:C,2,0)</f>
        <v>#N/A</v>
      </c>
      <c r="F758" t="str">
        <f t="shared" si="27"/>
        <v/>
      </c>
    </row>
    <row r="759" spans="3:6" x14ac:dyDescent="0.35">
      <c r="C759" t="str">
        <f>IFERROR(ROUNDUP(VLOOKUP(F759,'30Days-Baseline'!C:D,2,FALSE),0),"NotExist")</f>
        <v>NotExist</v>
      </c>
      <c r="D759" t="str">
        <f t="shared" si="26"/>
        <v>New</v>
      </c>
      <c r="E759" t="e">
        <f>VLOOKUP(A:A,Reviewed!B:C,2,0)</f>
        <v>#N/A</v>
      </c>
      <c r="F759" t="str">
        <f t="shared" si="27"/>
        <v/>
      </c>
    </row>
    <row r="760" spans="3:6" x14ac:dyDescent="0.35">
      <c r="C760" t="str">
        <f>IFERROR(ROUNDUP(VLOOKUP(F760,'30Days-Baseline'!C:D,2,FALSE),0),"NotExist")</f>
        <v>NotExist</v>
      </c>
      <c r="D760" t="str">
        <f t="shared" si="26"/>
        <v>New</v>
      </c>
      <c r="E760" t="e">
        <f>VLOOKUP(A:A,Reviewed!B:C,2,0)</f>
        <v>#N/A</v>
      </c>
      <c r="F760" t="str">
        <f t="shared" si="27"/>
        <v/>
      </c>
    </row>
    <row r="761" spans="3:6" x14ac:dyDescent="0.35">
      <c r="C761" t="str">
        <f>IFERROR(ROUNDUP(VLOOKUP(F761,'30Days-Baseline'!C:D,2,FALSE),0),"NotExist")</f>
        <v>NotExist</v>
      </c>
      <c r="D761" t="str">
        <f t="shared" si="26"/>
        <v>New</v>
      </c>
      <c r="E761" t="e">
        <f>VLOOKUP(A:A,Reviewed!B:C,2,0)</f>
        <v>#N/A</v>
      </c>
      <c r="F761" t="str">
        <f t="shared" si="27"/>
        <v/>
      </c>
    </row>
    <row r="762" spans="3:6" x14ac:dyDescent="0.35">
      <c r="C762" t="str">
        <f>IFERROR(ROUNDUP(VLOOKUP(F762,'30Days-Baseline'!C:D,2,FALSE),0),"NotExist")</f>
        <v>NotExist</v>
      </c>
      <c r="D762" t="str">
        <f t="shared" si="26"/>
        <v>New</v>
      </c>
      <c r="E762" t="e">
        <f>VLOOKUP(A:A,Reviewed!B:C,2,0)</f>
        <v>#N/A</v>
      </c>
      <c r="F762" t="str">
        <f t="shared" si="27"/>
        <v/>
      </c>
    </row>
    <row r="763" spans="3:6" x14ac:dyDescent="0.35">
      <c r="C763" t="str">
        <f>IFERROR(ROUNDUP(VLOOKUP(F763,'30Days-Baseline'!C:D,2,FALSE),0),"NotExist")</f>
        <v>NotExist</v>
      </c>
      <c r="D763" t="str">
        <f t="shared" si="26"/>
        <v>New</v>
      </c>
      <c r="E763" t="e">
        <f>VLOOKUP(A:A,Reviewed!B:C,2,0)</f>
        <v>#N/A</v>
      </c>
      <c r="F763" t="str">
        <f t="shared" si="27"/>
        <v/>
      </c>
    </row>
    <row r="764" spans="3:6" x14ac:dyDescent="0.35">
      <c r="C764" t="str">
        <f>IFERROR(ROUNDUP(VLOOKUP(F764,'30Days-Baseline'!C:D,2,FALSE),0),"NotExist")</f>
        <v>NotExist</v>
      </c>
      <c r="D764" t="str">
        <f t="shared" si="26"/>
        <v>New</v>
      </c>
      <c r="E764" t="e">
        <f>VLOOKUP(A:A,Reviewed!B:C,2,0)</f>
        <v>#N/A</v>
      </c>
      <c r="F764" t="str">
        <f t="shared" si="27"/>
        <v/>
      </c>
    </row>
    <row r="765" spans="3:6" x14ac:dyDescent="0.35">
      <c r="C765" t="str">
        <f>IFERROR(ROUNDUP(VLOOKUP(F765,'30Days-Baseline'!C:D,2,FALSE),0),"NotExist")</f>
        <v>NotExist</v>
      </c>
      <c r="D765" t="str">
        <f t="shared" si="26"/>
        <v>New</v>
      </c>
      <c r="E765" t="e">
        <f>VLOOKUP(A:A,Reviewed!B:C,2,0)</f>
        <v>#N/A</v>
      </c>
      <c r="F765" t="str">
        <f t="shared" si="27"/>
        <v/>
      </c>
    </row>
    <row r="766" spans="3:6" x14ac:dyDescent="0.35">
      <c r="C766" t="str">
        <f>IFERROR(ROUNDUP(VLOOKUP(F766,'30Days-Baseline'!C:D,2,FALSE),0),"NotExist")</f>
        <v>NotExist</v>
      </c>
      <c r="D766" t="str">
        <f t="shared" si="26"/>
        <v>New</v>
      </c>
      <c r="E766" t="e">
        <f>VLOOKUP(A:A,Reviewed!B:C,2,0)</f>
        <v>#N/A</v>
      </c>
      <c r="F766" t="str">
        <f t="shared" si="27"/>
        <v/>
      </c>
    </row>
    <row r="767" spans="3:6" x14ac:dyDescent="0.35">
      <c r="C767" t="str">
        <f>IFERROR(ROUNDUP(VLOOKUP(F767,'30Days-Baseline'!C:D,2,FALSE),0),"NotExist")</f>
        <v>NotExist</v>
      </c>
      <c r="D767" t="str">
        <f t="shared" si="26"/>
        <v>New</v>
      </c>
      <c r="E767" t="e">
        <f>VLOOKUP(A:A,Reviewed!B:C,2,0)</f>
        <v>#N/A</v>
      </c>
      <c r="F767" t="str">
        <f t="shared" si="27"/>
        <v/>
      </c>
    </row>
    <row r="768" spans="3:6" x14ac:dyDescent="0.35">
      <c r="C768" t="str">
        <f>IFERROR(ROUNDUP(VLOOKUP(F768,'30Days-Baseline'!C:D,2,FALSE),0),"NotExist")</f>
        <v>NotExist</v>
      </c>
      <c r="D768" t="str">
        <f t="shared" si="26"/>
        <v>New</v>
      </c>
      <c r="E768" t="e">
        <f>VLOOKUP(A:A,Reviewed!B:C,2,0)</f>
        <v>#N/A</v>
      </c>
      <c r="F768" t="str">
        <f t="shared" si="27"/>
        <v/>
      </c>
    </row>
    <row r="769" spans="3:6" x14ac:dyDescent="0.35">
      <c r="C769" t="str">
        <f>IFERROR(ROUNDUP(VLOOKUP(F769,'30Days-Baseline'!C:D,2,FALSE),0),"NotExist")</f>
        <v>NotExist</v>
      </c>
      <c r="D769" t="str">
        <f t="shared" si="26"/>
        <v>New</v>
      </c>
      <c r="E769" t="e">
        <f>VLOOKUP(A:A,Reviewed!B:C,2,0)</f>
        <v>#N/A</v>
      </c>
      <c r="F769" t="str">
        <f t="shared" si="27"/>
        <v/>
      </c>
    </row>
    <row r="770" spans="3:6" x14ac:dyDescent="0.35">
      <c r="C770" t="str">
        <f>IFERROR(ROUNDUP(VLOOKUP(F770,'30Days-Baseline'!C:D,2,FALSE),0),"NotExist")</f>
        <v>NotExist</v>
      </c>
      <c r="D770" t="str">
        <f t="shared" si="26"/>
        <v>New</v>
      </c>
      <c r="E770" t="e">
        <f>VLOOKUP(A:A,Reviewed!B:C,2,0)</f>
        <v>#N/A</v>
      </c>
      <c r="F770" t="str">
        <f t="shared" si="27"/>
        <v/>
      </c>
    </row>
    <row r="771" spans="3:6" x14ac:dyDescent="0.35">
      <c r="C771" t="str">
        <f>IFERROR(ROUNDUP(VLOOKUP(F771,'30Days-Baseline'!C:D,2,FALSE),0),"NotExist")</f>
        <v>NotExist</v>
      </c>
      <c r="D771" t="str">
        <f t="shared" si="26"/>
        <v>New</v>
      </c>
      <c r="E771" t="e">
        <f>VLOOKUP(A:A,Reviewed!B:C,2,0)</f>
        <v>#N/A</v>
      </c>
      <c r="F771" t="str">
        <f t="shared" si="27"/>
        <v/>
      </c>
    </row>
    <row r="772" spans="3:6" x14ac:dyDescent="0.35">
      <c r="C772" t="str">
        <f>IFERROR(ROUNDUP(VLOOKUP(F772,'30Days-Baseline'!C:D,2,FALSE),0),"NotExist")</f>
        <v>NotExist</v>
      </c>
      <c r="D772" t="str">
        <f t="shared" si="26"/>
        <v>New</v>
      </c>
      <c r="E772" t="e">
        <f>VLOOKUP(A:A,Reviewed!B:C,2,0)</f>
        <v>#N/A</v>
      </c>
      <c r="F772" t="str">
        <f t="shared" si="27"/>
        <v/>
      </c>
    </row>
    <row r="773" spans="3:6" x14ac:dyDescent="0.35">
      <c r="C773" t="str">
        <f>IFERROR(ROUNDUP(VLOOKUP(F773,'30Days-Baseline'!C:D,2,FALSE),0),"NotExist")</f>
        <v>NotExist</v>
      </c>
      <c r="D773" t="str">
        <f t="shared" si="26"/>
        <v>New</v>
      </c>
      <c r="E773" t="e">
        <f>VLOOKUP(A:A,Reviewed!B:C,2,0)</f>
        <v>#N/A</v>
      </c>
      <c r="F773" t="str">
        <f t="shared" si="27"/>
        <v/>
      </c>
    </row>
    <row r="774" spans="3:6" x14ac:dyDescent="0.35">
      <c r="C774" t="str">
        <f>IFERROR(ROUNDUP(VLOOKUP(F774,'30Days-Baseline'!C:D,2,FALSE),0),"NotExist")</f>
        <v>NotExist</v>
      </c>
      <c r="D774" t="str">
        <f t="shared" si="26"/>
        <v>New</v>
      </c>
      <c r="E774" t="e">
        <f>VLOOKUP(A:A,Reviewed!B:C,2,0)</f>
        <v>#N/A</v>
      </c>
      <c r="F774" t="str">
        <f t="shared" si="27"/>
        <v/>
      </c>
    </row>
    <row r="775" spans="3:6" x14ac:dyDescent="0.35">
      <c r="C775" t="str">
        <f>IFERROR(ROUNDUP(VLOOKUP(F775,'30Days-Baseline'!C:D,2,FALSE),0),"NotExist")</f>
        <v>NotExist</v>
      </c>
      <c r="D775" t="str">
        <f t="shared" si="26"/>
        <v>New</v>
      </c>
      <c r="E775" t="e">
        <f>VLOOKUP(A:A,Reviewed!B:C,2,0)</f>
        <v>#N/A</v>
      </c>
      <c r="F775" t="str">
        <f t="shared" si="27"/>
        <v/>
      </c>
    </row>
    <row r="776" spans="3:6" x14ac:dyDescent="0.35">
      <c r="C776" t="str">
        <f>IFERROR(ROUNDUP(VLOOKUP(F776,'30Days-Baseline'!C:D,2,FALSE),0),"NotExist")</f>
        <v>NotExist</v>
      </c>
      <c r="D776" t="str">
        <f t="shared" si="26"/>
        <v>New</v>
      </c>
      <c r="E776" t="e">
        <f>VLOOKUP(A:A,Reviewed!B:C,2,0)</f>
        <v>#N/A</v>
      </c>
      <c r="F776" t="str">
        <f t="shared" si="27"/>
        <v/>
      </c>
    </row>
    <row r="777" spans="3:6" x14ac:dyDescent="0.35">
      <c r="C777" t="str">
        <f>IFERROR(ROUNDUP(VLOOKUP(F777,'30Days-Baseline'!C:D,2,FALSE),0),"NotExist")</f>
        <v>NotExist</v>
      </c>
      <c r="D777" t="str">
        <f t="shared" si="26"/>
        <v>New</v>
      </c>
      <c r="E777" t="e">
        <f>VLOOKUP(A:A,Reviewed!B:C,2,0)</f>
        <v>#N/A</v>
      </c>
      <c r="F777" t="str">
        <f t="shared" si="27"/>
        <v/>
      </c>
    </row>
    <row r="778" spans="3:6" x14ac:dyDescent="0.35">
      <c r="C778" t="str">
        <f>IFERROR(ROUNDUP(VLOOKUP(F778,'30Days-Baseline'!C:D,2,FALSE),0),"NotExist")</f>
        <v>NotExist</v>
      </c>
      <c r="D778" t="str">
        <f t="shared" si="26"/>
        <v>New</v>
      </c>
      <c r="E778" t="e">
        <f>VLOOKUP(A:A,Reviewed!B:C,2,0)</f>
        <v>#N/A</v>
      </c>
      <c r="F778" t="str">
        <f t="shared" si="27"/>
        <v/>
      </c>
    </row>
    <row r="779" spans="3:6" x14ac:dyDescent="0.35">
      <c r="C779" t="str">
        <f>IFERROR(ROUNDUP(VLOOKUP(F779,'30Days-Baseline'!C:D,2,FALSE),0),"NotExist")</f>
        <v>NotExist</v>
      </c>
      <c r="D779" t="str">
        <f t="shared" si="26"/>
        <v>New</v>
      </c>
      <c r="E779" t="e">
        <f>VLOOKUP(A:A,Reviewed!B:C,2,0)</f>
        <v>#N/A</v>
      </c>
      <c r="F779" t="str">
        <f t="shared" si="27"/>
        <v/>
      </c>
    </row>
    <row r="780" spans="3:6" x14ac:dyDescent="0.35">
      <c r="C780" t="str">
        <f>IFERROR(ROUNDUP(VLOOKUP(F780,'30Days-Baseline'!C:D,2,FALSE),0),"NotExist")</f>
        <v>NotExist</v>
      </c>
      <c r="D780" t="str">
        <f t="shared" si="26"/>
        <v>New</v>
      </c>
      <c r="E780" t="e">
        <f>VLOOKUP(A:A,Reviewed!B:C,2,0)</f>
        <v>#N/A</v>
      </c>
      <c r="F780" t="str">
        <f t="shared" si="27"/>
        <v/>
      </c>
    </row>
    <row r="781" spans="3:6" x14ac:dyDescent="0.35">
      <c r="C781" t="str">
        <f>IFERROR(ROUNDUP(VLOOKUP(F781,'30Days-Baseline'!C:D,2,FALSE),0),"NotExist")</f>
        <v>NotExist</v>
      </c>
      <c r="D781" t="str">
        <f t="shared" si="26"/>
        <v>New</v>
      </c>
      <c r="E781" t="e">
        <f>VLOOKUP(A:A,Reviewed!B:C,2,0)</f>
        <v>#N/A</v>
      </c>
      <c r="F781" t="str">
        <f t="shared" si="27"/>
        <v/>
      </c>
    </row>
    <row r="782" spans="3:6" x14ac:dyDescent="0.35">
      <c r="C782" t="str">
        <f>IFERROR(ROUNDUP(VLOOKUP(F782,'30Days-Baseline'!C:D,2,FALSE),0),"NotExist")</f>
        <v>NotExist</v>
      </c>
      <c r="D782" t="str">
        <f t="shared" si="26"/>
        <v>New</v>
      </c>
      <c r="E782" t="e">
        <f>VLOOKUP(A:A,Reviewed!B:C,2,0)</f>
        <v>#N/A</v>
      </c>
      <c r="F782" t="str">
        <f t="shared" si="27"/>
        <v/>
      </c>
    </row>
    <row r="783" spans="3:6" x14ac:dyDescent="0.35">
      <c r="C783" t="str">
        <f>IFERROR(ROUNDUP(VLOOKUP(F783,'30Days-Baseline'!C:D,2,FALSE),0),"NotExist")</f>
        <v>NotExist</v>
      </c>
      <c r="D783" t="str">
        <f t="shared" si="26"/>
        <v>New</v>
      </c>
      <c r="E783" t="e">
        <f>VLOOKUP(A:A,Reviewed!B:C,2,0)</f>
        <v>#N/A</v>
      </c>
      <c r="F783" t="str">
        <f t="shared" si="27"/>
        <v/>
      </c>
    </row>
    <row r="784" spans="3:6" x14ac:dyDescent="0.35">
      <c r="C784" t="str">
        <f>IFERROR(ROUNDUP(VLOOKUP(F784,'30Days-Baseline'!C:D,2,FALSE),0),"NotExist")</f>
        <v>NotExist</v>
      </c>
      <c r="D784" t="str">
        <f t="shared" si="26"/>
        <v>New</v>
      </c>
      <c r="E784" t="e">
        <f>VLOOKUP(A:A,Reviewed!B:C,2,0)</f>
        <v>#N/A</v>
      </c>
      <c r="F784" t="str">
        <f t="shared" si="27"/>
        <v/>
      </c>
    </row>
    <row r="785" spans="1:6" x14ac:dyDescent="0.35">
      <c r="C785" t="str">
        <f>IFERROR(ROUNDUP(VLOOKUP(F785,'30Days-Baseline'!C:D,2,FALSE),0),"NotExist")</f>
        <v>NotExist</v>
      </c>
      <c r="D785" t="str">
        <f t="shared" si="26"/>
        <v>New</v>
      </c>
      <c r="E785" t="e">
        <f>VLOOKUP(A:A,Reviewed!B:C,2,0)</f>
        <v>#N/A</v>
      </c>
      <c r="F785" t="str">
        <f t="shared" si="27"/>
        <v/>
      </c>
    </row>
    <row r="786" spans="1:6" x14ac:dyDescent="0.35">
      <c r="C786" t="str">
        <f>IFERROR(ROUNDUP(VLOOKUP(F786,'30Days-Baseline'!C:D,2,FALSE),0),"NotExist")</f>
        <v>NotExist</v>
      </c>
      <c r="D786" t="str">
        <f t="shared" si="26"/>
        <v>New</v>
      </c>
      <c r="E786" t="e">
        <f>VLOOKUP(A:A,Reviewed!B:C,2,0)</f>
        <v>#N/A</v>
      </c>
      <c r="F786" t="str">
        <f t="shared" si="27"/>
        <v/>
      </c>
    </row>
    <row r="787" spans="1:6" x14ac:dyDescent="0.35">
      <c r="C787" t="str">
        <f>IFERROR(ROUNDUP(VLOOKUP(F787,'30Days-Baseline'!C:D,2,FALSE),0),"NotExist")</f>
        <v>NotExist</v>
      </c>
      <c r="D787" t="str">
        <f t="shared" ref="D787:D850" si="28">IFERROR(IF(B787&gt;ROUNDUP(C787,0),"Elevated","Ok"),"New")</f>
        <v>New</v>
      </c>
      <c r="E787" t="e">
        <f>VLOOKUP(A:A,Reviewed!B:C,2,0)</f>
        <v>#N/A</v>
      </c>
      <c r="F787" t="str">
        <f t="shared" ref="F787:F850" si="29">LEFT(A787,255)</f>
        <v/>
      </c>
    </row>
    <row r="788" spans="1:6" x14ac:dyDescent="0.35">
      <c r="C788" t="str">
        <f>IFERROR(ROUNDUP(VLOOKUP(F788,'30Days-Baseline'!C:D,2,FALSE),0),"NotExist")</f>
        <v>NotExist</v>
      </c>
      <c r="D788" t="str">
        <f t="shared" si="28"/>
        <v>New</v>
      </c>
      <c r="E788" t="e">
        <f>VLOOKUP(A:A,Reviewed!B:C,2,0)</f>
        <v>#N/A</v>
      </c>
      <c r="F788" t="str">
        <f t="shared" si="29"/>
        <v/>
      </c>
    </row>
    <row r="789" spans="1:6" x14ac:dyDescent="0.35">
      <c r="C789" t="str">
        <f>IFERROR(ROUNDUP(VLOOKUP(F789,'30Days-Baseline'!C:D,2,FALSE),0),"NotExist")</f>
        <v>NotExist</v>
      </c>
      <c r="D789" t="str">
        <f t="shared" si="28"/>
        <v>New</v>
      </c>
      <c r="E789" t="e">
        <f>VLOOKUP(A:A,Reviewed!B:C,2,0)</f>
        <v>#N/A</v>
      </c>
      <c r="F789" t="str">
        <f t="shared" si="29"/>
        <v/>
      </c>
    </row>
    <row r="790" spans="1:6" x14ac:dyDescent="0.35">
      <c r="C790" t="str">
        <f>IFERROR(ROUNDUP(VLOOKUP(F790,'30Days-Baseline'!C:D,2,FALSE),0),"NotExist")</f>
        <v>NotExist</v>
      </c>
      <c r="D790" t="str">
        <f t="shared" si="28"/>
        <v>New</v>
      </c>
      <c r="E790" t="e">
        <f>VLOOKUP(A:A,Reviewed!B:C,2,0)</f>
        <v>#N/A</v>
      </c>
      <c r="F790" t="str">
        <f t="shared" si="29"/>
        <v/>
      </c>
    </row>
    <row r="791" spans="1:6" x14ac:dyDescent="0.35">
      <c r="C791" t="str">
        <f>IFERROR(ROUNDUP(VLOOKUP(F791,'30Days-Baseline'!C:D,2,FALSE),0),"NotExist")</f>
        <v>NotExist</v>
      </c>
      <c r="D791" t="str">
        <f t="shared" si="28"/>
        <v>New</v>
      </c>
      <c r="E791" t="e">
        <f>VLOOKUP(A:A,Reviewed!B:C,2,0)</f>
        <v>#N/A</v>
      </c>
      <c r="F791" t="str">
        <f t="shared" si="29"/>
        <v/>
      </c>
    </row>
    <row r="792" spans="1:6" x14ac:dyDescent="0.35">
      <c r="C792" t="str">
        <f>IFERROR(ROUNDUP(VLOOKUP(F792,'30Days-Baseline'!C:D,2,FALSE),0),"NotExist")</f>
        <v>NotExist</v>
      </c>
      <c r="D792" t="str">
        <f t="shared" si="28"/>
        <v>New</v>
      </c>
      <c r="E792" t="e">
        <f>VLOOKUP(A:A,Reviewed!B:C,2,0)</f>
        <v>#N/A</v>
      </c>
      <c r="F792" t="str">
        <f t="shared" si="29"/>
        <v/>
      </c>
    </row>
    <row r="793" spans="1:6" x14ac:dyDescent="0.35">
      <c r="C793" t="str">
        <f>IFERROR(ROUNDUP(VLOOKUP(F793,'30Days-Baseline'!C:D,2,FALSE),0),"NotExist")</f>
        <v>NotExist</v>
      </c>
      <c r="D793" t="str">
        <f t="shared" si="28"/>
        <v>New</v>
      </c>
      <c r="E793" t="e">
        <f>VLOOKUP(A:A,Reviewed!B:C,2,0)</f>
        <v>#N/A</v>
      </c>
      <c r="F793" t="str">
        <f t="shared" si="29"/>
        <v/>
      </c>
    </row>
    <row r="794" spans="1:6" x14ac:dyDescent="0.35">
      <c r="C794" t="str">
        <f>IFERROR(ROUNDUP(VLOOKUP(F794,'30Days-Baseline'!C:D,2,FALSE),0),"NotExist")</f>
        <v>NotExist</v>
      </c>
      <c r="D794" t="str">
        <f t="shared" si="28"/>
        <v>New</v>
      </c>
      <c r="E794" t="e">
        <f>VLOOKUP(A:A,Reviewed!B:C,2,0)</f>
        <v>#N/A</v>
      </c>
      <c r="F794" t="str">
        <f t="shared" si="29"/>
        <v/>
      </c>
    </row>
    <row r="795" spans="1:6" x14ac:dyDescent="0.35">
      <c r="C795" t="str">
        <f>IFERROR(ROUNDUP(VLOOKUP(F795,'30Days-Baseline'!C:D,2,FALSE),0),"NotExist")</f>
        <v>NotExist</v>
      </c>
      <c r="D795" t="str">
        <f t="shared" si="28"/>
        <v>New</v>
      </c>
      <c r="E795" t="e">
        <f>VLOOKUP(A:A,Reviewed!B:C,2,0)</f>
        <v>#N/A</v>
      </c>
      <c r="F795" t="str">
        <f t="shared" si="29"/>
        <v/>
      </c>
    </row>
    <row r="796" spans="1:6" x14ac:dyDescent="0.35">
      <c r="C796" t="str">
        <f>IFERROR(ROUNDUP(VLOOKUP(F796,'30Days-Baseline'!C:D,2,FALSE),0),"NotExist")</f>
        <v>NotExist</v>
      </c>
      <c r="D796" t="str">
        <f t="shared" si="28"/>
        <v>New</v>
      </c>
      <c r="E796" t="e">
        <f>VLOOKUP(A:A,Reviewed!B:C,2,0)</f>
        <v>#N/A</v>
      </c>
      <c r="F796" t="str">
        <f t="shared" si="29"/>
        <v/>
      </c>
    </row>
    <row r="797" spans="1:6" x14ac:dyDescent="0.35">
      <c r="C797" t="str">
        <f>IFERROR(ROUNDUP(VLOOKUP(F797,'30Days-Baseline'!C:D,2,FALSE),0),"NotExist")</f>
        <v>NotExist</v>
      </c>
      <c r="D797" t="str">
        <f t="shared" si="28"/>
        <v>New</v>
      </c>
      <c r="E797" t="e">
        <f>VLOOKUP(A:A,Reviewed!B:C,2,0)</f>
        <v>#N/A</v>
      </c>
      <c r="F797" t="str">
        <f t="shared" si="29"/>
        <v/>
      </c>
    </row>
    <row r="798" spans="1:6" x14ac:dyDescent="0.35">
      <c r="C798" t="str">
        <f>IFERROR(ROUNDUP(VLOOKUP(F798,'30Days-Baseline'!C:D,2,FALSE),0),"NotExist")</f>
        <v>NotExist</v>
      </c>
      <c r="D798" t="str">
        <f t="shared" si="28"/>
        <v>New</v>
      </c>
      <c r="E798" t="e">
        <f>VLOOKUP(A:A,Reviewed!B:C,2,0)</f>
        <v>#N/A</v>
      </c>
      <c r="F798" t="str">
        <f t="shared" si="29"/>
        <v/>
      </c>
    </row>
    <row r="799" spans="1:6" x14ac:dyDescent="0.35">
      <c r="A799" s="4"/>
      <c r="C799" t="str">
        <f>IFERROR(ROUNDUP(VLOOKUP(F799,'30Days-Baseline'!C:D,2,FALSE),0),"NotExist")</f>
        <v>NotExist</v>
      </c>
      <c r="D799" t="str">
        <f t="shared" si="28"/>
        <v>New</v>
      </c>
      <c r="E799" t="e">
        <f>VLOOKUP(A:A,Reviewed!B:C,2,0)</f>
        <v>#N/A</v>
      </c>
      <c r="F799" t="str">
        <f t="shared" si="29"/>
        <v/>
      </c>
    </row>
    <row r="800" spans="1:6" x14ac:dyDescent="0.35">
      <c r="C800" t="str">
        <f>IFERROR(ROUNDUP(VLOOKUP(F800,'30Days-Baseline'!C:D,2,FALSE),0),"NotExist")</f>
        <v>NotExist</v>
      </c>
      <c r="D800" t="str">
        <f t="shared" si="28"/>
        <v>New</v>
      </c>
      <c r="E800" t="e">
        <f>VLOOKUP(A:A,Reviewed!B:C,2,0)</f>
        <v>#N/A</v>
      </c>
      <c r="F800" t="str">
        <f t="shared" si="29"/>
        <v/>
      </c>
    </row>
    <row r="801" spans="1:6" x14ac:dyDescent="0.35">
      <c r="C801" t="str">
        <f>IFERROR(ROUNDUP(VLOOKUP(F801,'30Days-Baseline'!C:D,2,FALSE),0),"NotExist")</f>
        <v>NotExist</v>
      </c>
      <c r="D801" t="str">
        <f t="shared" si="28"/>
        <v>New</v>
      </c>
      <c r="E801" t="e">
        <f>VLOOKUP(A:A,Reviewed!B:C,2,0)</f>
        <v>#N/A</v>
      </c>
      <c r="F801" t="str">
        <f t="shared" si="29"/>
        <v/>
      </c>
    </row>
    <row r="802" spans="1:6" x14ac:dyDescent="0.35">
      <c r="C802" t="str">
        <f>IFERROR(ROUNDUP(VLOOKUP(F802,'30Days-Baseline'!C:D,2,FALSE),0),"NotExist")</f>
        <v>NotExist</v>
      </c>
      <c r="D802" t="str">
        <f t="shared" si="28"/>
        <v>New</v>
      </c>
      <c r="E802" t="e">
        <f>VLOOKUP(A:A,Reviewed!B:C,2,0)</f>
        <v>#N/A</v>
      </c>
      <c r="F802" t="str">
        <f t="shared" si="29"/>
        <v/>
      </c>
    </row>
    <row r="803" spans="1:6" x14ac:dyDescent="0.35">
      <c r="A803" s="4"/>
      <c r="C803" t="str">
        <f>IFERROR(ROUNDUP(VLOOKUP(F803,'30Days-Baseline'!C:D,2,FALSE),0),"NotExist")</f>
        <v>NotExist</v>
      </c>
      <c r="D803" t="str">
        <f t="shared" si="28"/>
        <v>New</v>
      </c>
      <c r="E803" t="e">
        <f>VLOOKUP(A:A,Reviewed!B:C,2,0)</f>
        <v>#N/A</v>
      </c>
      <c r="F803" t="str">
        <f t="shared" si="29"/>
        <v/>
      </c>
    </row>
    <row r="804" spans="1:6" x14ac:dyDescent="0.35">
      <c r="C804" t="str">
        <f>IFERROR(ROUNDUP(VLOOKUP(F804,'30Days-Baseline'!C:D,2,FALSE),0),"NotExist")</f>
        <v>NotExist</v>
      </c>
      <c r="D804" t="str">
        <f t="shared" si="28"/>
        <v>New</v>
      </c>
      <c r="E804" t="e">
        <f>VLOOKUP(A:A,Reviewed!B:C,2,0)</f>
        <v>#N/A</v>
      </c>
      <c r="F804" t="str">
        <f t="shared" si="29"/>
        <v/>
      </c>
    </row>
    <row r="805" spans="1:6" x14ac:dyDescent="0.35">
      <c r="C805" t="str">
        <f>IFERROR(ROUNDUP(VLOOKUP(F805,'30Days-Baseline'!C:D,2,FALSE),0),"NotExist")</f>
        <v>NotExist</v>
      </c>
      <c r="D805" t="str">
        <f t="shared" si="28"/>
        <v>New</v>
      </c>
      <c r="E805" t="e">
        <f>VLOOKUP(A:A,Reviewed!B:C,2,0)</f>
        <v>#N/A</v>
      </c>
      <c r="F805" t="str">
        <f t="shared" si="29"/>
        <v/>
      </c>
    </row>
    <row r="806" spans="1:6" x14ac:dyDescent="0.35">
      <c r="C806" t="str">
        <f>IFERROR(ROUNDUP(VLOOKUP(F806,'30Days-Baseline'!C:D,2,FALSE),0),"NotExist")</f>
        <v>NotExist</v>
      </c>
      <c r="D806" t="str">
        <f t="shared" si="28"/>
        <v>New</v>
      </c>
      <c r="E806" t="e">
        <f>VLOOKUP(A:A,Reviewed!B:C,2,0)</f>
        <v>#N/A</v>
      </c>
      <c r="F806" t="str">
        <f t="shared" si="29"/>
        <v/>
      </c>
    </row>
    <row r="807" spans="1:6" x14ac:dyDescent="0.35">
      <c r="C807" t="str">
        <f>IFERROR(ROUNDUP(VLOOKUP(F807,'30Days-Baseline'!C:D,2,FALSE),0),"NotExist")</f>
        <v>NotExist</v>
      </c>
      <c r="D807" t="str">
        <f t="shared" si="28"/>
        <v>New</v>
      </c>
      <c r="E807" t="e">
        <f>VLOOKUP(A:A,Reviewed!B:C,2,0)</f>
        <v>#N/A</v>
      </c>
      <c r="F807" t="str">
        <f t="shared" si="29"/>
        <v/>
      </c>
    </row>
    <row r="808" spans="1:6" x14ac:dyDescent="0.35">
      <c r="C808" t="str">
        <f>IFERROR(ROUNDUP(VLOOKUP(F808,'30Days-Baseline'!C:D,2,FALSE),0),"NotExist")</f>
        <v>NotExist</v>
      </c>
      <c r="D808" t="str">
        <f t="shared" si="28"/>
        <v>New</v>
      </c>
      <c r="E808" t="e">
        <f>VLOOKUP(A:A,Reviewed!B:C,2,0)</f>
        <v>#N/A</v>
      </c>
      <c r="F808" t="str">
        <f t="shared" si="29"/>
        <v/>
      </c>
    </row>
    <row r="809" spans="1:6" x14ac:dyDescent="0.35">
      <c r="C809" t="str">
        <f>IFERROR(ROUNDUP(VLOOKUP(F809,'30Days-Baseline'!C:D,2,FALSE),0),"NotExist")</f>
        <v>NotExist</v>
      </c>
      <c r="D809" t="str">
        <f t="shared" si="28"/>
        <v>New</v>
      </c>
      <c r="E809" t="e">
        <f>VLOOKUP(A:A,Reviewed!B:C,2,0)</f>
        <v>#N/A</v>
      </c>
      <c r="F809" t="str">
        <f t="shared" si="29"/>
        <v/>
      </c>
    </row>
    <row r="810" spans="1:6" x14ac:dyDescent="0.35">
      <c r="C810" t="str">
        <f>IFERROR(ROUNDUP(VLOOKUP(F810,'30Days-Baseline'!C:D,2,FALSE),0),"NotExist")</f>
        <v>NotExist</v>
      </c>
      <c r="D810" t="str">
        <f t="shared" si="28"/>
        <v>New</v>
      </c>
      <c r="E810" t="e">
        <f>VLOOKUP(A:A,Reviewed!B:C,2,0)</f>
        <v>#N/A</v>
      </c>
      <c r="F810" t="str">
        <f t="shared" si="29"/>
        <v/>
      </c>
    </row>
    <row r="811" spans="1:6" x14ac:dyDescent="0.35">
      <c r="C811" t="str">
        <f>IFERROR(ROUNDUP(VLOOKUP(F811,'30Days-Baseline'!C:D,2,FALSE),0),"NotExist")</f>
        <v>NotExist</v>
      </c>
      <c r="D811" t="str">
        <f t="shared" si="28"/>
        <v>New</v>
      </c>
      <c r="E811" t="e">
        <f>VLOOKUP(A:A,Reviewed!B:C,2,0)</f>
        <v>#N/A</v>
      </c>
      <c r="F811" t="str">
        <f t="shared" si="29"/>
        <v/>
      </c>
    </row>
    <row r="812" spans="1:6" x14ac:dyDescent="0.35">
      <c r="C812" t="str">
        <f>IFERROR(ROUNDUP(VLOOKUP(F812,'30Days-Baseline'!C:D,2,FALSE),0),"NotExist")</f>
        <v>NotExist</v>
      </c>
      <c r="D812" t="str">
        <f t="shared" si="28"/>
        <v>New</v>
      </c>
      <c r="E812" t="e">
        <f>VLOOKUP(A:A,Reviewed!B:C,2,0)</f>
        <v>#N/A</v>
      </c>
      <c r="F812" t="str">
        <f t="shared" si="29"/>
        <v/>
      </c>
    </row>
    <row r="813" spans="1:6" x14ac:dyDescent="0.35">
      <c r="C813" t="str">
        <f>IFERROR(ROUNDUP(VLOOKUP(F813,'30Days-Baseline'!C:D,2,FALSE),0),"NotExist")</f>
        <v>NotExist</v>
      </c>
      <c r="D813" t="str">
        <f t="shared" si="28"/>
        <v>New</v>
      </c>
      <c r="E813" t="e">
        <f>VLOOKUP(A:A,Reviewed!B:C,2,0)</f>
        <v>#N/A</v>
      </c>
      <c r="F813" t="str">
        <f t="shared" si="29"/>
        <v/>
      </c>
    </row>
    <row r="814" spans="1:6" x14ac:dyDescent="0.35">
      <c r="C814" t="str">
        <f>IFERROR(ROUNDUP(VLOOKUP(F814,'30Days-Baseline'!C:D,2,FALSE),0),"NotExist")</f>
        <v>NotExist</v>
      </c>
      <c r="D814" t="str">
        <f t="shared" si="28"/>
        <v>New</v>
      </c>
      <c r="E814" t="e">
        <f>VLOOKUP(A:A,Reviewed!B:C,2,0)</f>
        <v>#N/A</v>
      </c>
      <c r="F814" t="str">
        <f t="shared" si="29"/>
        <v/>
      </c>
    </row>
    <row r="815" spans="1:6" x14ac:dyDescent="0.35">
      <c r="C815" t="str">
        <f>IFERROR(ROUNDUP(VLOOKUP(F815,'30Days-Baseline'!C:D,2,FALSE),0),"NotExist")</f>
        <v>NotExist</v>
      </c>
      <c r="D815" t="str">
        <f t="shared" si="28"/>
        <v>New</v>
      </c>
      <c r="E815" t="e">
        <f>VLOOKUP(A:A,Reviewed!B:C,2,0)</f>
        <v>#N/A</v>
      </c>
      <c r="F815" t="str">
        <f t="shared" si="29"/>
        <v/>
      </c>
    </row>
    <row r="816" spans="1:6" x14ac:dyDescent="0.35">
      <c r="C816" t="str">
        <f>IFERROR(ROUNDUP(VLOOKUP(F816,'30Days-Baseline'!C:D,2,FALSE),0),"NotExist")</f>
        <v>NotExist</v>
      </c>
      <c r="D816" t="str">
        <f t="shared" si="28"/>
        <v>New</v>
      </c>
      <c r="E816" t="e">
        <f>VLOOKUP(A:A,Reviewed!B:C,2,0)</f>
        <v>#N/A</v>
      </c>
      <c r="F816" t="str">
        <f t="shared" si="29"/>
        <v/>
      </c>
    </row>
    <row r="817" spans="3:6" x14ac:dyDescent="0.35">
      <c r="C817" t="str">
        <f>IFERROR(ROUNDUP(VLOOKUP(F817,'30Days-Baseline'!C:D,2,FALSE),0),"NotExist")</f>
        <v>NotExist</v>
      </c>
      <c r="D817" t="str">
        <f t="shared" si="28"/>
        <v>New</v>
      </c>
      <c r="E817" t="e">
        <f>VLOOKUP(A:A,Reviewed!B:C,2,0)</f>
        <v>#N/A</v>
      </c>
      <c r="F817" t="str">
        <f t="shared" si="29"/>
        <v/>
      </c>
    </row>
    <row r="818" spans="3:6" x14ac:dyDescent="0.35">
      <c r="C818" t="str">
        <f>IFERROR(ROUNDUP(VLOOKUP(F818,'30Days-Baseline'!C:D,2,FALSE),0),"NotExist")</f>
        <v>NotExist</v>
      </c>
      <c r="D818" t="str">
        <f t="shared" si="28"/>
        <v>New</v>
      </c>
      <c r="E818" t="e">
        <f>VLOOKUP(A:A,Reviewed!B:C,2,0)</f>
        <v>#N/A</v>
      </c>
      <c r="F818" t="str">
        <f t="shared" si="29"/>
        <v/>
      </c>
    </row>
    <row r="819" spans="3:6" x14ac:dyDescent="0.35">
      <c r="C819" t="str">
        <f>IFERROR(ROUNDUP(VLOOKUP(F819,'30Days-Baseline'!C:D,2,FALSE),0),"NotExist")</f>
        <v>NotExist</v>
      </c>
      <c r="D819" t="str">
        <f t="shared" si="28"/>
        <v>New</v>
      </c>
      <c r="E819" t="e">
        <f>VLOOKUP(A:A,Reviewed!B:C,2,0)</f>
        <v>#N/A</v>
      </c>
      <c r="F819" t="str">
        <f t="shared" si="29"/>
        <v/>
      </c>
    </row>
    <row r="820" spans="3:6" x14ac:dyDescent="0.35">
      <c r="C820" t="str">
        <f>IFERROR(ROUNDUP(VLOOKUP(F820,'30Days-Baseline'!C:D,2,FALSE),0),"NotExist")</f>
        <v>NotExist</v>
      </c>
      <c r="D820" t="str">
        <f t="shared" si="28"/>
        <v>New</v>
      </c>
      <c r="E820" t="e">
        <f>VLOOKUP(A:A,Reviewed!B:C,2,0)</f>
        <v>#N/A</v>
      </c>
      <c r="F820" t="str">
        <f t="shared" si="29"/>
        <v/>
      </c>
    </row>
    <row r="821" spans="3:6" x14ac:dyDescent="0.35">
      <c r="C821" t="str">
        <f>IFERROR(ROUNDUP(VLOOKUP(F821,'30Days-Baseline'!C:D,2,FALSE),0),"NotExist")</f>
        <v>NotExist</v>
      </c>
      <c r="D821" t="str">
        <f t="shared" si="28"/>
        <v>New</v>
      </c>
      <c r="E821" t="e">
        <f>VLOOKUP(A:A,Reviewed!B:C,2,0)</f>
        <v>#N/A</v>
      </c>
      <c r="F821" t="str">
        <f t="shared" si="29"/>
        <v/>
      </c>
    </row>
    <row r="822" spans="3:6" x14ac:dyDescent="0.35">
      <c r="C822" t="str">
        <f>IFERROR(ROUNDUP(VLOOKUP(F822,'30Days-Baseline'!C:D,2,FALSE),0),"NotExist")</f>
        <v>NotExist</v>
      </c>
      <c r="D822" t="str">
        <f t="shared" si="28"/>
        <v>New</v>
      </c>
      <c r="E822" t="e">
        <f>VLOOKUP(A:A,Reviewed!B:C,2,0)</f>
        <v>#N/A</v>
      </c>
      <c r="F822" t="str">
        <f t="shared" si="29"/>
        <v/>
      </c>
    </row>
    <row r="823" spans="3:6" x14ac:dyDescent="0.35">
      <c r="C823" t="str">
        <f>IFERROR(ROUNDUP(VLOOKUP(F823,'30Days-Baseline'!C:D,2,FALSE),0),"NotExist")</f>
        <v>NotExist</v>
      </c>
      <c r="D823" t="str">
        <f t="shared" si="28"/>
        <v>New</v>
      </c>
      <c r="E823" t="e">
        <f>VLOOKUP(A:A,Reviewed!B:C,2,0)</f>
        <v>#N/A</v>
      </c>
      <c r="F823" t="str">
        <f t="shared" si="29"/>
        <v/>
      </c>
    </row>
    <row r="824" spans="3:6" x14ac:dyDescent="0.35">
      <c r="C824" t="str">
        <f>IFERROR(ROUNDUP(VLOOKUP(F824,'30Days-Baseline'!C:D,2,FALSE),0),"NotExist")</f>
        <v>NotExist</v>
      </c>
      <c r="D824" t="str">
        <f t="shared" si="28"/>
        <v>New</v>
      </c>
      <c r="E824" t="e">
        <f>VLOOKUP(A:A,Reviewed!B:C,2,0)</f>
        <v>#N/A</v>
      </c>
      <c r="F824" t="str">
        <f t="shared" si="29"/>
        <v/>
      </c>
    </row>
    <row r="825" spans="3:6" x14ac:dyDescent="0.35">
      <c r="C825" t="str">
        <f>IFERROR(ROUNDUP(VLOOKUP(F825,'30Days-Baseline'!C:D,2,FALSE),0),"NotExist")</f>
        <v>NotExist</v>
      </c>
      <c r="D825" t="str">
        <f t="shared" si="28"/>
        <v>New</v>
      </c>
      <c r="E825" t="e">
        <f>VLOOKUP(A:A,Reviewed!B:C,2,0)</f>
        <v>#N/A</v>
      </c>
      <c r="F825" t="str">
        <f t="shared" si="29"/>
        <v/>
      </c>
    </row>
    <row r="826" spans="3:6" x14ac:dyDescent="0.35">
      <c r="C826" t="str">
        <f>IFERROR(ROUNDUP(VLOOKUP(F826,'30Days-Baseline'!C:D,2,FALSE),0),"NotExist")</f>
        <v>NotExist</v>
      </c>
      <c r="D826" t="str">
        <f t="shared" si="28"/>
        <v>New</v>
      </c>
      <c r="E826" t="e">
        <f>VLOOKUP(A:A,Reviewed!B:C,2,0)</f>
        <v>#N/A</v>
      </c>
      <c r="F826" t="str">
        <f t="shared" si="29"/>
        <v/>
      </c>
    </row>
    <row r="827" spans="3:6" x14ac:dyDescent="0.35">
      <c r="C827" t="str">
        <f>IFERROR(ROUNDUP(VLOOKUP(F827,'30Days-Baseline'!C:D,2,FALSE),0),"NotExist")</f>
        <v>NotExist</v>
      </c>
      <c r="D827" t="str">
        <f t="shared" si="28"/>
        <v>New</v>
      </c>
      <c r="E827" t="e">
        <f>VLOOKUP(A:A,Reviewed!B:C,2,0)</f>
        <v>#N/A</v>
      </c>
      <c r="F827" t="str">
        <f t="shared" si="29"/>
        <v/>
      </c>
    </row>
    <row r="828" spans="3:6" x14ac:dyDescent="0.35">
      <c r="C828" t="str">
        <f>IFERROR(ROUNDUP(VLOOKUP(F828,'30Days-Baseline'!C:D,2,FALSE),0),"NotExist")</f>
        <v>NotExist</v>
      </c>
      <c r="D828" t="str">
        <f t="shared" si="28"/>
        <v>New</v>
      </c>
      <c r="E828" t="e">
        <f>VLOOKUP(A:A,Reviewed!B:C,2,0)</f>
        <v>#N/A</v>
      </c>
      <c r="F828" t="str">
        <f t="shared" si="29"/>
        <v/>
      </c>
    </row>
    <row r="829" spans="3:6" x14ac:dyDescent="0.35">
      <c r="C829" t="str">
        <f>IFERROR(ROUNDUP(VLOOKUP(F829,'30Days-Baseline'!C:D,2,FALSE),0),"NotExist")</f>
        <v>NotExist</v>
      </c>
      <c r="D829" t="str">
        <f t="shared" si="28"/>
        <v>New</v>
      </c>
      <c r="E829" t="e">
        <f>VLOOKUP(A:A,Reviewed!B:C,2,0)</f>
        <v>#N/A</v>
      </c>
      <c r="F829" t="str">
        <f t="shared" si="29"/>
        <v/>
      </c>
    </row>
    <row r="830" spans="3:6" x14ac:dyDescent="0.35">
      <c r="C830" t="str">
        <f>IFERROR(ROUNDUP(VLOOKUP(F830,'30Days-Baseline'!C:D,2,FALSE),0),"NotExist")</f>
        <v>NotExist</v>
      </c>
      <c r="D830" t="str">
        <f t="shared" si="28"/>
        <v>New</v>
      </c>
      <c r="E830" t="e">
        <f>VLOOKUP(A:A,Reviewed!B:C,2,0)</f>
        <v>#N/A</v>
      </c>
      <c r="F830" t="str">
        <f t="shared" si="29"/>
        <v/>
      </c>
    </row>
    <row r="831" spans="3:6" x14ac:dyDescent="0.35">
      <c r="C831" t="str">
        <f>IFERROR(ROUNDUP(VLOOKUP(F831,'30Days-Baseline'!C:D,2,FALSE),0),"NotExist")</f>
        <v>NotExist</v>
      </c>
      <c r="D831" t="str">
        <f t="shared" si="28"/>
        <v>New</v>
      </c>
      <c r="E831" t="e">
        <f>VLOOKUP(A:A,Reviewed!B:C,2,0)</f>
        <v>#N/A</v>
      </c>
      <c r="F831" t="str">
        <f t="shared" si="29"/>
        <v/>
      </c>
    </row>
    <row r="832" spans="3:6" x14ac:dyDescent="0.35">
      <c r="C832" t="str">
        <f>IFERROR(ROUNDUP(VLOOKUP(F832,'30Days-Baseline'!C:D,2,FALSE),0),"NotExist")</f>
        <v>NotExist</v>
      </c>
      <c r="D832" t="str">
        <f t="shared" si="28"/>
        <v>New</v>
      </c>
      <c r="E832" t="e">
        <f>VLOOKUP(A:A,Reviewed!B:C,2,0)</f>
        <v>#N/A</v>
      </c>
      <c r="F832" t="str">
        <f t="shared" si="29"/>
        <v/>
      </c>
    </row>
    <row r="833" spans="3:6" x14ac:dyDescent="0.35">
      <c r="C833" t="str">
        <f>IFERROR(ROUNDUP(VLOOKUP(F833,'30Days-Baseline'!C:D,2,FALSE),0),"NotExist")</f>
        <v>NotExist</v>
      </c>
      <c r="D833" t="str">
        <f t="shared" si="28"/>
        <v>New</v>
      </c>
      <c r="E833" t="e">
        <f>VLOOKUP(A:A,Reviewed!B:C,2,0)</f>
        <v>#N/A</v>
      </c>
      <c r="F833" t="str">
        <f t="shared" si="29"/>
        <v/>
      </c>
    </row>
    <row r="834" spans="3:6" x14ac:dyDescent="0.35">
      <c r="C834" t="str">
        <f>IFERROR(ROUNDUP(VLOOKUP(F834,'30Days-Baseline'!C:D,2,FALSE),0),"NotExist")</f>
        <v>NotExist</v>
      </c>
      <c r="D834" t="str">
        <f t="shared" si="28"/>
        <v>New</v>
      </c>
      <c r="E834" t="e">
        <f>VLOOKUP(A:A,Reviewed!B:C,2,0)</f>
        <v>#N/A</v>
      </c>
      <c r="F834" t="str">
        <f t="shared" si="29"/>
        <v/>
      </c>
    </row>
    <row r="835" spans="3:6" x14ac:dyDescent="0.35">
      <c r="C835" t="str">
        <f>IFERROR(ROUNDUP(VLOOKUP(F835,'30Days-Baseline'!C:D,2,FALSE),0),"NotExist")</f>
        <v>NotExist</v>
      </c>
      <c r="D835" t="str">
        <f t="shared" si="28"/>
        <v>New</v>
      </c>
      <c r="E835" t="e">
        <f>VLOOKUP(A:A,Reviewed!B:C,2,0)</f>
        <v>#N/A</v>
      </c>
      <c r="F835" t="str">
        <f t="shared" si="29"/>
        <v/>
      </c>
    </row>
    <row r="836" spans="3:6" x14ac:dyDescent="0.35">
      <c r="C836" t="str">
        <f>IFERROR(ROUNDUP(VLOOKUP(F836,'30Days-Baseline'!C:D,2,FALSE),0),"NotExist")</f>
        <v>NotExist</v>
      </c>
      <c r="D836" t="str">
        <f t="shared" si="28"/>
        <v>New</v>
      </c>
      <c r="E836" t="e">
        <f>VLOOKUP(A:A,Reviewed!B:C,2,0)</f>
        <v>#N/A</v>
      </c>
      <c r="F836" t="str">
        <f t="shared" si="29"/>
        <v/>
      </c>
    </row>
    <row r="837" spans="3:6" x14ac:dyDescent="0.35">
      <c r="C837" t="str">
        <f>IFERROR(ROUNDUP(VLOOKUP(F837,'30Days-Baseline'!C:D,2,FALSE),0),"NotExist")</f>
        <v>NotExist</v>
      </c>
      <c r="D837" t="str">
        <f t="shared" si="28"/>
        <v>New</v>
      </c>
      <c r="E837" t="e">
        <f>VLOOKUP(A:A,Reviewed!B:C,2,0)</f>
        <v>#N/A</v>
      </c>
      <c r="F837" t="str">
        <f t="shared" si="29"/>
        <v/>
      </c>
    </row>
    <row r="838" spans="3:6" x14ac:dyDescent="0.35">
      <c r="C838" t="str">
        <f>IFERROR(ROUNDUP(VLOOKUP(F838,'30Days-Baseline'!C:D,2,FALSE),0),"NotExist")</f>
        <v>NotExist</v>
      </c>
      <c r="D838" t="str">
        <f t="shared" si="28"/>
        <v>New</v>
      </c>
      <c r="E838" t="e">
        <f>VLOOKUP(A:A,Reviewed!B:C,2,0)</f>
        <v>#N/A</v>
      </c>
      <c r="F838" t="str">
        <f t="shared" si="29"/>
        <v/>
      </c>
    </row>
    <row r="839" spans="3:6" x14ac:dyDescent="0.35">
      <c r="C839" t="str">
        <f>IFERROR(ROUNDUP(VLOOKUP(F839,'30Days-Baseline'!C:D,2,FALSE),0),"NotExist")</f>
        <v>NotExist</v>
      </c>
      <c r="D839" t="str">
        <f t="shared" si="28"/>
        <v>New</v>
      </c>
      <c r="E839" t="e">
        <f>VLOOKUP(A:A,Reviewed!B:C,2,0)</f>
        <v>#N/A</v>
      </c>
      <c r="F839" t="str">
        <f t="shared" si="29"/>
        <v/>
      </c>
    </row>
    <row r="840" spans="3:6" x14ac:dyDescent="0.35">
      <c r="C840" t="str">
        <f>IFERROR(ROUNDUP(VLOOKUP(F840,'30Days-Baseline'!C:D,2,FALSE),0),"NotExist")</f>
        <v>NotExist</v>
      </c>
      <c r="D840" t="str">
        <f t="shared" si="28"/>
        <v>New</v>
      </c>
      <c r="E840" t="e">
        <f>VLOOKUP(A:A,Reviewed!B:C,2,0)</f>
        <v>#N/A</v>
      </c>
      <c r="F840" t="str">
        <f t="shared" si="29"/>
        <v/>
      </c>
    </row>
    <row r="841" spans="3:6" x14ac:dyDescent="0.35">
      <c r="C841" t="str">
        <f>IFERROR(ROUNDUP(VLOOKUP(F841,'30Days-Baseline'!C:D,2,FALSE),0),"NotExist")</f>
        <v>NotExist</v>
      </c>
      <c r="D841" t="str">
        <f t="shared" si="28"/>
        <v>New</v>
      </c>
      <c r="E841" t="e">
        <f>VLOOKUP(A:A,Reviewed!B:C,2,0)</f>
        <v>#N/A</v>
      </c>
      <c r="F841" t="str">
        <f t="shared" si="29"/>
        <v/>
      </c>
    </row>
    <row r="842" spans="3:6" x14ac:dyDescent="0.35">
      <c r="C842" t="str">
        <f>IFERROR(ROUNDUP(VLOOKUP(F842,'30Days-Baseline'!C:D,2,FALSE),0),"NotExist")</f>
        <v>NotExist</v>
      </c>
      <c r="D842" t="str">
        <f t="shared" si="28"/>
        <v>New</v>
      </c>
      <c r="E842" t="e">
        <f>VLOOKUP(A:A,Reviewed!B:C,2,0)</f>
        <v>#N/A</v>
      </c>
      <c r="F842" t="str">
        <f t="shared" si="29"/>
        <v/>
      </c>
    </row>
    <row r="843" spans="3:6" x14ac:dyDescent="0.35">
      <c r="C843" t="str">
        <f>IFERROR(ROUNDUP(VLOOKUP(F843,'30Days-Baseline'!C:D,2,FALSE),0),"NotExist")</f>
        <v>NotExist</v>
      </c>
      <c r="D843" t="str">
        <f t="shared" si="28"/>
        <v>New</v>
      </c>
      <c r="E843" t="e">
        <f>VLOOKUP(A:A,Reviewed!B:C,2,0)</f>
        <v>#N/A</v>
      </c>
      <c r="F843" t="str">
        <f t="shared" si="29"/>
        <v/>
      </c>
    </row>
    <row r="844" spans="3:6" x14ac:dyDescent="0.35">
      <c r="C844" t="str">
        <f>IFERROR(ROUNDUP(VLOOKUP(F844,'30Days-Baseline'!C:D,2,FALSE),0),"NotExist")</f>
        <v>NotExist</v>
      </c>
      <c r="D844" t="str">
        <f t="shared" si="28"/>
        <v>New</v>
      </c>
      <c r="E844" t="e">
        <f>VLOOKUP(A:A,Reviewed!B:C,2,0)</f>
        <v>#N/A</v>
      </c>
      <c r="F844" t="str">
        <f t="shared" si="29"/>
        <v/>
      </c>
    </row>
    <row r="845" spans="3:6" x14ac:dyDescent="0.35">
      <c r="C845" t="str">
        <f>IFERROR(ROUNDUP(VLOOKUP(F845,'30Days-Baseline'!C:D,2,FALSE),0),"NotExist")</f>
        <v>NotExist</v>
      </c>
      <c r="D845" t="str">
        <f t="shared" si="28"/>
        <v>New</v>
      </c>
      <c r="E845" t="e">
        <f>VLOOKUP(A:A,Reviewed!B:C,2,0)</f>
        <v>#N/A</v>
      </c>
      <c r="F845" t="str">
        <f t="shared" si="29"/>
        <v/>
      </c>
    </row>
    <row r="846" spans="3:6" x14ac:dyDescent="0.35">
      <c r="C846" t="str">
        <f>IFERROR(ROUNDUP(VLOOKUP(F846,'30Days-Baseline'!C:D,2,FALSE),0),"NotExist")</f>
        <v>NotExist</v>
      </c>
      <c r="D846" t="str">
        <f t="shared" si="28"/>
        <v>New</v>
      </c>
      <c r="E846" t="e">
        <f>VLOOKUP(A:A,Reviewed!B:C,2,0)</f>
        <v>#N/A</v>
      </c>
      <c r="F846" t="str">
        <f t="shared" si="29"/>
        <v/>
      </c>
    </row>
    <row r="847" spans="3:6" x14ac:dyDescent="0.35">
      <c r="C847" t="str">
        <f>IFERROR(ROUNDUP(VLOOKUP(F847,'30Days-Baseline'!C:D,2,FALSE),0),"NotExist")</f>
        <v>NotExist</v>
      </c>
      <c r="D847" t="str">
        <f t="shared" si="28"/>
        <v>New</v>
      </c>
      <c r="E847" t="e">
        <f>VLOOKUP(A:A,Reviewed!B:C,2,0)</f>
        <v>#N/A</v>
      </c>
      <c r="F847" t="str">
        <f t="shared" si="29"/>
        <v/>
      </c>
    </row>
    <row r="848" spans="3:6" x14ac:dyDescent="0.35">
      <c r="C848" t="str">
        <f>IFERROR(ROUNDUP(VLOOKUP(F848,'30Days-Baseline'!C:D,2,FALSE),0),"NotExist")</f>
        <v>NotExist</v>
      </c>
      <c r="D848" t="str">
        <f t="shared" si="28"/>
        <v>New</v>
      </c>
      <c r="E848" t="e">
        <f>VLOOKUP(A:A,Reviewed!B:C,2,0)</f>
        <v>#N/A</v>
      </c>
      <c r="F848" t="str">
        <f t="shared" si="29"/>
        <v/>
      </c>
    </row>
    <row r="849" spans="3:6" x14ac:dyDescent="0.35">
      <c r="C849" t="str">
        <f>IFERROR(ROUNDUP(VLOOKUP(F849,'30Days-Baseline'!C:D,2,FALSE),0),"NotExist")</f>
        <v>NotExist</v>
      </c>
      <c r="D849" t="str">
        <f t="shared" si="28"/>
        <v>New</v>
      </c>
      <c r="E849" t="e">
        <f>VLOOKUP(A:A,Reviewed!B:C,2,0)</f>
        <v>#N/A</v>
      </c>
      <c r="F849" t="str">
        <f t="shared" si="29"/>
        <v/>
      </c>
    </row>
    <row r="850" spans="3:6" x14ac:dyDescent="0.35">
      <c r="C850" t="str">
        <f>IFERROR(ROUNDUP(VLOOKUP(F850,'30Days-Baseline'!C:D,2,FALSE),0),"NotExist")</f>
        <v>NotExist</v>
      </c>
      <c r="D850" t="str">
        <f t="shared" si="28"/>
        <v>New</v>
      </c>
      <c r="E850" t="e">
        <f>VLOOKUP(A:A,Reviewed!B:C,2,0)</f>
        <v>#N/A</v>
      </c>
      <c r="F850" t="str">
        <f t="shared" si="29"/>
        <v/>
      </c>
    </row>
    <row r="851" spans="3:6" x14ac:dyDescent="0.35">
      <c r="C851" t="str">
        <f>IFERROR(ROUNDUP(VLOOKUP(F851,'30Days-Baseline'!C:D,2,FALSE),0),"NotExist")</f>
        <v>NotExist</v>
      </c>
      <c r="D851" t="str">
        <f t="shared" ref="D851:D914" si="30">IFERROR(IF(B851&gt;ROUNDUP(C851,0),"Elevated","Ok"),"New")</f>
        <v>New</v>
      </c>
      <c r="E851" t="e">
        <f>VLOOKUP(A:A,Reviewed!B:C,2,0)</f>
        <v>#N/A</v>
      </c>
      <c r="F851" t="str">
        <f t="shared" ref="F851:F914" si="31">LEFT(A851,255)</f>
        <v/>
      </c>
    </row>
    <row r="852" spans="3:6" x14ac:dyDescent="0.35">
      <c r="C852" t="str">
        <f>IFERROR(ROUNDUP(VLOOKUP(F852,'30Days-Baseline'!C:D,2,FALSE),0),"NotExist")</f>
        <v>NotExist</v>
      </c>
      <c r="D852" t="str">
        <f t="shared" si="30"/>
        <v>New</v>
      </c>
      <c r="E852" t="e">
        <f>VLOOKUP(A:A,Reviewed!B:C,2,0)</f>
        <v>#N/A</v>
      </c>
      <c r="F852" t="str">
        <f t="shared" si="31"/>
        <v/>
      </c>
    </row>
    <row r="853" spans="3:6" x14ac:dyDescent="0.35">
      <c r="C853" t="str">
        <f>IFERROR(ROUNDUP(VLOOKUP(F853,'30Days-Baseline'!C:D,2,FALSE),0),"NotExist")</f>
        <v>NotExist</v>
      </c>
      <c r="D853" t="str">
        <f t="shared" si="30"/>
        <v>New</v>
      </c>
      <c r="E853" t="e">
        <f>VLOOKUP(A:A,Reviewed!B:C,2,0)</f>
        <v>#N/A</v>
      </c>
      <c r="F853" t="str">
        <f t="shared" si="31"/>
        <v/>
      </c>
    </row>
    <row r="854" spans="3:6" x14ac:dyDescent="0.35">
      <c r="C854" t="str">
        <f>IFERROR(ROUNDUP(VLOOKUP(F854,'30Days-Baseline'!C:D,2,FALSE),0),"NotExist")</f>
        <v>NotExist</v>
      </c>
      <c r="D854" t="str">
        <f t="shared" si="30"/>
        <v>New</v>
      </c>
      <c r="E854" t="e">
        <f>VLOOKUP(A:A,Reviewed!B:C,2,0)</f>
        <v>#N/A</v>
      </c>
      <c r="F854" t="str">
        <f t="shared" si="31"/>
        <v/>
      </c>
    </row>
    <row r="855" spans="3:6" x14ac:dyDescent="0.35">
      <c r="C855" t="str">
        <f>IFERROR(ROUNDUP(VLOOKUP(F855,'30Days-Baseline'!C:D,2,FALSE),0),"NotExist")</f>
        <v>NotExist</v>
      </c>
      <c r="D855" t="str">
        <f t="shared" si="30"/>
        <v>New</v>
      </c>
      <c r="E855" t="e">
        <f>VLOOKUP(A:A,Reviewed!B:C,2,0)</f>
        <v>#N/A</v>
      </c>
      <c r="F855" t="str">
        <f t="shared" si="31"/>
        <v/>
      </c>
    </row>
    <row r="856" spans="3:6" x14ac:dyDescent="0.35">
      <c r="C856" t="str">
        <f>IFERROR(ROUNDUP(VLOOKUP(F856,'30Days-Baseline'!C:D,2,FALSE),0),"NotExist")</f>
        <v>NotExist</v>
      </c>
      <c r="D856" t="str">
        <f t="shared" si="30"/>
        <v>New</v>
      </c>
      <c r="E856" t="e">
        <f>VLOOKUP(A:A,Reviewed!B:C,2,0)</f>
        <v>#N/A</v>
      </c>
      <c r="F856" t="str">
        <f t="shared" si="31"/>
        <v/>
      </c>
    </row>
    <row r="857" spans="3:6" x14ac:dyDescent="0.35">
      <c r="C857" t="str">
        <f>IFERROR(ROUNDUP(VLOOKUP(F857,'30Days-Baseline'!C:D,2,FALSE),0),"NotExist")</f>
        <v>NotExist</v>
      </c>
      <c r="D857" t="str">
        <f t="shared" si="30"/>
        <v>New</v>
      </c>
      <c r="E857" t="e">
        <f>VLOOKUP(A:A,Reviewed!B:C,2,0)</f>
        <v>#N/A</v>
      </c>
      <c r="F857" t="str">
        <f t="shared" si="31"/>
        <v/>
      </c>
    </row>
    <row r="858" spans="3:6" x14ac:dyDescent="0.35">
      <c r="C858" t="str">
        <f>IFERROR(ROUNDUP(VLOOKUP(F858,'30Days-Baseline'!C:D,2,FALSE),0),"NotExist")</f>
        <v>NotExist</v>
      </c>
      <c r="D858" t="str">
        <f t="shared" si="30"/>
        <v>New</v>
      </c>
      <c r="E858" t="e">
        <f>VLOOKUP(A:A,Reviewed!B:C,2,0)</f>
        <v>#N/A</v>
      </c>
      <c r="F858" t="str">
        <f t="shared" si="31"/>
        <v/>
      </c>
    </row>
    <row r="859" spans="3:6" x14ac:dyDescent="0.35">
      <c r="C859" t="str">
        <f>IFERROR(ROUNDUP(VLOOKUP(F859,'30Days-Baseline'!C:D,2,FALSE),0),"NotExist")</f>
        <v>NotExist</v>
      </c>
      <c r="D859" t="str">
        <f t="shared" si="30"/>
        <v>New</v>
      </c>
      <c r="E859" t="e">
        <f>VLOOKUP(A:A,Reviewed!B:C,2,0)</f>
        <v>#N/A</v>
      </c>
      <c r="F859" t="str">
        <f t="shared" si="31"/>
        <v/>
      </c>
    </row>
    <row r="860" spans="3:6" x14ac:dyDescent="0.35">
      <c r="C860" t="str">
        <f>IFERROR(ROUNDUP(VLOOKUP(F860,'30Days-Baseline'!C:D,2,FALSE),0),"NotExist")</f>
        <v>NotExist</v>
      </c>
      <c r="D860" t="str">
        <f t="shared" si="30"/>
        <v>New</v>
      </c>
      <c r="E860" t="e">
        <f>VLOOKUP(A:A,Reviewed!B:C,2,0)</f>
        <v>#N/A</v>
      </c>
      <c r="F860" t="str">
        <f t="shared" si="31"/>
        <v/>
      </c>
    </row>
    <row r="861" spans="3:6" x14ac:dyDescent="0.35">
      <c r="C861" t="str">
        <f>IFERROR(ROUNDUP(VLOOKUP(F861,'30Days-Baseline'!C:D,2,FALSE),0),"NotExist")</f>
        <v>NotExist</v>
      </c>
      <c r="D861" t="str">
        <f t="shared" si="30"/>
        <v>New</v>
      </c>
      <c r="E861" t="e">
        <f>VLOOKUP(A:A,Reviewed!B:C,2,0)</f>
        <v>#N/A</v>
      </c>
      <c r="F861" t="str">
        <f t="shared" si="31"/>
        <v/>
      </c>
    </row>
    <row r="862" spans="3:6" x14ac:dyDescent="0.35">
      <c r="C862" t="str">
        <f>IFERROR(ROUNDUP(VLOOKUP(F862,'30Days-Baseline'!C:D,2,FALSE),0),"NotExist")</f>
        <v>NotExist</v>
      </c>
      <c r="D862" t="str">
        <f t="shared" si="30"/>
        <v>New</v>
      </c>
      <c r="E862" t="e">
        <f>VLOOKUP(A:A,Reviewed!B:C,2,0)</f>
        <v>#N/A</v>
      </c>
      <c r="F862" t="str">
        <f t="shared" si="31"/>
        <v/>
      </c>
    </row>
    <row r="863" spans="3:6" x14ac:dyDescent="0.35">
      <c r="C863" t="str">
        <f>IFERROR(ROUNDUP(VLOOKUP(F863,'30Days-Baseline'!C:D,2,FALSE),0),"NotExist")</f>
        <v>NotExist</v>
      </c>
      <c r="D863" t="str">
        <f t="shared" si="30"/>
        <v>New</v>
      </c>
      <c r="E863" t="e">
        <f>VLOOKUP(A:A,Reviewed!B:C,2,0)</f>
        <v>#N/A</v>
      </c>
      <c r="F863" t="str">
        <f t="shared" si="31"/>
        <v/>
      </c>
    </row>
    <row r="864" spans="3:6" x14ac:dyDescent="0.35">
      <c r="C864" t="str">
        <f>IFERROR(ROUNDUP(VLOOKUP(F864,'30Days-Baseline'!C:D,2,FALSE),0),"NotExist")</f>
        <v>NotExist</v>
      </c>
      <c r="D864" t="str">
        <f t="shared" si="30"/>
        <v>New</v>
      </c>
      <c r="E864" t="e">
        <f>VLOOKUP(A:A,Reviewed!B:C,2,0)</f>
        <v>#N/A</v>
      </c>
      <c r="F864" t="str">
        <f t="shared" si="31"/>
        <v/>
      </c>
    </row>
    <row r="865" spans="3:6" x14ac:dyDescent="0.35">
      <c r="C865" t="str">
        <f>IFERROR(ROUNDUP(VLOOKUP(F865,'30Days-Baseline'!C:D,2,FALSE),0),"NotExist")</f>
        <v>NotExist</v>
      </c>
      <c r="D865" t="str">
        <f t="shared" si="30"/>
        <v>New</v>
      </c>
      <c r="E865" t="e">
        <f>VLOOKUP(A:A,Reviewed!B:C,2,0)</f>
        <v>#N/A</v>
      </c>
      <c r="F865" t="str">
        <f t="shared" si="31"/>
        <v/>
      </c>
    </row>
    <row r="866" spans="3:6" x14ac:dyDescent="0.35">
      <c r="C866" t="str">
        <f>IFERROR(ROUNDUP(VLOOKUP(F866,'30Days-Baseline'!C:D,2,FALSE),0),"NotExist")</f>
        <v>NotExist</v>
      </c>
      <c r="D866" t="str">
        <f t="shared" si="30"/>
        <v>New</v>
      </c>
      <c r="E866" t="e">
        <f>VLOOKUP(A:A,Reviewed!B:C,2,0)</f>
        <v>#N/A</v>
      </c>
      <c r="F866" t="str">
        <f t="shared" si="31"/>
        <v/>
      </c>
    </row>
    <row r="867" spans="3:6" x14ac:dyDescent="0.35">
      <c r="C867" t="str">
        <f>IFERROR(ROUNDUP(VLOOKUP(F867,'30Days-Baseline'!C:D,2,FALSE),0),"NotExist")</f>
        <v>NotExist</v>
      </c>
      <c r="D867" t="str">
        <f t="shared" si="30"/>
        <v>New</v>
      </c>
      <c r="E867" t="e">
        <f>VLOOKUP(A:A,Reviewed!B:C,2,0)</f>
        <v>#N/A</v>
      </c>
      <c r="F867" t="str">
        <f t="shared" si="31"/>
        <v/>
      </c>
    </row>
    <row r="868" spans="3:6" x14ac:dyDescent="0.35">
      <c r="C868" t="str">
        <f>IFERROR(ROUNDUP(VLOOKUP(F868,'30Days-Baseline'!C:D,2,FALSE),0),"NotExist")</f>
        <v>NotExist</v>
      </c>
      <c r="D868" t="str">
        <f t="shared" si="30"/>
        <v>New</v>
      </c>
      <c r="E868" t="e">
        <f>VLOOKUP(A:A,Reviewed!B:C,2,0)</f>
        <v>#N/A</v>
      </c>
      <c r="F868" t="str">
        <f t="shared" si="31"/>
        <v/>
      </c>
    </row>
    <row r="869" spans="3:6" x14ac:dyDescent="0.35">
      <c r="C869" t="str">
        <f>IFERROR(ROUNDUP(VLOOKUP(F869,'30Days-Baseline'!C:D,2,FALSE),0),"NotExist")</f>
        <v>NotExist</v>
      </c>
      <c r="D869" t="str">
        <f t="shared" si="30"/>
        <v>New</v>
      </c>
      <c r="E869" t="e">
        <f>VLOOKUP(A:A,Reviewed!B:C,2,0)</f>
        <v>#N/A</v>
      </c>
      <c r="F869" t="str">
        <f t="shared" si="31"/>
        <v/>
      </c>
    </row>
    <row r="870" spans="3:6" x14ac:dyDescent="0.35">
      <c r="C870" t="str">
        <f>IFERROR(ROUNDUP(VLOOKUP(F870,'30Days-Baseline'!C:D,2,FALSE),0),"NotExist")</f>
        <v>NotExist</v>
      </c>
      <c r="D870" t="str">
        <f t="shared" si="30"/>
        <v>New</v>
      </c>
      <c r="E870" t="e">
        <f>VLOOKUP(A:A,Reviewed!B:C,2,0)</f>
        <v>#N/A</v>
      </c>
      <c r="F870" t="str">
        <f t="shared" si="31"/>
        <v/>
      </c>
    </row>
    <row r="871" spans="3:6" x14ac:dyDescent="0.35">
      <c r="C871" t="str">
        <f>IFERROR(ROUNDUP(VLOOKUP(F871,'30Days-Baseline'!C:D,2,FALSE),0),"NotExist")</f>
        <v>NotExist</v>
      </c>
      <c r="D871" t="str">
        <f t="shared" si="30"/>
        <v>New</v>
      </c>
      <c r="E871" t="e">
        <f>VLOOKUP(A:A,Reviewed!B:C,2,0)</f>
        <v>#N/A</v>
      </c>
      <c r="F871" t="str">
        <f t="shared" si="31"/>
        <v/>
      </c>
    </row>
    <row r="872" spans="3:6" x14ac:dyDescent="0.35">
      <c r="C872" t="str">
        <f>IFERROR(ROUNDUP(VLOOKUP(F872,'30Days-Baseline'!C:D,2,FALSE),0),"NotExist")</f>
        <v>NotExist</v>
      </c>
      <c r="D872" t="str">
        <f t="shared" si="30"/>
        <v>New</v>
      </c>
      <c r="E872" t="e">
        <f>VLOOKUP(A:A,Reviewed!B:C,2,0)</f>
        <v>#N/A</v>
      </c>
      <c r="F872" t="str">
        <f t="shared" si="31"/>
        <v/>
      </c>
    </row>
    <row r="873" spans="3:6" x14ac:dyDescent="0.35">
      <c r="C873" t="str">
        <f>IFERROR(ROUNDUP(VLOOKUP(F873,'30Days-Baseline'!C:D,2,FALSE),0),"NotExist")</f>
        <v>NotExist</v>
      </c>
      <c r="D873" t="str">
        <f t="shared" si="30"/>
        <v>New</v>
      </c>
      <c r="E873" t="e">
        <f>VLOOKUP(A:A,Reviewed!B:C,2,0)</f>
        <v>#N/A</v>
      </c>
      <c r="F873" t="str">
        <f t="shared" si="31"/>
        <v/>
      </c>
    </row>
    <row r="874" spans="3:6" x14ac:dyDescent="0.35">
      <c r="C874" t="str">
        <f>IFERROR(ROUNDUP(VLOOKUP(F874,'30Days-Baseline'!C:D,2,FALSE),0),"NotExist")</f>
        <v>NotExist</v>
      </c>
      <c r="D874" t="str">
        <f t="shared" si="30"/>
        <v>New</v>
      </c>
      <c r="E874" t="e">
        <f>VLOOKUP(A:A,Reviewed!B:C,2,0)</f>
        <v>#N/A</v>
      </c>
      <c r="F874" t="str">
        <f t="shared" si="31"/>
        <v/>
      </c>
    </row>
    <row r="875" spans="3:6" x14ac:dyDescent="0.35">
      <c r="C875" t="str">
        <f>IFERROR(ROUNDUP(VLOOKUP(F875,'30Days-Baseline'!C:D,2,FALSE),0),"NotExist")</f>
        <v>NotExist</v>
      </c>
      <c r="D875" t="str">
        <f t="shared" si="30"/>
        <v>New</v>
      </c>
      <c r="E875" t="e">
        <f>VLOOKUP(A:A,Reviewed!B:C,2,0)</f>
        <v>#N/A</v>
      </c>
      <c r="F875" t="str">
        <f t="shared" si="31"/>
        <v/>
      </c>
    </row>
    <row r="876" spans="3:6" x14ac:dyDescent="0.35">
      <c r="C876" t="str">
        <f>IFERROR(ROUNDUP(VLOOKUP(F876,'30Days-Baseline'!C:D,2,FALSE),0),"NotExist")</f>
        <v>NotExist</v>
      </c>
      <c r="D876" t="str">
        <f t="shared" si="30"/>
        <v>New</v>
      </c>
      <c r="E876" t="e">
        <f>VLOOKUP(A:A,Reviewed!B:C,2,0)</f>
        <v>#N/A</v>
      </c>
      <c r="F876" t="str">
        <f t="shared" si="31"/>
        <v/>
      </c>
    </row>
    <row r="877" spans="3:6" x14ac:dyDescent="0.35">
      <c r="C877" t="str">
        <f>IFERROR(ROUNDUP(VLOOKUP(F877,'30Days-Baseline'!C:D,2,FALSE),0),"NotExist")</f>
        <v>NotExist</v>
      </c>
      <c r="D877" t="str">
        <f t="shared" si="30"/>
        <v>New</v>
      </c>
      <c r="E877" t="e">
        <f>VLOOKUP(A:A,Reviewed!B:C,2,0)</f>
        <v>#N/A</v>
      </c>
      <c r="F877" t="str">
        <f t="shared" si="31"/>
        <v/>
      </c>
    </row>
    <row r="878" spans="3:6" x14ac:dyDescent="0.35">
      <c r="C878" t="str">
        <f>IFERROR(ROUNDUP(VLOOKUP(F878,'30Days-Baseline'!C:D,2,FALSE),0),"NotExist")</f>
        <v>NotExist</v>
      </c>
      <c r="D878" t="str">
        <f t="shared" si="30"/>
        <v>New</v>
      </c>
      <c r="E878" t="e">
        <f>VLOOKUP(A:A,Reviewed!B:C,2,0)</f>
        <v>#N/A</v>
      </c>
      <c r="F878" t="str">
        <f t="shared" si="31"/>
        <v/>
      </c>
    </row>
    <row r="879" spans="3:6" x14ac:dyDescent="0.35">
      <c r="C879" t="str">
        <f>IFERROR(ROUNDUP(VLOOKUP(F879,'30Days-Baseline'!C:D,2,FALSE),0),"NotExist")</f>
        <v>NotExist</v>
      </c>
      <c r="D879" t="str">
        <f t="shared" si="30"/>
        <v>New</v>
      </c>
      <c r="E879" t="e">
        <f>VLOOKUP(A:A,Reviewed!B:C,2,0)</f>
        <v>#N/A</v>
      </c>
      <c r="F879" t="str">
        <f t="shared" si="31"/>
        <v/>
      </c>
    </row>
    <row r="880" spans="3:6" x14ac:dyDescent="0.35">
      <c r="C880" t="str">
        <f>IFERROR(ROUNDUP(VLOOKUP(F880,'30Days-Baseline'!C:D,2,FALSE),0),"NotExist")</f>
        <v>NotExist</v>
      </c>
      <c r="D880" t="str">
        <f t="shared" si="30"/>
        <v>New</v>
      </c>
      <c r="E880" t="e">
        <f>VLOOKUP(A:A,Reviewed!B:C,2,0)</f>
        <v>#N/A</v>
      </c>
      <c r="F880" t="str">
        <f t="shared" si="31"/>
        <v/>
      </c>
    </row>
    <row r="881" spans="3:6" x14ac:dyDescent="0.35">
      <c r="C881" t="str">
        <f>IFERROR(ROUNDUP(VLOOKUP(F881,'30Days-Baseline'!C:D,2,FALSE),0),"NotExist")</f>
        <v>NotExist</v>
      </c>
      <c r="D881" t="str">
        <f t="shared" si="30"/>
        <v>New</v>
      </c>
      <c r="E881" t="e">
        <f>VLOOKUP(A:A,Reviewed!B:C,2,0)</f>
        <v>#N/A</v>
      </c>
      <c r="F881" t="str">
        <f t="shared" si="31"/>
        <v/>
      </c>
    </row>
    <row r="882" spans="3:6" x14ac:dyDescent="0.35">
      <c r="C882" t="str">
        <f>IFERROR(ROUNDUP(VLOOKUP(F882,'30Days-Baseline'!C:D,2,FALSE),0),"NotExist")</f>
        <v>NotExist</v>
      </c>
      <c r="D882" t="str">
        <f t="shared" si="30"/>
        <v>New</v>
      </c>
      <c r="E882" t="e">
        <f>VLOOKUP(A:A,Reviewed!B:C,2,0)</f>
        <v>#N/A</v>
      </c>
      <c r="F882" t="str">
        <f t="shared" si="31"/>
        <v/>
      </c>
    </row>
    <row r="883" spans="3:6" x14ac:dyDescent="0.35">
      <c r="C883" t="str">
        <f>IFERROR(ROUNDUP(VLOOKUP(F883,'30Days-Baseline'!C:D,2,FALSE),0),"NotExist")</f>
        <v>NotExist</v>
      </c>
      <c r="D883" t="str">
        <f t="shared" si="30"/>
        <v>New</v>
      </c>
      <c r="E883" t="e">
        <f>VLOOKUP(A:A,Reviewed!B:C,2,0)</f>
        <v>#N/A</v>
      </c>
      <c r="F883" t="str">
        <f t="shared" si="31"/>
        <v/>
      </c>
    </row>
    <row r="884" spans="3:6" x14ac:dyDescent="0.35">
      <c r="C884" t="str">
        <f>IFERROR(ROUNDUP(VLOOKUP(F884,'30Days-Baseline'!C:D,2,FALSE),0),"NotExist")</f>
        <v>NotExist</v>
      </c>
      <c r="D884" t="str">
        <f t="shared" si="30"/>
        <v>New</v>
      </c>
      <c r="E884" t="e">
        <f>VLOOKUP(A:A,Reviewed!B:C,2,0)</f>
        <v>#N/A</v>
      </c>
      <c r="F884" t="str">
        <f t="shared" si="31"/>
        <v/>
      </c>
    </row>
    <row r="885" spans="3:6" x14ac:dyDescent="0.35">
      <c r="C885" t="str">
        <f>IFERROR(ROUNDUP(VLOOKUP(F885,'30Days-Baseline'!C:D,2,FALSE),0),"NotExist")</f>
        <v>NotExist</v>
      </c>
      <c r="D885" t="str">
        <f t="shared" si="30"/>
        <v>New</v>
      </c>
      <c r="E885" t="e">
        <f>VLOOKUP(A:A,Reviewed!B:C,2,0)</f>
        <v>#N/A</v>
      </c>
      <c r="F885" t="str">
        <f t="shared" si="31"/>
        <v/>
      </c>
    </row>
    <row r="886" spans="3:6" x14ac:dyDescent="0.35">
      <c r="C886" t="str">
        <f>IFERROR(ROUNDUP(VLOOKUP(F886,'30Days-Baseline'!C:D,2,FALSE),0),"NotExist")</f>
        <v>NotExist</v>
      </c>
      <c r="D886" t="str">
        <f t="shared" si="30"/>
        <v>New</v>
      </c>
      <c r="E886" t="e">
        <f>VLOOKUP(A:A,Reviewed!B:C,2,0)</f>
        <v>#N/A</v>
      </c>
      <c r="F886" t="str">
        <f t="shared" si="31"/>
        <v/>
      </c>
    </row>
    <row r="887" spans="3:6" x14ac:dyDescent="0.35">
      <c r="C887" t="str">
        <f>IFERROR(ROUNDUP(VLOOKUP(F887,'30Days-Baseline'!C:D,2,FALSE),0),"NotExist")</f>
        <v>NotExist</v>
      </c>
      <c r="D887" t="str">
        <f t="shared" si="30"/>
        <v>New</v>
      </c>
      <c r="E887" t="e">
        <f>VLOOKUP(A:A,Reviewed!B:C,2,0)</f>
        <v>#N/A</v>
      </c>
      <c r="F887" t="str">
        <f t="shared" si="31"/>
        <v/>
      </c>
    </row>
    <row r="888" spans="3:6" x14ac:dyDescent="0.35">
      <c r="C888" t="str">
        <f>IFERROR(ROUNDUP(VLOOKUP(F888,'30Days-Baseline'!C:D,2,FALSE),0),"NotExist")</f>
        <v>NotExist</v>
      </c>
      <c r="D888" t="str">
        <f t="shared" si="30"/>
        <v>New</v>
      </c>
      <c r="E888" t="e">
        <f>VLOOKUP(A:A,Reviewed!B:C,2,0)</f>
        <v>#N/A</v>
      </c>
      <c r="F888" t="str">
        <f t="shared" si="31"/>
        <v/>
      </c>
    </row>
    <row r="889" spans="3:6" x14ac:dyDescent="0.35">
      <c r="C889" t="str">
        <f>IFERROR(ROUNDUP(VLOOKUP(F889,'30Days-Baseline'!C:D,2,FALSE),0),"NotExist")</f>
        <v>NotExist</v>
      </c>
      <c r="D889" t="str">
        <f t="shared" si="30"/>
        <v>New</v>
      </c>
      <c r="E889" t="e">
        <f>VLOOKUP(A:A,Reviewed!B:C,2,0)</f>
        <v>#N/A</v>
      </c>
      <c r="F889" t="str">
        <f t="shared" si="31"/>
        <v/>
      </c>
    </row>
    <row r="890" spans="3:6" x14ac:dyDescent="0.35">
      <c r="C890" t="str">
        <f>IFERROR(ROUNDUP(VLOOKUP(F890,'30Days-Baseline'!C:D,2,FALSE),0),"NotExist")</f>
        <v>NotExist</v>
      </c>
      <c r="D890" t="str">
        <f t="shared" si="30"/>
        <v>New</v>
      </c>
      <c r="E890" t="e">
        <f>VLOOKUP(A:A,Reviewed!B:C,2,0)</f>
        <v>#N/A</v>
      </c>
      <c r="F890" t="str">
        <f t="shared" si="31"/>
        <v/>
      </c>
    </row>
    <row r="891" spans="3:6" x14ac:dyDescent="0.35">
      <c r="C891" t="str">
        <f>IFERROR(ROUNDUP(VLOOKUP(F891,'30Days-Baseline'!C:D,2,FALSE),0),"NotExist")</f>
        <v>NotExist</v>
      </c>
      <c r="D891" t="str">
        <f t="shared" si="30"/>
        <v>New</v>
      </c>
      <c r="E891" t="e">
        <f>VLOOKUP(A:A,Reviewed!B:C,2,0)</f>
        <v>#N/A</v>
      </c>
      <c r="F891" t="str">
        <f t="shared" si="31"/>
        <v/>
      </c>
    </row>
    <row r="892" spans="3:6" x14ac:dyDescent="0.35">
      <c r="C892" t="str">
        <f>IFERROR(ROUNDUP(VLOOKUP(F892,'30Days-Baseline'!C:D,2,FALSE),0),"NotExist")</f>
        <v>NotExist</v>
      </c>
      <c r="D892" t="str">
        <f t="shared" si="30"/>
        <v>New</v>
      </c>
      <c r="E892" t="e">
        <f>VLOOKUP(A:A,Reviewed!B:C,2,0)</f>
        <v>#N/A</v>
      </c>
      <c r="F892" t="str">
        <f t="shared" si="31"/>
        <v/>
      </c>
    </row>
    <row r="893" spans="3:6" x14ac:dyDescent="0.35">
      <c r="C893" t="str">
        <f>IFERROR(ROUNDUP(VLOOKUP(F893,'30Days-Baseline'!C:D,2,FALSE),0),"NotExist")</f>
        <v>NotExist</v>
      </c>
      <c r="D893" t="str">
        <f t="shared" si="30"/>
        <v>New</v>
      </c>
      <c r="E893" t="e">
        <f>VLOOKUP(A:A,Reviewed!B:C,2,0)</f>
        <v>#N/A</v>
      </c>
      <c r="F893" t="str">
        <f t="shared" si="31"/>
        <v/>
      </c>
    </row>
    <row r="894" spans="3:6" x14ac:dyDescent="0.35">
      <c r="C894" t="str">
        <f>IFERROR(ROUNDUP(VLOOKUP(F894,'30Days-Baseline'!C:D,2,FALSE),0),"NotExist")</f>
        <v>NotExist</v>
      </c>
      <c r="D894" t="str">
        <f t="shared" si="30"/>
        <v>New</v>
      </c>
      <c r="E894" t="e">
        <f>VLOOKUP(A:A,Reviewed!B:C,2,0)</f>
        <v>#N/A</v>
      </c>
      <c r="F894" t="str">
        <f t="shared" si="31"/>
        <v/>
      </c>
    </row>
    <row r="895" spans="3:6" x14ac:dyDescent="0.35">
      <c r="C895" t="str">
        <f>IFERROR(ROUNDUP(VLOOKUP(F895,'30Days-Baseline'!C:D,2,FALSE),0),"NotExist")</f>
        <v>NotExist</v>
      </c>
      <c r="D895" t="str">
        <f t="shared" si="30"/>
        <v>New</v>
      </c>
      <c r="E895" t="e">
        <f>VLOOKUP(A:A,Reviewed!B:C,2,0)</f>
        <v>#N/A</v>
      </c>
      <c r="F895" t="str">
        <f t="shared" si="31"/>
        <v/>
      </c>
    </row>
    <row r="896" spans="3:6" x14ac:dyDescent="0.35">
      <c r="C896" t="str">
        <f>IFERROR(ROUNDUP(VLOOKUP(F896,'30Days-Baseline'!C:D,2,FALSE),0),"NotExist")</f>
        <v>NotExist</v>
      </c>
      <c r="D896" t="str">
        <f t="shared" si="30"/>
        <v>New</v>
      </c>
      <c r="E896" t="e">
        <f>VLOOKUP(A:A,Reviewed!B:C,2,0)</f>
        <v>#N/A</v>
      </c>
      <c r="F896" t="str">
        <f t="shared" si="31"/>
        <v/>
      </c>
    </row>
    <row r="897" spans="1:6" x14ac:dyDescent="0.35">
      <c r="C897" t="str">
        <f>IFERROR(ROUNDUP(VLOOKUP(F897,'30Days-Baseline'!C:D,2,FALSE),0),"NotExist")</f>
        <v>NotExist</v>
      </c>
      <c r="D897" t="str">
        <f t="shared" si="30"/>
        <v>New</v>
      </c>
      <c r="E897" t="e">
        <f>VLOOKUP(A:A,Reviewed!B:C,2,0)</f>
        <v>#N/A</v>
      </c>
      <c r="F897" t="str">
        <f t="shared" si="31"/>
        <v/>
      </c>
    </row>
    <row r="898" spans="1:6" x14ac:dyDescent="0.35">
      <c r="C898" t="str">
        <f>IFERROR(ROUNDUP(VLOOKUP(F898,'30Days-Baseline'!C:D,2,FALSE),0),"NotExist")</f>
        <v>NotExist</v>
      </c>
      <c r="D898" t="str">
        <f t="shared" si="30"/>
        <v>New</v>
      </c>
      <c r="E898" t="e">
        <f>VLOOKUP(A:A,Reviewed!B:C,2,0)</f>
        <v>#N/A</v>
      </c>
      <c r="F898" t="str">
        <f t="shared" si="31"/>
        <v/>
      </c>
    </row>
    <row r="899" spans="1:6" x14ac:dyDescent="0.35">
      <c r="C899" t="str">
        <f>IFERROR(ROUNDUP(VLOOKUP(F899,'30Days-Baseline'!C:D,2,FALSE),0),"NotExist")</f>
        <v>NotExist</v>
      </c>
      <c r="D899" t="str">
        <f t="shared" si="30"/>
        <v>New</v>
      </c>
      <c r="E899" t="e">
        <f>VLOOKUP(A:A,Reviewed!B:C,2,0)</f>
        <v>#N/A</v>
      </c>
      <c r="F899" t="str">
        <f t="shared" si="31"/>
        <v/>
      </c>
    </row>
    <row r="900" spans="1:6" x14ac:dyDescent="0.35">
      <c r="C900" t="str">
        <f>IFERROR(ROUNDUP(VLOOKUP(F900,'30Days-Baseline'!C:D,2,FALSE),0),"NotExist")</f>
        <v>NotExist</v>
      </c>
      <c r="D900" t="str">
        <f t="shared" si="30"/>
        <v>New</v>
      </c>
      <c r="E900" t="e">
        <f>VLOOKUP(A:A,Reviewed!B:C,2,0)</f>
        <v>#N/A</v>
      </c>
      <c r="F900" t="str">
        <f t="shared" si="31"/>
        <v/>
      </c>
    </row>
    <row r="901" spans="1:6" x14ac:dyDescent="0.35">
      <c r="C901" t="str">
        <f>IFERROR(ROUNDUP(VLOOKUP(F901,'30Days-Baseline'!C:D,2,FALSE),0),"NotExist")</f>
        <v>NotExist</v>
      </c>
      <c r="D901" t="str">
        <f t="shared" si="30"/>
        <v>New</v>
      </c>
      <c r="E901" t="e">
        <f>VLOOKUP(A:A,Reviewed!B:C,2,0)</f>
        <v>#N/A</v>
      </c>
      <c r="F901" t="str">
        <f t="shared" si="31"/>
        <v/>
      </c>
    </row>
    <row r="902" spans="1:6" x14ac:dyDescent="0.35">
      <c r="A902" s="4"/>
      <c r="C902" t="str">
        <f>IFERROR(ROUNDUP(VLOOKUP(F902,'30Days-Baseline'!C:D,2,FALSE),0),"NotExist")</f>
        <v>NotExist</v>
      </c>
      <c r="D902" t="str">
        <f t="shared" si="30"/>
        <v>New</v>
      </c>
      <c r="E902" t="e">
        <f>VLOOKUP(A:A,Reviewed!B:C,2,0)</f>
        <v>#N/A</v>
      </c>
      <c r="F902" t="str">
        <f t="shared" si="31"/>
        <v/>
      </c>
    </row>
    <row r="903" spans="1:6" x14ac:dyDescent="0.35">
      <c r="C903" t="str">
        <f>IFERROR(ROUNDUP(VLOOKUP(F903,'30Days-Baseline'!C:D,2,FALSE),0),"NotExist")</f>
        <v>NotExist</v>
      </c>
      <c r="D903" t="str">
        <f t="shared" si="30"/>
        <v>New</v>
      </c>
      <c r="E903" t="e">
        <f>VLOOKUP(A:A,Reviewed!B:C,2,0)</f>
        <v>#N/A</v>
      </c>
      <c r="F903" t="str">
        <f t="shared" si="31"/>
        <v/>
      </c>
    </row>
    <row r="904" spans="1:6" x14ac:dyDescent="0.35">
      <c r="C904" t="str">
        <f>IFERROR(ROUNDUP(VLOOKUP(F904,'30Days-Baseline'!C:D,2,FALSE),0),"NotExist")</f>
        <v>NotExist</v>
      </c>
      <c r="D904" t="str">
        <f t="shared" si="30"/>
        <v>New</v>
      </c>
      <c r="E904" t="e">
        <f>VLOOKUP(A:A,Reviewed!B:C,2,0)</f>
        <v>#N/A</v>
      </c>
      <c r="F904" t="str">
        <f t="shared" si="31"/>
        <v/>
      </c>
    </row>
    <row r="905" spans="1:6" x14ac:dyDescent="0.35">
      <c r="C905" t="str">
        <f>IFERROR(ROUNDUP(VLOOKUP(F905,'30Days-Baseline'!C:D,2,FALSE),0),"NotExist")</f>
        <v>NotExist</v>
      </c>
      <c r="D905" t="str">
        <f t="shared" si="30"/>
        <v>New</v>
      </c>
      <c r="E905" t="e">
        <f>VLOOKUP(A:A,Reviewed!B:C,2,0)</f>
        <v>#N/A</v>
      </c>
      <c r="F905" t="str">
        <f t="shared" si="31"/>
        <v/>
      </c>
    </row>
    <row r="906" spans="1:6" x14ac:dyDescent="0.35">
      <c r="C906" t="str">
        <f>IFERROR(ROUNDUP(VLOOKUP(F906,'30Days-Baseline'!C:D,2,FALSE),0),"NotExist")</f>
        <v>NotExist</v>
      </c>
      <c r="D906" t="str">
        <f t="shared" si="30"/>
        <v>New</v>
      </c>
      <c r="E906" t="e">
        <f>VLOOKUP(A:A,Reviewed!B:C,2,0)</f>
        <v>#N/A</v>
      </c>
      <c r="F906" t="str">
        <f t="shared" si="31"/>
        <v/>
      </c>
    </row>
    <row r="907" spans="1:6" x14ac:dyDescent="0.35">
      <c r="C907" t="str">
        <f>IFERROR(ROUNDUP(VLOOKUP(F907,'30Days-Baseline'!C:D,2,FALSE),0),"NotExist")</f>
        <v>NotExist</v>
      </c>
      <c r="D907" t="str">
        <f t="shared" si="30"/>
        <v>New</v>
      </c>
      <c r="E907" t="e">
        <f>VLOOKUP(A:A,Reviewed!B:C,2,0)</f>
        <v>#N/A</v>
      </c>
      <c r="F907" t="str">
        <f t="shared" si="31"/>
        <v/>
      </c>
    </row>
    <row r="908" spans="1:6" x14ac:dyDescent="0.35">
      <c r="C908" t="str">
        <f>IFERROR(ROUNDUP(VLOOKUP(F908,'30Days-Baseline'!C:D,2,FALSE),0),"NotExist")</f>
        <v>NotExist</v>
      </c>
      <c r="D908" t="str">
        <f t="shared" si="30"/>
        <v>New</v>
      </c>
      <c r="E908" t="e">
        <f>VLOOKUP(A:A,Reviewed!B:C,2,0)</f>
        <v>#N/A</v>
      </c>
      <c r="F908" t="str">
        <f t="shared" si="31"/>
        <v/>
      </c>
    </row>
    <row r="909" spans="1:6" x14ac:dyDescent="0.35">
      <c r="C909" t="str">
        <f>IFERROR(ROUNDUP(VLOOKUP(F909,'30Days-Baseline'!C:D,2,FALSE),0),"NotExist")</f>
        <v>NotExist</v>
      </c>
      <c r="D909" t="str">
        <f t="shared" si="30"/>
        <v>New</v>
      </c>
      <c r="E909" t="e">
        <f>VLOOKUP(A:A,Reviewed!B:C,2,0)</f>
        <v>#N/A</v>
      </c>
      <c r="F909" t="str">
        <f t="shared" si="31"/>
        <v/>
      </c>
    </row>
    <row r="910" spans="1:6" x14ac:dyDescent="0.35">
      <c r="C910" t="str">
        <f>IFERROR(ROUNDUP(VLOOKUP(F910,'30Days-Baseline'!C:D,2,FALSE),0),"NotExist")</f>
        <v>NotExist</v>
      </c>
      <c r="D910" t="str">
        <f t="shared" si="30"/>
        <v>New</v>
      </c>
      <c r="E910" t="e">
        <f>VLOOKUP(A:A,Reviewed!B:C,2,0)</f>
        <v>#N/A</v>
      </c>
      <c r="F910" t="str">
        <f t="shared" si="31"/>
        <v/>
      </c>
    </row>
    <row r="911" spans="1:6" x14ac:dyDescent="0.35">
      <c r="C911" t="str">
        <f>IFERROR(ROUNDUP(VLOOKUP(F911,'30Days-Baseline'!C:D,2,FALSE),0),"NotExist")</f>
        <v>NotExist</v>
      </c>
      <c r="D911" t="str">
        <f t="shared" si="30"/>
        <v>New</v>
      </c>
      <c r="E911" t="e">
        <f>VLOOKUP(A:A,Reviewed!B:C,2,0)</f>
        <v>#N/A</v>
      </c>
      <c r="F911" t="str">
        <f t="shared" si="31"/>
        <v/>
      </c>
    </row>
    <row r="912" spans="1:6" x14ac:dyDescent="0.35">
      <c r="C912" t="str">
        <f>IFERROR(ROUNDUP(VLOOKUP(F912,'30Days-Baseline'!C:D,2,FALSE),0),"NotExist")</f>
        <v>NotExist</v>
      </c>
      <c r="D912" t="str">
        <f t="shared" si="30"/>
        <v>New</v>
      </c>
      <c r="E912" t="e">
        <f>VLOOKUP(A:A,Reviewed!B:C,2,0)</f>
        <v>#N/A</v>
      </c>
      <c r="F912" t="str">
        <f t="shared" si="31"/>
        <v/>
      </c>
    </row>
    <row r="913" spans="3:6" x14ac:dyDescent="0.35">
      <c r="C913" t="str">
        <f>IFERROR(ROUNDUP(VLOOKUP(F913,'30Days-Baseline'!C:D,2,FALSE),0),"NotExist")</f>
        <v>NotExist</v>
      </c>
      <c r="D913" t="str">
        <f t="shared" si="30"/>
        <v>New</v>
      </c>
      <c r="E913" t="e">
        <f>VLOOKUP(A:A,Reviewed!B:C,2,0)</f>
        <v>#N/A</v>
      </c>
      <c r="F913" t="str">
        <f t="shared" si="31"/>
        <v/>
      </c>
    </row>
    <row r="914" spans="3:6" x14ac:dyDescent="0.35">
      <c r="C914" t="str">
        <f>IFERROR(ROUNDUP(VLOOKUP(F914,'30Days-Baseline'!C:D,2,FALSE),0),"NotExist")</f>
        <v>NotExist</v>
      </c>
      <c r="D914" t="str">
        <f t="shared" si="30"/>
        <v>New</v>
      </c>
      <c r="E914" t="e">
        <f>VLOOKUP(A:A,Reviewed!B:C,2,0)</f>
        <v>#N/A</v>
      </c>
      <c r="F914" t="str">
        <f t="shared" si="31"/>
        <v/>
      </c>
    </row>
    <row r="915" spans="3:6" x14ac:dyDescent="0.35">
      <c r="C915" t="str">
        <f>IFERROR(ROUNDUP(VLOOKUP(F915,'30Days-Baseline'!C:D,2,FALSE),0),"NotExist")</f>
        <v>NotExist</v>
      </c>
      <c r="D915" t="str">
        <f t="shared" ref="D915:D978" si="32">IFERROR(IF(B915&gt;ROUNDUP(C915,0),"Elevated","Ok"),"New")</f>
        <v>New</v>
      </c>
      <c r="E915" t="e">
        <f>VLOOKUP(A:A,Reviewed!B:C,2,0)</f>
        <v>#N/A</v>
      </c>
      <c r="F915" t="str">
        <f t="shared" ref="F915:F978" si="33">LEFT(A915,255)</f>
        <v/>
      </c>
    </row>
    <row r="916" spans="3:6" x14ac:dyDescent="0.35">
      <c r="C916" t="str">
        <f>IFERROR(ROUNDUP(VLOOKUP(F916,'30Days-Baseline'!C:D,2,FALSE),0),"NotExist")</f>
        <v>NotExist</v>
      </c>
      <c r="D916" t="str">
        <f t="shared" si="32"/>
        <v>New</v>
      </c>
      <c r="E916" t="e">
        <f>VLOOKUP(A:A,Reviewed!B:C,2,0)</f>
        <v>#N/A</v>
      </c>
      <c r="F916" t="str">
        <f t="shared" si="33"/>
        <v/>
      </c>
    </row>
    <row r="917" spans="3:6" x14ac:dyDescent="0.35">
      <c r="C917" t="str">
        <f>IFERROR(ROUNDUP(VLOOKUP(F917,'30Days-Baseline'!C:D,2,FALSE),0),"NotExist")</f>
        <v>NotExist</v>
      </c>
      <c r="D917" t="str">
        <f t="shared" si="32"/>
        <v>New</v>
      </c>
      <c r="E917" t="e">
        <f>VLOOKUP(A:A,Reviewed!B:C,2,0)</f>
        <v>#N/A</v>
      </c>
      <c r="F917" t="str">
        <f t="shared" si="33"/>
        <v/>
      </c>
    </row>
    <row r="918" spans="3:6" x14ac:dyDescent="0.35">
      <c r="C918" t="str">
        <f>IFERROR(ROUNDUP(VLOOKUP(F918,'30Days-Baseline'!C:D,2,FALSE),0),"NotExist")</f>
        <v>NotExist</v>
      </c>
      <c r="D918" t="str">
        <f t="shared" si="32"/>
        <v>New</v>
      </c>
      <c r="E918" t="e">
        <f>VLOOKUP(A:A,Reviewed!B:C,2,0)</f>
        <v>#N/A</v>
      </c>
      <c r="F918" t="str">
        <f t="shared" si="33"/>
        <v/>
      </c>
    </row>
    <row r="919" spans="3:6" x14ac:dyDescent="0.35">
      <c r="C919" t="str">
        <f>IFERROR(ROUNDUP(VLOOKUP(F919,'30Days-Baseline'!C:D,2,FALSE),0),"NotExist")</f>
        <v>NotExist</v>
      </c>
      <c r="D919" t="str">
        <f t="shared" si="32"/>
        <v>New</v>
      </c>
      <c r="E919" t="e">
        <f>VLOOKUP(A:A,Reviewed!B:C,2,0)</f>
        <v>#N/A</v>
      </c>
      <c r="F919" t="str">
        <f t="shared" si="33"/>
        <v/>
      </c>
    </row>
    <row r="920" spans="3:6" x14ac:dyDescent="0.35">
      <c r="C920" t="str">
        <f>IFERROR(ROUNDUP(VLOOKUP(F920,'30Days-Baseline'!C:D,2,FALSE),0),"NotExist")</f>
        <v>NotExist</v>
      </c>
      <c r="D920" t="str">
        <f t="shared" si="32"/>
        <v>New</v>
      </c>
      <c r="E920" t="e">
        <f>VLOOKUP(A:A,Reviewed!B:C,2,0)</f>
        <v>#N/A</v>
      </c>
      <c r="F920" t="str">
        <f t="shared" si="33"/>
        <v/>
      </c>
    </row>
    <row r="921" spans="3:6" x14ac:dyDescent="0.35">
      <c r="C921" t="str">
        <f>IFERROR(ROUNDUP(VLOOKUP(F921,'30Days-Baseline'!C:D,2,FALSE),0),"NotExist")</f>
        <v>NotExist</v>
      </c>
      <c r="D921" t="str">
        <f t="shared" si="32"/>
        <v>New</v>
      </c>
      <c r="E921" t="e">
        <f>VLOOKUP(A:A,Reviewed!B:C,2,0)</f>
        <v>#N/A</v>
      </c>
      <c r="F921" t="str">
        <f t="shared" si="33"/>
        <v/>
      </c>
    </row>
    <row r="922" spans="3:6" x14ac:dyDescent="0.35">
      <c r="C922" t="str">
        <f>IFERROR(ROUNDUP(VLOOKUP(F922,'30Days-Baseline'!C:D,2,FALSE),0),"NotExist")</f>
        <v>NotExist</v>
      </c>
      <c r="D922" t="str">
        <f t="shared" si="32"/>
        <v>New</v>
      </c>
      <c r="E922" t="e">
        <f>VLOOKUP(A:A,Reviewed!B:C,2,0)</f>
        <v>#N/A</v>
      </c>
      <c r="F922" t="str">
        <f t="shared" si="33"/>
        <v/>
      </c>
    </row>
    <row r="923" spans="3:6" x14ac:dyDescent="0.35">
      <c r="C923" t="str">
        <f>IFERROR(ROUNDUP(VLOOKUP(F923,'30Days-Baseline'!C:D,2,FALSE),0),"NotExist")</f>
        <v>NotExist</v>
      </c>
      <c r="D923" t="str">
        <f t="shared" si="32"/>
        <v>New</v>
      </c>
      <c r="E923" t="e">
        <f>VLOOKUP(A:A,Reviewed!B:C,2,0)</f>
        <v>#N/A</v>
      </c>
      <c r="F923" t="str">
        <f t="shared" si="33"/>
        <v/>
      </c>
    </row>
    <row r="924" spans="3:6" x14ac:dyDescent="0.35">
      <c r="C924" t="str">
        <f>IFERROR(ROUNDUP(VLOOKUP(F924,'30Days-Baseline'!C:D,2,FALSE),0),"NotExist")</f>
        <v>NotExist</v>
      </c>
      <c r="D924" t="str">
        <f t="shared" si="32"/>
        <v>New</v>
      </c>
      <c r="E924" t="e">
        <f>VLOOKUP(A:A,Reviewed!B:C,2,0)</f>
        <v>#N/A</v>
      </c>
      <c r="F924" t="str">
        <f t="shared" si="33"/>
        <v/>
      </c>
    </row>
    <row r="925" spans="3:6" x14ac:dyDescent="0.35">
      <c r="C925" t="str">
        <f>IFERROR(ROUNDUP(VLOOKUP(F925,'30Days-Baseline'!C:D,2,FALSE),0),"NotExist")</f>
        <v>NotExist</v>
      </c>
      <c r="D925" t="str">
        <f t="shared" si="32"/>
        <v>New</v>
      </c>
      <c r="E925" t="e">
        <f>VLOOKUP(A:A,Reviewed!B:C,2,0)</f>
        <v>#N/A</v>
      </c>
      <c r="F925" t="str">
        <f t="shared" si="33"/>
        <v/>
      </c>
    </row>
    <row r="926" spans="3:6" x14ac:dyDescent="0.35">
      <c r="C926" t="str">
        <f>IFERROR(ROUNDUP(VLOOKUP(F926,'30Days-Baseline'!C:D,2,FALSE),0),"NotExist")</f>
        <v>NotExist</v>
      </c>
      <c r="D926" t="str">
        <f t="shared" si="32"/>
        <v>New</v>
      </c>
      <c r="E926" t="e">
        <f>VLOOKUP(A:A,Reviewed!B:C,2,0)</f>
        <v>#N/A</v>
      </c>
      <c r="F926" t="str">
        <f t="shared" si="33"/>
        <v/>
      </c>
    </row>
    <row r="927" spans="3:6" x14ac:dyDescent="0.35">
      <c r="C927" t="str">
        <f>IFERROR(ROUNDUP(VLOOKUP(F927,'30Days-Baseline'!C:D,2,FALSE),0),"NotExist")</f>
        <v>NotExist</v>
      </c>
      <c r="D927" t="str">
        <f t="shared" si="32"/>
        <v>New</v>
      </c>
      <c r="E927" t="e">
        <f>VLOOKUP(A:A,Reviewed!B:C,2,0)</f>
        <v>#N/A</v>
      </c>
      <c r="F927" t="str">
        <f t="shared" si="33"/>
        <v/>
      </c>
    </row>
    <row r="928" spans="3:6" x14ac:dyDescent="0.35">
      <c r="C928" t="str">
        <f>IFERROR(ROUNDUP(VLOOKUP(F928,'30Days-Baseline'!C:D,2,FALSE),0),"NotExist")</f>
        <v>NotExist</v>
      </c>
      <c r="D928" t="str">
        <f t="shared" si="32"/>
        <v>New</v>
      </c>
      <c r="E928" t="e">
        <f>VLOOKUP(A:A,Reviewed!B:C,2,0)</f>
        <v>#N/A</v>
      </c>
      <c r="F928" t="str">
        <f t="shared" si="33"/>
        <v/>
      </c>
    </row>
    <row r="929" spans="3:6" x14ac:dyDescent="0.35">
      <c r="C929" t="str">
        <f>IFERROR(ROUNDUP(VLOOKUP(F929,'30Days-Baseline'!C:D,2,FALSE),0),"NotExist")</f>
        <v>NotExist</v>
      </c>
      <c r="D929" t="str">
        <f t="shared" si="32"/>
        <v>New</v>
      </c>
      <c r="E929" t="e">
        <f>VLOOKUP(A:A,Reviewed!B:C,2,0)</f>
        <v>#N/A</v>
      </c>
      <c r="F929" t="str">
        <f t="shared" si="33"/>
        <v/>
      </c>
    </row>
    <row r="930" spans="3:6" x14ac:dyDescent="0.35">
      <c r="C930" t="str">
        <f>IFERROR(ROUNDUP(VLOOKUP(F930,'30Days-Baseline'!C:D,2,FALSE),0),"NotExist")</f>
        <v>NotExist</v>
      </c>
      <c r="D930" t="str">
        <f t="shared" si="32"/>
        <v>New</v>
      </c>
      <c r="E930" t="e">
        <f>VLOOKUP(A:A,Reviewed!B:C,2,0)</f>
        <v>#N/A</v>
      </c>
      <c r="F930" t="str">
        <f t="shared" si="33"/>
        <v/>
      </c>
    </row>
    <row r="931" spans="3:6" x14ac:dyDescent="0.35">
      <c r="C931" t="str">
        <f>IFERROR(ROUNDUP(VLOOKUP(F931,'30Days-Baseline'!C:D,2,FALSE),0),"NotExist")</f>
        <v>NotExist</v>
      </c>
      <c r="D931" t="str">
        <f t="shared" si="32"/>
        <v>New</v>
      </c>
      <c r="E931" t="e">
        <f>VLOOKUP(A:A,Reviewed!B:C,2,0)</f>
        <v>#N/A</v>
      </c>
      <c r="F931" t="str">
        <f t="shared" si="33"/>
        <v/>
      </c>
    </row>
    <row r="932" spans="3:6" x14ac:dyDescent="0.35">
      <c r="C932" t="str">
        <f>IFERROR(ROUNDUP(VLOOKUP(F932,'30Days-Baseline'!C:D,2,FALSE),0),"NotExist")</f>
        <v>NotExist</v>
      </c>
      <c r="D932" t="str">
        <f t="shared" si="32"/>
        <v>New</v>
      </c>
      <c r="E932" t="e">
        <f>VLOOKUP(A:A,Reviewed!B:C,2,0)</f>
        <v>#N/A</v>
      </c>
      <c r="F932" t="str">
        <f t="shared" si="33"/>
        <v/>
      </c>
    </row>
    <row r="933" spans="3:6" x14ac:dyDescent="0.35">
      <c r="C933" t="str">
        <f>IFERROR(ROUNDUP(VLOOKUP(F933,'30Days-Baseline'!C:D,2,FALSE),0),"NotExist")</f>
        <v>NotExist</v>
      </c>
      <c r="D933" t="str">
        <f t="shared" si="32"/>
        <v>New</v>
      </c>
      <c r="E933" t="e">
        <f>VLOOKUP(A:A,Reviewed!B:C,2,0)</f>
        <v>#N/A</v>
      </c>
      <c r="F933" t="str">
        <f t="shared" si="33"/>
        <v/>
      </c>
    </row>
    <row r="934" spans="3:6" x14ac:dyDescent="0.35">
      <c r="C934" t="str">
        <f>IFERROR(ROUNDUP(VLOOKUP(F934,'30Days-Baseline'!C:D,2,FALSE),0),"NotExist")</f>
        <v>NotExist</v>
      </c>
      <c r="D934" t="str">
        <f t="shared" si="32"/>
        <v>New</v>
      </c>
      <c r="E934" t="e">
        <f>VLOOKUP(A:A,Reviewed!B:C,2,0)</f>
        <v>#N/A</v>
      </c>
      <c r="F934" t="str">
        <f t="shared" si="33"/>
        <v/>
      </c>
    </row>
    <row r="935" spans="3:6" x14ac:dyDescent="0.35">
      <c r="C935" t="str">
        <f>IFERROR(ROUNDUP(VLOOKUP(F935,'30Days-Baseline'!C:D,2,FALSE),0),"NotExist")</f>
        <v>NotExist</v>
      </c>
      <c r="D935" t="str">
        <f t="shared" si="32"/>
        <v>New</v>
      </c>
      <c r="E935" t="e">
        <f>VLOOKUP(A:A,Reviewed!B:C,2,0)</f>
        <v>#N/A</v>
      </c>
      <c r="F935" t="str">
        <f t="shared" si="33"/>
        <v/>
      </c>
    </row>
    <row r="936" spans="3:6" x14ac:dyDescent="0.35">
      <c r="C936" t="str">
        <f>IFERROR(ROUNDUP(VLOOKUP(F936,'30Days-Baseline'!C:D,2,FALSE),0),"NotExist")</f>
        <v>NotExist</v>
      </c>
      <c r="D936" t="str">
        <f t="shared" si="32"/>
        <v>New</v>
      </c>
      <c r="E936" t="e">
        <f>VLOOKUP(A:A,Reviewed!B:C,2,0)</f>
        <v>#N/A</v>
      </c>
      <c r="F936" t="str">
        <f t="shared" si="33"/>
        <v/>
      </c>
    </row>
    <row r="937" spans="3:6" x14ac:dyDescent="0.35">
      <c r="C937" t="str">
        <f>IFERROR(ROUNDUP(VLOOKUP(F937,'30Days-Baseline'!C:D,2,FALSE),0),"NotExist")</f>
        <v>NotExist</v>
      </c>
      <c r="D937" t="str">
        <f t="shared" si="32"/>
        <v>New</v>
      </c>
      <c r="E937" t="e">
        <f>VLOOKUP(A:A,Reviewed!B:C,2,0)</f>
        <v>#N/A</v>
      </c>
      <c r="F937" t="str">
        <f t="shared" si="33"/>
        <v/>
      </c>
    </row>
    <row r="938" spans="3:6" x14ac:dyDescent="0.35">
      <c r="C938" t="str">
        <f>IFERROR(ROUNDUP(VLOOKUP(F938,'30Days-Baseline'!C:D,2,FALSE),0),"NotExist")</f>
        <v>NotExist</v>
      </c>
      <c r="D938" t="str">
        <f t="shared" si="32"/>
        <v>New</v>
      </c>
      <c r="E938" t="e">
        <f>VLOOKUP(A:A,Reviewed!B:C,2,0)</f>
        <v>#N/A</v>
      </c>
      <c r="F938" t="str">
        <f t="shared" si="33"/>
        <v/>
      </c>
    </row>
    <row r="939" spans="3:6" x14ac:dyDescent="0.35">
      <c r="C939" t="str">
        <f>IFERROR(ROUNDUP(VLOOKUP(F939,'30Days-Baseline'!C:D,2,FALSE),0),"NotExist")</f>
        <v>NotExist</v>
      </c>
      <c r="D939" t="str">
        <f t="shared" si="32"/>
        <v>New</v>
      </c>
      <c r="E939" t="e">
        <f>VLOOKUP(A:A,Reviewed!B:C,2,0)</f>
        <v>#N/A</v>
      </c>
      <c r="F939" t="str">
        <f t="shared" si="33"/>
        <v/>
      </c>
    </row>
    <row r="940" spans="3:6" x14ac:dyDescent="0.35">
      <c r="C940" t="str">
        <f>IFERROR(ROUNDUP(VLOOKUP(F940,'30Days-Baseline'!C:D,2,FALSE),0),"NotExist")</f>
        <v>NotExist</v>
      </c>
      <c r="D940" t="str">
        <f t="shared" si="32"/>
        <v>New</v>
      </c>
      <c r="E940" t="e">
        <f>VLOOKUP(A:A,Reviewed!B:C,2,0)</f>
        <v>#N/A</v>
      </c>
      <c r="F940" t="str">
        <f t="shared" si="33"/>
        <v/>
      </c>
    </row>
    <row r="941" spans="3:6" x14ac:dyDescent="0.35">
      <c r="C941" t="str">
        <f>IFERROR(ROUNDUP(VLOOKUP(F941,'30Days-Baseline'!C:D,2,FALSE),0),"NotExist")</f>
        <v>NotExist</v>
      </c>
      <c r="D941" t="str">
        <f t="shared" si="32"/>
        <v>New</v>
      </c>
      <c r="E941" t="e">
        <f>VLOOKUP(A:A,Reviewed!B:C,2,0)</f>
        <v>#N/A</v>
      </c>
      <c r="F941" t="str">
        <f t="shared" si="33"/>
        <v/>
      </c>
    </row>
    <row r="942" spans="3:6" x14ac:dyDescent="0.35">
      <c r="C942" t="str">
        <f>IFERROR(ROUNDUP(VLOOKUP(F942,'30Days-Baseline'!C:D,2,FALSE),0),"NotExist")</f>
        <v>NotExist</v>
      </c>
      <c r="D942" t="str">
        <f t="shared" si="32"/>
        <v>New</v>
      </c>
      <c r="E942" t="e">
        <f>VLOOKUP(A:A,Reviewed!B:C,2,0)</f>
        <v>#N/A</v>
      </c>
      <c r="F942" t="str">
        <f t="shared" si="33"/>
        <v/>
      </c>
    </row>
    <row r="943" spans="3:6" x14ac:dyDescent="0.35">
      <c r="C943" t="str">
        <f>IFERROR(ROUNDUP(VLOOKUP(F943,'30Days-Baseline'!C:D,2,FALSE),0),"NotExist")</f>
        <v>NotExist</v>
      </c>
      <c r="D943" t="str">
        <f t="shared" si="32"/>
        <v>New</v>
      </c>
      <c r="E943" t="e">
        <f>VLOOKUP(A:A,Reviewed!B:C,2,0)</f>
        <v>#N/A</v>
      </c>
      <c r="F943" t="str">
        <f t="shared" si="33"/>
        <v/>
      </c>
    </row>
    <row r="944" spans="3:6" x14ac:dyDescent="0.35">
      <c r="C944" t="str">
        <f>IFERROR(ROUNDUP(VLOOKUP(F944,'30Days-Baseline'!C:D,2,FALSE),0),"NotExist")</f>
        <v>NotExist</v>
      </c>
      <c r="D944" t="str">
        <f t="shared" si="32"/>
        <v>New</v>
      </c>
      <c r="E944" t="e">
        <f>VLOOKUP(A:A,Reviewed!B:C,2,0)</f>
        <v>#N/A</v>
      </c>
      <c r="F944" t="str">
        <f t="shared" si="33"/>
        <v/>
      </c>
    </row>
    <row r="945" spans="3:6" x14ac:dyDescent="0.35">
      <c r="C945" t="str">
        <f>IFERROR(ROUNDUP(VLOOKUP(F945,'30Days-Baseline'!C:D,2,FALSE),0),"NotExist")</f>
        <v>NotExist</v>
      </c>
      <c r="D945" t="str">
        <f t="shared" si="32"/>
        <v>New</v>
      </c>
      <c r="E945" t="e">
        <f>VLOOKUP(A:A,Reviewed!B:C,2,0)</f>
        <v>#N/A</v>
      </c>
      <c r="F945" t="str">
        <f t="shared" si="33"/>
        <v/>
      </c>
    </row>
    <row r="946" spans="3:6" x14ac:dyDescent="0.35">
      <c r="C946" t="str">
        <f>IFERROR(ROUNDUP(VLOOKUP(F946,'30Days-Baseline'!C:D,2,FALSE),0),"NotExist")</f>
        <v>NotExist</v>
      </c>
      <c r="D946" t="str">
        <f t="shared" si="32"/>
        <v>New</v>
      </c>
      <c r="E946" t="e">
        <f>VLOOKUP(A:A,Reviewed!B:C,2,0)</f>
        <v>#N/A</v>
      </c>
      <c r="F946" t="str">
        <f t="shared" si="33"/>
        <v/>
      </c>
    </row>
    <row r="947" spans="3:6" x14ac:dyDescent="0.35">
      <c r="C947" t="str">
        <f>IFERROR(ROUNDUP(VLOOKUP(F947,'30Days-Baseline'!C:D,2,FALSE),0),"NotExist")</f>
        <v>NotExist</v>
      </c>
      <c r="D947" t="str">
        <f t="shared" si="32"/>
        <v>New</v>
      </c>
      <c r="E947" t="e">
        <f>VLOOKUP(A:A,Reviewed!B:C,2,0)</f>
        <v>#N/A</v>
      </c>
      <c r="F947" t="str">
        <f t="shared" si="33"/>
        <v/>
      </c>
    </row>
    <row r="948" spans="3:6" x14ac:dyDescent="0.35">
      <c r="C948" t="str">
        <f>IFERROR(ROUNDUP(VLOOKUP(F948,'30Days-Baseline'!C:D,2,FALSE),0),"NotExist")</f>
        <v>NotExist</v>
      </c>
      <c r="D948" t="str">
        <f t="shared" si="32"/>
        <v>New</v>
      </c>
      <c r="E948" t="e">
        <f>VLOOKUP(A:A,Reviewed!B:C,2,0)</f>
        <v>#N/A</v>
      </c>
      <c r="F948" t="str">
        <f t="shared" si="33"/>
        <v/>
      </c>
    </row>
    <row r="949" spans="3:6" x14ac:dyDescent="0.35">
      <c r="C949" t="str">
        <f>IFERROR(ROUNDUP(VLOOKUP(F949,'30Days-Baseline'!C:D,2,FALSE),0),"NotExist")</f>
        <v>NotExist</v>
      </c>
      <c r="D949" t="str">
        <f t="shared" si="32"/>
        <v>New</v>
      </c>
      <c r="E949" t="e">
        <f>VLOOKUP(A:A,Reviewed!B:C,2,0)</f>
        <v>#N/A</v>
      </c>
      <c r="F949" t="str">
        <f t="shared" si="33"/>
        <v/>
      </c>
    </row>
    <row r="950" spans="3:6" x14ac:dyDescent="0.35">
      <c r="C950" t="str">
        <f>IFERROR(ROUNDUP(VLOOKUP(F950,'30Days-Baseline'!C:D,2,FALSE),0),"NotExist")</f>
        <v>NotExist</v>
      </c>
      <c r="D950" t="str">
        <f t="shared" si="32"/>
        <v>New</v>
      </c>
      <c r="E950" t="e">
        <f>VLOOKUP(A:A,Reviewed!B:C,2,0)</f>
        <v>#N/A</v>
      </c>
      <c r="F950" t="str">
        <f t="shared" si="33"/>
        <v/>
      </c>
    </row>
    <row r="951" spans="3:6" x14ac:dyDescent="0.35">
      <c r="C951" t="str">
        <f>IFERROR(ROUNDUP(VLOOKUP(F951,'30Days-Baseline'!C:D,2,FALSE),0),"NotExist")</f>
        <v>NotExist</v>
      </c>
      <c r="D951" t="str">
        <f t="shared" si="32"/>
        <v>New</v>
      </c>
      <c r="E951" t="e">
        <f>VLOOKUP(A:A,Reviewed!B:C,2,0)</f>
        <v>#N/A</v>
      </c>
      <c r="F951" t="str">
        <f t="shared" si="33"/>
        <v/>
      </c>
    </row>
    <row r="952" spans="3:6" x14ac:dyDescent="0.35">
      <c r="C952" t="str">
        <f>IFERROR(ROUNDUP(VLOOKUP(F952,'30Days-Baseline'!C:D,2,FALSE),0),"NotExist")</f>
        <v>NotExist</v>
      </c>
      <c r="D952" t="str">
        <f t="shared" si="32"/>
        <v>New</v>
      </c>
      <c r="E952" t="e">
        <f>VLOOKUP(A:A,Reviewed!B:C,2,0)</f>
        <v>#N/A</v>
      </c>
      <c r="F952" t="str">
        <f t="shared" si="33"/>
        <v/>
      </c>
    </row>
    <row r="953" spans="3:6" x14ac:dyDescent="0.35">
      <c r="C953" t="str">
        <f>IFERROR(ROUNDUP(VLOOKUP(F953,'30Days-Baseline'!C:D,2,FALSE),0),"NotExist")</f>
        <v>NotExist</v>
      </c>
      <c r="D953" t="str">
        <f t="shared" si="32"/>
        <v>New</v>
      </c>
      <c r="E953" t="e">
        <f>VLOOKUP(A:A,Reviewed!B:C,2,0)</f>
        <v>#N/A</v>
      </c>
      <c r="F953" t="str">
        <f t="shared" si="33"/>
        <v/>
      </c>
    </row>
    <row r="954" spans="3:6" x14ac:dyDescent="0.35">
      <c r="C954" t="str">
        <f>IFERROR(ROUNDUP(VLOOKUP(F954,'30Days-Baseline'!C:D,2,FALSE),0),"NotExist")</f>
        <v>NotExist</v>
      </c>
      <c r="D954" t="str">
        <f t="shared" si="32"/>
        <v>New</v>
      </c>
      <c r="E954" t="e">
        <f>VLOOKUP(A:A,Reviewed!B:C,2,0)</f>
        <v>#N/A</v>
      </c>
      <c r="F954" t="str">
        <f t="shared" si="33"/>
        <v/>
      </c>
    </row>
    <row r="955" spans="3:6" x14ac:dyDescent="0.35">
      <c r="C955" t="str">
        <f>IFERROR(ROUNDUP(VLOOKUP(F955,'30Days-Baseline'!C:D,2,FALSE),0),"NotExist")</f>
        <v>NotExist</v>
      </c>
      <c r="D955" t="str">
        <f t="shared" si="32"/>
        <v>New</v>
      </c>
      <c r="E955" t="e">
        <f>VLOOKUP(A:A,Reviewed!B:C,2,0)</f>
        <v>#N/A</v>
      </c>
      <c r="F955" t="str">
        <f t="shared" si="33"/>
        <v/>
      </c>
    </row>
    <row r="956" spans="3:6" x14ac:dyDescent="0.35">
      <c r="C956" t="str">
        <f>IFERROR(ROUNDUP(VLOOKUP(F956,'30Days-Baseline'!C:D,2,FALSE),0),"NotExist")</f>
        <v>NotExist</v>
      </c>
      <c r="D956" t="str">
        <f t="shared" si="32"/>
        <v>New</v>
      </c>
      <c r="E956" t="e">
        <f>VLOOKUP(A:A,Reviewed!B:C,2,0)</f>
        <v>#N/A</v>
      </c>
      <c r="F956" t="str">
        <f t="shared" si="33"/>
        <v/>
      </c>
    </row>
    <row r="957" spans="3:6" x14ac:dyDescent="0.35">
      <c r="C957" t="str">
        <f>IFERROR(ROUNDUP(VLOOKUP(F957,'30Days-Baseline'!C:D,2,FALSE),0),"NotExist")</f>
        <v>NotExist</v>
      </c>
      <c r="D957" t="str">
        <f t="shared" si="32"/>
        <v>New</v>
      </c>
      <c r="E957" t="e">
        <f>VLOOKUP(A:A,Reviewed!B:C,2,0)</f>
        <v>#N/A</v>
      </c>
      <c r="F957" t="str">
        <f t="shared" si="33"/>
        <v/>
      </c>
    </row>
    <row r="958" spans="3:6" x14ac:dyDescent="0.35">
      <c r="C958" t="str">
        <f>IFERROR(ROUNDUP(VLOOKUP(F958,'30Days-Baseline'!C:D,2,FALSE),0),"NotExist")</f>
        <v>NotExist</v>
      </c>
      <c r="D958" t="str">
        <f t="shared" si="32"/>
        <v>New</v>
      </c>
      <c r="E958" t="e">
        <f>VLOOKUP(A:A,Reviewed!B:C,2,0)</f>
        <v>#N/A</v>
      </c>
      <c r="F958" t="str">
        <f t="shared" si="33"/>
        <v/>
      </c>
    </row>
    <row r="959" spans="3:6" x14ac:dyDescent="0.35">
      <c r="C959" t="str">
        <f>IFERROR(ROUNDUP(VLOOKUP(F959,'30Days-Baseline'!C:D,2,FALSE),0),"NotExist")</f>
        <v>NotExist</v>
      </c>
      <c r="D959" t="str">
        <f t="shared" si="32"/>
        <v>New</v>
      </c>
      <c r="E959" t="e">
        <f>VLOOKUP(A:A,Reviewed!B:C,2,0)</f>
        <v>#N/A</v>
      </c>
      <c r="F959" t="str">
        <f t="shared" si="33"/>
        <v/>
      </c>
    </row>
    <row r="960" spans="3:6" x14ac:dyDescent="0.35">
      <c r="C960" t="str">
        <f>IFERROR(ROUNDUP(VLOOKUP(F960,'30Days-Baseline'!C:D,2,FALSE),0),"NotExist")</f>
        <v>NotExist</v>
      </c>
      <c r="D960" t="str">
        <f t="shared" si="32"/>
        <v>New</v>
      </c>
      <c r="E960" t="e">
        <f>VLOOKUP(A:A,Reviewed!B:C,2,0)</f>
        <v>#N/A</v>
      </c>
      <c r="F960" t="str">
        <f t="shared" si="33"/>
        <v/>
      </c>
    </row>
    <row r="961" spans="3:6" x14ac:dyDescent="0.35">
      <c r="C961" t="str">
        <f>IFERROR(ROUNDUP(VLOOKUP(F961,'30Days-Baseline'!C:D,2,FALSE),0),"NotExist")</f>
        <v>NotExist</v>
      </c>
      <c r="D961" t="str">
        <f t="shared" si="32"/>
        <v>New</v>
      </c>
      <c r="E961" t="e">
        <f>VLOOKUP(A:A,Reviewed!B:C,2,0)</f>
        <v>#N/A</v>
      </c>
      <c r="F961" t="str">
        <f t="shared" si="33"/>
        <v/>
      </c>
    </row>
    <row r="962" spans="3:6" x14ac:dyDescent="0.35">
      <c r="C962" t="str">
        <f>IFERROR(ROUNDUP(VLOOKUP(F962,'30Days-Baseline'!C:D,2,FALSE),0),"NotExist")</f>
        <v>NotExist</v>
      </c>
      <c r="D962" t="str">
        <f t="shared" si="32"/>
        <v>New</v>
      </c>
      <c r="E962" t="e">
        <f>VLOOKUP(A:A,Reviewed!B:C,2,0)</f>
        <v>#N/A</v>
      </c>
      <c r="F962" t="str">
        <f t="shared" si="33"/>
        <v/>
      </c>
    </row>
    <row r="963" spans="3:6" x14ac:dyDescent="0.35">
      <c r="C963" t="str">
        <f>IFERROR(ROUNDUP(VLOOKUP(F963,'30Days-Baseline'!C:D,2,FALSE),0),"NotExist")</f>
        <v>NotExist</v>
      </c>
      <c r="D963" t="str">
        <f t="shared" si="32"/>
        <v>New</v>
      </c>
      <c r="E963" t="e">
        <f>VLOOKUP(A:A,Reviewed!B:C,2,0)</f>
        <v>#N/A</v>
      </c>
      <c r="F963" t="str">
        <f t="shared" si="33"/>
        <v/>
      </c>
    </row>
    <row r="964" spans="3:6" x14ac:dyDescent="0.35">
      <c r="C964" t="str">
        <f>IFERROR(ROUNDUP(VLOOKUP(F964,'30Days-Baseline'!C:D,2,FALSE),0),"NotExist")</f>
        <v>NotExist</v>
      </c>
      <c r="D964" t="str">
        <f t="shared" si="32"/>
        <v>New</v>
      </c>
      <c r="E964" t="e">
        <f>VLOOKUP(A:A,Reviewed!B:C,2,0)</f>
        <v>#N/A</v>
      </c>
      <c r="F964" t="str">
        <f t="shared" si="33"/>
        <v/>
      </c>
    </row>
    <row r="965" spans="3:6" x14ac:dyDescent="0.35">
      <c r="C965" t="str">
        <f>IFERROR(ROUNDUP(VLOOKUP(F965,'30Days-Baseline'!C:D,2,FALSE),0),"NotExist")</f>
        <v>NotExist</v>
      </c>
      <c r="D965" t="str">
        <f t="shared" si="32"/>
        <v>New</v>
      </c>
      <c r="E965" t="e">
        <f>VLOOKUP(A:A,Reviewed!B:C,2,0)</f>
        <v>#N/A</v>
      </c>
      <c r="F965" t="str">
        <f t="shared" si="33"/>
        <v/>
      </c>
    </row>
    <row r="966" spans="3:6" x14ac:dyDescent="0.35">
      <c r="C966" t="str">
        <f>IFERROR(ROUNDUP(VLOOKUP(F966,'30Days-Baseline'!C:D,2,FALSE),0),"NotExist")</f>
        <v>NotExist</v>
      </c>
      <c r="D966" t="str">
        <f t="shared" si="32"/>
        <v>New</v>
      </c>
      <c r="E966" t="e">
        <f>VLOOKUP(A:A,Reviewed!B:C,2,0)</f>
        <v>#N/A</v>
      </c>
      <c r="F966" t="str">
        <f t="shared" si="33"/>
        <v/>
      </c>
    </row>
    <row r="967" spans="3:6" x14ac:dyDescent="0.35">
      <c r="C967" t="str">
        <f>IFERROR(ROUNDUP(VLOOKUP(F967,'30Days-Baseline'!C:D,2,FALSE),0),"NotExist")</f>
        <v>NotExist</v>
      </c>
      <c r="D967" t="str">
        <f t="shared" si="32"/>
        <v>New</v>
      </c>
      <c r="E967" t="e">
        <f>VLOOKUP(A:A,Reviewed!B:C,2,0)</f>
        <v>#N/A</v>
      </c>
      <c r="F967" t="str">
        <f t="shared" si="33"/>
        <v/>
      </c>
    </row>
    <row r="968" spans="3:6" x14ac:dyDescent="0.35">
      <c r="C968" t="str">
        <f>IFERROR(ROUNDUP(VLOOKUP(F968,'30Days-Baseline'!C:D,2,FALSE),0),"NotExist")</f>
        <v>NotExist</v>
      </c>
      <c r="D968" t="str">
        <f t="shared" si="32"/>
        <v>New</v>
      </c>
      <c r="E968" t="e">
        <f>VLOOKUP(A:A,Reviewed!B:C,2,0)</f>
        <v>#N/A</v>
      </c>
      <c r="F968" t="str">
        <f t="shared" si="33"/>
        <v/>
      </c>
    </row>
    <row r="969" spans="3:6" x14ac:dyDescent="0.35">
      <c r="C969" t="str">
        <f>IFERROR(ROUNDUP(VLOOKUP(F969,'30Days-Baseline'!C:D,2,FALSE),0),"NotExist")</f>
        <v>NotExist</v>
      </c>
      <c r="D969" t="str">
        <f t="shared" si="32"/>
        <v>New</v>
      </c>
      <c r="E969" t="e">
        <f>VLOOKUP(A:A,Reviewed!B:C,2,0)</f>
        <v>#N/A</v>
      </c>
      <c r="F969" t="str">
        <f t="shared" si="33"/>
        <v/>
      </c>
    </row>
    <row r="970" spans="3:6" x14ac:dyDescent="0.35">
      <c r="C970" t="str">
        <f>IFERROR(ROUNDUP(VLOOKUP(F970,'30Days-Baseline'!C:D,2,FALSE),0),"NotExist")</f>
        <v>NotExist</v>
      </c>
      <c r="D970" t="str">
        <f t="shared" si="32"/>
        <v>New</v>
      </c>
      <c r="E970" t="e">
        <f>VLOOKUP(A:A,Reviewed!B:C,2,0)</f>
        <v>#N/A</v>
      </c>
      <c r="F970" t="str">
        <f t="shared" si="33"/>
        <v/>
      </c>
    </row>
    <row r="971" spans="3:6" x14ac:dyDescent="0.35">
      <c r="C971" t="str">
        <f>IFERROR(ROUNDUP(VLOOKUP(F971,'30Days-Baseline'!C:D,2,FALSE),0),"NotExist")</f>
        <v>NotExist</v>
      </c>
      <c r="D971" t="str">
        <f t="shared" si="32"/>
        <v>New</v>
      </c>
      <c r="E971" t="e">
        <f>VLOOKUP(A:A,Reviewed!B:C,2,0)</f>
        <v>#N/A</v>
      </c>
      <c r="F971" t="str">
        <f t="shared" si="33"/>
        <v/>
      </c>
    </row>
    <row r="972" spans="3:6" x14ac:dyDescent="0.35">
      <c r="C972" t="str">
        <f>IFERROR(ROUNDUP(VLOOKUP(F972,'30Days-Baseline'!C:D,2,FALSE),0),"NotExist")</f>
        <v>NotExist</v>
      </c>
      <c r="D972" t="str">
        <f t="shared" si="32"/>
        <v>New</v>
      </c>
      <c r="E972" t="e">
        <f>VLOOKUP(A:A,Reviewed!B:C,2,0)</f>
        <v>#N/A</v>
      </c>
      <c r="F972" t="str">
        <f t="shared" si="33"/>
        <v/>
      </c>
    </row>
    <row r="973" spans="3:6" x14ac:dyDescent="0.35">
      <c r="C973" t="str">
        <f>IFERROR(ROUNDUP(VLOOKUP(F973,'30Days-Baseline'!C:D,2,FALSE),0),"NotExist")</f>
        <v>NotExist</v>
      </c>
      <c r="D973" t="str">
        <f t="shared" si="32"/>
        <v>New</v>
      </c>
      <c r="E973" t="e">
        <f>VLOOKUP(A:A,Reviewed!B:C,2,0)</f>
        <v>#N/A</v>
      </c>
      <c r="F973" t="str">
        <f t="shared" si="33"/>
        <v/>
      </c>
    </row>
    <row r="974" spans="3:6" x14ac:dyDescent="0.35">
      <c r="C974" t="str">
        <f>IFERROR(ROUNDUP(VLOOKUP(F974,'30Days-Baseline'!C:D,2,FALSE),0),"NotExist")</f>
        <v>NotExist</v>
      </c>
      <c r="D974" t="str">
        <f t="shared" si="32"/>
        <v>New</v>
      </c>
      <c r="E974" t="e">
        <f>VLOOKUP(A:A,Reviewed!B:C,2,0)</f>
        <v>#N/A</v>
      </c>
      <c r="F974" t="str">
        <f t="shared" si="33"/>
        <v/>
      </c>
    </row>
    <row r="975" spans="3:6" x14ac:dyDescent="0.35">
      <c r="C975" t="str">
        <f>IFERROR(ROUNDUP(VLOOKUP(F975,'30Days-Baseline'!C:D,2,FALSE),0),"NotExist")</f>
        <v>NotExist</v>
      </c>
      <c r="D975" t="str">
        <f t="shared" si="32"/>
        <v>New</v>
      </c>
      <c r="E975" t="e">
        <f>VLOOKUP(A:A,Reviewed!B:C,2,0)</f>
        <v>#N/A</v>
      </c>
      <c r="F975" t="str">
        <f t="shared" si="33"/>
        <v/>
      </c>
    </row>
    <row r="976" spans="3:6" x14ac:dyDescent="0.35">
      <c r="C976" t="str">
        <f>IFERROR(ROUNDUP(VLOOKUP(F976,'30Days-Baseline'!C:D,2,FALSE),0),"NotExist")</f>
        <v>NotExist</v>
      </c>
      <c r="D976" t="str">
        <f t="shared" si="32"/>
        <v>New</v>
      </c>
      <c r="E976" t="e">
        <f>VLOOKUP(A:A,Reviewed!B:C,2,0)</f>
        <v>#N/A</v>
      </c>
      <c r="F976" t="str">
        <f t="shared" si="33"/>
        <v/>
      </c>
    </row>
    <row r="977" spans="3:6" x14ac:dyDescent="0.35">
      <c r="C977" t="str">
        <f>IFERROR(ROUNDUP(VLOOKUP(F977,'30Days-Baseline'!C:D,2,FALSE),0),"NotExist")</f>
        <v>NotExist</v>
      </c>
      <c r="D977" t="str">
        <f t="shared" si="32"/>
        <v>New</v>
      </c>
      <c r="E977" t="e">
        <f>VLOOKUP(A:A,Reviewed!B:C,2,0)</f>
        <v>#N/A</v>
      </c>
      <c r="F977" t="str">
        <f t="shared" si="33"/>
        <v/>
      </c>
    </row>
    <row r="978" spans="3:6" x14ac:dyDescent="0.35">
      <c r="C978" t="str">
        <f>IFERROR(ROUNDUP(VLOOKUP(F978,'30Days-Baseline'!C:D,2,FALSE),0),"NotExist")</f>
        <v>NotExist</v>
      </c>
      <c r="D978" t="str">
        <f t="shared" si="32"/>
        <v>New</v>
      </c>
      <c r="E978" t="e">
        <f>VLOOKUP(A:A,Reviewed!B:C,2,0)</f>
        <v>#N/A</v>
      </c>
      <c r="F978" t="str">
        <f t="shared" si="33"/>
        <v/>
      </c>
    </row>
    <row r="979" spans="3:6" x14ac:dyDescent="0.35">
      <c r="C979" t="str">
        <f>IFERROR(ROUNDUP(VLOOKUP(F979,'30Days-Baseline'!C:D,2,FALSE),0),"NotExist")</f>
        <v>NotExist</v>
      </c>
      <c r="D979" t="str">
        <f t="shared" ref="D979:D1042" si="34">IFERROR(IF(B979&gt;ROUNDUP(C979,0),"Elevated","Ok"),"New")</f>
        <v>New</v>
      </c>
      <c r="E979" t="e">
        <f>VLOOKUP(A:A,Reviewed!B:C,2,0)</f>
        <v>#N/A</v>
      </c>
      <c r="F979" t="str">
        <f t="shared" ref="F979:F1042" si="35">LEFT(A979,255)</f>
        <v/>
      </c>
    </row>
    <row r="980" spans="3:6" x14ac:dyDescent="0.35">
      <c r="C980" t="str">
        <f>IFERROR(ROUNDUP(VLOOKUP(F980,'30Days-Baseline'!C:D,2,FALSE),0),"NotExist")</f>
        <v>NotExist</v>
      </c>
      <c r="D980" t="str">
        <f t="shared" si="34"/>
        <v>New</v>
      </c>
      <c r="E980" t="e">
        <f>VLOOKUP(A:A,Reviewed!B:C,2,0)</f>
        <v>#N/A</v>
      </c>
      <c r="F980" t="str">
        <f t="shared" si="35"/>
        <v/>
      </c>
    </row>
    <row r="981" spans="3:6" x14ac:dyDescent="0.35">
      <c r="C981" t="str">
        <f>IFERROR(ROUNDUP(VLOOKUP(F981,'30Days-Baseline'!C:D,2,FALSE),0),"NotExist")</f>
        <v>NotExist</v>
      </c>
      <c r="D981" t="str">
        <f t="shared" si="34"/>
        <v>New</v>
      </c>
      <c r="E981" t="e">
        <f>VLOOKUP(A:A,Reviewed!B:C,2,0)</f>
        <v>#N/A</v>
      </c>
      <c r="F981" t="str">
        <f t="shared" si="35"/>
        <v/>
      </c>
    </row>
    <row r="982" spans="3:6" x14ac:dyDescent="0.35">
      <c r="C982" t="str">
        <f>IFERROR(ROUNDUP(VLOOKUP(F982,'30Days-Baseline'!C:D,2,FALSE),0),"NotExist")</f>
        <v>NotExist</v>
      </c>
      <c r="D982" t="str">
        <f t="shared" si="34"/>
        <v>New</v>
      </c>
      <c r="E982" t="e">
        <f>VLOOKUP(A:A,Reviewed!B:C,2,0)</f>
        <v>#N/A</v>
      </c>
      <c r="F982" t="str">
        <f t="shared" si="35"/>
        <v/>
      </c>
    </row>
    <row r="983" spans="3:6" x14ac:dyDescent="0.35">
      <c r="C983" t="str">
        <f>IFERROR(ROUNDUP(VLOOKUP(F983,'30Days-Baseline'!C:D,2,FALSE),0),"NotExist")</f>
        <v>NotExist</v>
      </c>
      <c r="D983" t="str">
        <f t="shared" si="34"/>
        <v>New</v>
      </c>
      <c r="E983" t="e">
        <f>VLOOKUP(A:A,Reviewed!B:C,2,0)</f>
        <v>#N/A</v>
      </c>
      <c r="F983" t="str">
        <f t="shared" si="35"/>
        <v/>
      </c>
    </row>
    <row r="984" spans="3:6" x14ac:dyDescent="0.35">
      <c r="C984" t="str">
        <f>IFERROR(ROUNDUP(VLOOKUP(F984,'30Days-Baseline'!C:D,2,FALSE),0),"NotExist")</f>
        <v>NotExist</v>
      </c>
      <c r="D984" t="str">
        <f t="shared" si="34"/>
        <v>New</v>
      </c>
      <c r="E984" t="e">
        <f>VLOOKUP(A:A,Reviewed!B:C,2,0)</f>
        <v>#N/A</v>
      </c>
      <c r="F984" t="str">
        <f t="shared" si="35"/>
        <v/>
      </c>
    </row>
    <row r="985" spans="3:6" x14ac:dyDescent="0.35">
      <c r="C985" t="str">
        <f>IFERROR(ROUNDUP(VLOOKUP(F985,'30Days-Baseline'!C:D,2,FALSE),0),"NotExist")</f>
        <v>NotExist</v>
      </c>
      <c r="D985" t="str">
        <f t="shared" si="34"/>
        <v>New</v>
      </c>
      <c r="E985" t="e">
        <f>VLOOKUP(A:A,Reviewed!B:C,2,0)</f>
        <v>#N/A</v>
      </c>
      <c r="F985" t="str">
        <f t="shared" si="35"/>
        <v/>
      </c>
    </row>
    <row r="986" spans="3:6" x14ac:dyDescent="0.35">
      <c r="C986" t="str">
        <f>IFERROR(ROUNDUP(VLOOKUP(F986,'30Days-Baseline'!C:D,2,FALSE),0),"NotExist")</f>
        <v>NotExist</v>
      </c>
      <c r="D986" t="str">
        <f t="shared" si="34"/>
        <v>New</v>
      </c>
      <c r="E986" t="e">
        <f>VLOOKUP(A:A,Reviewed!B:C,2,0)</f>
        <v>#N/A</v>
      </c>
      <c r="F986" t="str">
        <f t="shared" si="35"/>
        <v/>
      </c>
    </row>
    <row r="987" spans="3:6" x14ac:dyDescent="0.35">
      <c r="C987" t="str">
        <f>IFERROR(ROUNDUP(VLOOKUP(F987,'30Days-Baseline'!C:D,2,FALSE),0),"NotExist")</f>
        <v>NotExist</v>
      </c>
      <c r="D987" t="str">
        <f t="shared" si="34"/>
        <v>New</v>
      </c>
      <c r="E987" t="e">
        <f>VLOOKUP(A:A,Reviewed!B:C,2,0)</f>
        <v>#N/A</v>
      </c>
      <c r="F987" t="str">
        <f t="shared" si="35"/>
        <v/>
      </c>
    </row>
    <row r="988" spans="3:6" x14ac:dyDescent="0.35">
      <c r="C988" t="str">
        <f>IFERROR(ROUNDUP(VLOOKUP(F988,'30Days-Baseline'!C:D,2,FALSE),0),"NotExist")</f>
        <v>NotExist</v>
      </c>
      <c r="D988" t="str">
        <f t="shared" si="34"/>
        <v>New</v>
      </c>
      <c r="E988" t="e">
        <f>VLOOKUP(A:A,Reviewed!B:C,2,0)</f>
        <v>#N/A</v>
      </c>
      <c r="F988" t="str">
        <f t="shared" si="35"/>
        <v/>
      </c>
    </row>
    <row r="989" spans="3:6" x14ac:dyDescent="0.35">
      <c r="C989" t="str">
        <f>IFERROR(ROUNDUP(VLOOKUP(F989,'30Days-Baseline'!C:D,2,FALSE),0),"NotExist")</f>
        <v>NotExist</v>
      </c>
      <c r="D989" t="str">
        <f t="shared" si="34"/>
        <v>New</v>
      </c>
      <c r="E989" t="e">
        <f>VLOOKUP(A:A,Reviewed!B:C,2,0)</f>
        <v>#N/A</v>
      </c>
      <c r="F989" t="str">
        <f t="shared" si="35"/>
        <v/>
      </c>
    </row>
    <row r="990" spans="3:6" x14ac:dyDescent="0.35">
      <c r="C990" t="str">
        <f>IFERROR(ROUNDUP(VLOOKUP(F990,'30Days-Baseline'!C:D,2,FALSE),0),"NotExist")</f>
        <v>NotExist</v>
      </c>
      <c r="D990" t="str">
        <f t="shared" si="34"/>
        <v>New</v>
      </c>
      <c r="E990" t="e">
        <f>VLOOKUP(A:A,Reviewed!B:C,2,0)</f>
        <v>#N/A</v>
      </c>
      <c r="F990" t="str">
        <f t="shared" si="35"/>
        <v/>
      </c>
    </row>
    <row r="991" spans="3:6" x14ac:dyDescent="0.35">
      <c r="C991" t="str">
        <f>IFERROR(ROUNDUP(VLOOKUP(F991,'30Days-Baseline'!C:D,2,FALSE),0),"NotExist")</f>
        <v>NotExist</v>
      </c>
      <c r="D991" t="str">
        <f t="shared" si="34"/>
        <v>New</v>
      </c>
      <c r="E991" t="e">
        <f>VLOOKUP(A:A,Reviewed!B:C,2,0)</f>
        <v>#N/A</v>
      </c>
      <c r="F991" t="str">
        <f t="shared" si="35"/>
        <v/>
      </c>
    </row>
    <row r="992" spans="3:6" x14ac:dyDescent="0.35">
      <c r="C992" t="str">
        <f>IFERROR(ROUNDUP(VLOOKUP(F992,'30Days-Baseline'!C:D,2,FALSE),0),"NotExist")</f>
        <v>NotExist</v>
      </c>
      <c r="D992" t="str">
        <f t="shared" si="34"/>
        <v>New</v>
      </c>
      <c r="E992" t="e">
        <f>VLOOKUP(A:A,Reviewed!B:C,2,0)</f>
        <v>#N/A</v>
      </c>
      <c r="F992" t="str">
        <f t="shared" si="35"/>
        <v/>
      </c>
    </row>
    <row r="993" spans="3:6" x14ac:dyDescent="0.35">
      <c r="C993" t="str">
        <f>IFERROR(ROUNDUP(VLOOKUP(F993,'30Days-Baseline'!C:D,2,FALSE),0),"NotExist")</f>
        <v>NotExist</v>
      </c>
      <c r="D993" t="str">
        <f t="shared" si="34"/>
        <v>New</v>
      </c>
      <c r="E993" t="e">
        <f>VLOOKUP(A:A,Reviewed!B:C,2,0)</f>
        <v>#N/A</v>
      </c>
      <c r="F993" t="str">
        <f t="shared" si="35"/>
        <v/>
      </c>
    </row>
    <row r="994" spans="3:6" x14ac:dyDescent="0.35">
      <c r="C994" t="str">
        <f>IFERROR(ROUNDUP(VLOOKUP(F994,'30Days-Baseline'!C:D,2,FALSE),0),"NotExist")</f>
        <v>NotExist</v>
      </c>
      <c r="D994" t="str">
        <f t="shared" si="34"/>
        <v>New</v>
      </c>
      <c r="E994" t="e">
        <f>VLOOKUP(A:A,Reviewed!B:C,2,0)</f>
        <v>#N/A</v>
      </c>
      <c r="F994" t="str">
        <f t="shared" si="35"/>
        <v/>
      </c>
    </row>
    <row r="995" spans="3:6" x14ac:dyDescent="0.35">
      <c r="C995" t="str">
        <f>IFERROR(ROUNDUP(VLOOKUP(F995,'30Days-Baseline'!C:D,2,FALSE),0),"NotExist")</f>
        <v>NotExist</v>
      </c>
      <c r="D995" t="str">
        <f t="shared" si="34"/>
        <v>New</v>
      </c>
      <c r="E995" t="e">
        <f>VLOOKUP(A:A,Reviewed!B:C,2,0)</f>
        <v>#N/A</v>
      </c>
      <c r="F995" t="str">
        <f t="shared" si="35"/>
        <v/>
      </c>
    </row>
    <row r="996" spans="3:6" x14ac:dyDescent="0.35">
      <c r="C996" t="str">
        <f>IFERROR(ROUNDUP(VLOOKUP(F996,'30Days-Baseline'!C:D,2,FALSE),0),"NotExist")</f>
        <v>NotExist</v>
      </c>
      <c r="D996" t="str">
        <f t="shared" si="34"/>
        <v>New</v>
      </c>
      <c r="E996" t="e">
        <f>VLOOKUP(A:A,Reviewed!B:C,2,0)</f>
        <v>#N/A</v>
      </c>
      <c r="F996" t="str">
        <f t="shared" si="35"/>
        <v/>
      </c>
    </row>
    <row r="997" spans="3:6" x14ac:dyDescent="0.35">
      <c r="C997" t="str">
        <f>IFERROR(ROUNDUP(VLOOKUP(F997,'30Days-Baseline'!C:D,2,FALSE),0),"NotExist")</f>
        <v>NotExist</v>
      </c>
      <c r="D997" t="str">
        <f t="shared" si="34"/>
        <v>New</v>
      </c>
      <c r="E997" t="e">
        <f>VLOOKUP(A:A,Reviewed!B:C,2,0)</f>
        <v>#N/A</v>
      </c>
      <c r="F997" t="str">
        <f t="shared" si="35"/>
        <v/>
      </c>
    </row>
    <row r="998" spans="3:6" x14ac:dyDescent="0.35">
      <c r="C998" t="str">
        <f>IFERROR(ROUNDUP(VLOOKUP(F998,'30Days-Baseline'!C:D,2,FALSE),0),"NotExist")</f>
        <v>NotExist</v>
      </c>
      <c r="D998" t="str">
        <f t="shared" si="34"/>
        <v>New</v>
      </c>
      <c r="E998" t="e">
        <f>VLOOKUP(A:A,Reviewed!B:C,2,0)</f>
        <v>#N/A</v>
      </c>
      <c r="F998" t="str">
        <f t="shared" si="35"/>
        <v/>
      </c>
    </row>
    <row r="999" spans="3:6" x14ac:dyDescent="0.35">
      <c r="C999" t="str">
        <f>IFERROR(ROUNDUP(VLOOKUP(F999,'30Days-Baseline'!C:D,2,FALSE),0),"NotExist")</f>
        <v>NotExist</v>
      </c>
      <c r="D999" t="str">
        <f t="shared" si="34"/>
        <v>New</v>
      </c>
      <c r="E999" t="e">
        <f>VLOOKUP(A:A,Reviewed!B:C,2,0)</f>
        <v>#N/A</v>
      </c>
      <c r="F999" t="str">
        <f t="shared" si="35"/>
        <v/>
      </c>
    </row>
    <row r="1000" spans="3:6" x14ac:dyDescent="0.35">
      <c r="C1000" t="str">
        <f>IFERROR(ROUNDUP(VLOOKUP(F1000,'30Days-Baseline'!C:D,2,FALSE),0),"NotExist")</f>
        <v>NotExist</v>
      </c>
      <c r="D1000" t="str">
        <f t="shared" si="34"/>
        <v>New</v>
      </c>
      <c r="E1000" t="e">
        <f>VLOOKUP(A:A,Reviewed!B:C,2,0)</f>
        <v>#N/A</v>
      </c>
      <c r="F1000" t="str">
        <f t="shared" si="35"/>
        <v/>
      </c>
    </row>
    <row r="1001" spans="3:6" x14ac:dyDescent="0.35">
      <c r="C1001" t="str">
        <f>IFERROR(ROUNDUP(VLOOKUP(F1001,'30Days-Baseline'!C:D,2,FALSE),0),"NotExist")</f>
        <v>NotExist</v>
      </c>
      <c r="D1001" t="str">
        <f t="shared" si="34"/>
        <v>New</v>
      </c>
      <c r="E1001" t="e">
        <f>VLOOKUP(A:A,Reviewed!B:C,2,0)</f>
        <v>#N/A</v>
      </c>
      <c r="F1001" t="str">
        <f t="shared" si="35"/>
        <v/>
      </c>
    </row>
    <row r="1002" spans="3:6" x14ac:dyDescent="0.35">
      <c r="C1002" t="str">
        <f>IFERROR(ROUNDUP(VLOOKUP(F1002,'30Days-Baseline'!C:D,2,FALSE),0),"NotExist")</f>
        <v>NotExist</v>
      </c>
      <c r="D1002" t="str">
        <f t="shared" si="34"/>
        <v>New</v>
      </c>
      <c r="E1002" t="e">
        <f>VLOOKUP(A:A,Reviewed!B:C,2,0)</f>
        <v>#N/A</v>
      </c>
      <c r="F1002" t="str">
        <f t="shared" si="35"/>
        <v/>
      </c>
    </row>
    <row r="1003" spans="3:6" x14ac:dyDescent="0.35">
      <c r="C1003" t="str">
        <f>IFERROR(ROUNDUP(VLOOKUP(F1003,'30Days-Baseline'!C:D,2,FALSE),0),"NotExist")</f>
        <v>NotExist</v>
      </c>
      <c r="D1003" t="str">
        <f t="shared" si="34"/>
        <v>New</v>
      </c>
      <c r="E1003" t="e">
        <f>VLOOKUP(A:A,Reviewed!B:C,2,0)</f>
        <v>#N/A</v>
      </c>
      <c r="F1003" t="str">
        <f t="shared" si="35"/>
        <v/>
      </c>
    </row>
    <row r="1004" spans="3:6" x14ac:dyDescent="0.35">
      <c r="C1004" t="str">
        <f>IFERROR(ROUNDUP(VLOOKUP(F1004,'30Days-Baseline'!C:D,2,FALSE),0),"NotExist")</f>
        <v>NotExist</v>
      </c>
      <c r="D1004" t="str">
        <f t="shared" si="34"/>
        <v>New</v>
      </c>
      <c r="E1004" t="e">
        <f>VLOOKUP(A:A,Reviewed!B:C,2,0)</f>
        <v>#N/A</v>
      </c>
      <c r="F1004" t="str">
        <f t="shared" si="35"/>
        <v/>
      </c>
    </row>
    <row r="1005" spans="3:6" x14ac:dyDescent="0.35">
      <c r="C1005" t="str">
        <f>IFERROR(ROUNDUP(VLOOKUP(F1005,'30Days-Baseline'!C:D,2,FALSE),0),"NotExist")</f>
        <v>NotExist</v>
      </c>
      <c r="D1005" t="str">
        <f t="shared" si="34"/>
        <v>New</v>
      </c>
      <c r="E1005" t="e">
        <f>VLOOKUP(A:A,Reviewed!B:C,2,0)</f>
        <v>#N/A</v>
      </c>
      <c r="F1005" t="str">
        <f t="shared" si="35"/>
        <v/>
      </c>
    </row>
    <row r="1006" spans="3:6" x14ac:dyDescent="0.35">
      <c r="C1006" t="str">
        <f>IFERROR(ROUNDUP(VLOOKUP(F1006,'30Days-Baseline'!C:D,2,FALSE),0),"NotExist")</f>
        <v>NotExist</v>
      </c>
      <c r="D1006" t="str">
        <f t="shared" si="34"/>
        <v>New</v>
      </c>
      <c r="E1006" t="e">
        <f>VLOOKUP(A:A,Reviewed!B:C,2,0)</f>
        <v>#N/A</v>
      </c>
      <c r="F1006" t="str">
        <f t="shared" si="35"/>
        <v/>
      </c>
    </row>
    <row r="1007" spans="3:6" x14ac:dyDescent="0.35">
      <c r="C1007" t="str">
        <f>IFERROR(ROUNDUP(VLOOKUP(F1007,'30Days-Baseline'!C:D,2,FALSE),0),"NotExist")</f>
        <v>NotExist</v>
      </c>
      <c r="D1007" t="str">
        <f t="shared" si="34"/>
        <v>New</v>
      </c>
      <c r="E1007" t="e">
        <f>VLOOKUP(A:A,Reviewed!B:C,2,0)</f>
        <v>#N/A</v>
      </c>
      <c r="F1007" t="str">
        <f t="shared" si="35"/>
        <v/>
      </c>
    </row>
    <row r="1008" spans="3:6" x14ac:dyDescent="0.35">
      <c r="C1008" t="str">
        <f>IFERROR(ROUNDUP(VLOOKUP(F1008,'30Days-Baseline'!C:D,2,FALSE),0),"NotExist")</f>
        <v>NotExist</v>
      </c>
      <c r="D1008" t="str">
        <f t="shared" si="34"/>
        <v>New</v>
      </c>
      <c r="E1008" t="e">
        <f>VLOOKUP(A:A,Reviewed!B:C,2,0)</f>
        <v>#N/A</v>
      </c>
      <c r="F1008" t="str">
        <f t="shared" si="35"/>
        <v/>
      </c>
    </row>
    <row r="1009" spans="3:6" x14ac:dyDescent="0.35">
      <c r="C1009" t="str">
        <f>IFERROR(ROUNDUP(VLOOKUP(F1009,'30Days-Baseline'!C:D,2,FALSE),0),"NotExist")</f>
        <v>NotExist</v>
      </c>
      <c r="D1009" t="str">
        <f t="shared" si="34"/>
        <v>New</v>
      </c>
      <c r="E1009" t="e">
        <f>VLOOKUP(A:A,Reviewed!B:C,2,0)</f>
        <v>#N/A</v>
      </c>
      <c r="F1009" t="str">
        <f t="shared" si="35"/>
        <v/>
      </c>
    </row>
    <row r="1010" spans="3:6" x14ac:dyDescent="0.35">
      <c r="C1010" t="str">
        <f>IFERROR(ROUNDUP(VLOOKUP(F1010,'30Days-Baseline'!C:D,2,FALSE),0),"NotExist")</f>
        <v>NotExist</v>
      </c>
      <c r="D1010" t="str">
        <f t="shared" si="34"/>
        <v>New</v>
      </c>
      <c r="E1010" t="e">
        <f>VLOOKUP(A:A,Reviewed!B:C,2,0)</f>
        <v>#N/A</v>
      </c>
      <c r="F1010" t="str">
        <f t="shared" si="35"/>
        <v/>
      </c>
    </row>
    <row r="1011" spans="3:6" x14ac:dyDescent="0.35">
      <c r="C1011" t="str">
        <f>IFERROR(ROUNDUP(VLOOKUP(F1011,'30Days-Baseline'!C:D,2,FALSE),0),"NotExist")</f>
        <v>NotExist</v>
      </c>
      <c r="D1011" t="str">
        <f t="shared" si="34"/>
        <v>New</v>
      </c>
      <c r="E1011" t="e">
        <f>VLOOKUP(A:A,Reviewed!B:C,2,0)</f>
        <v>#N/A</v>
      </c>
      <c r="F1011" t="str">
        <f t="shared" si="35"/>
        <v/>
      </c>
    </row>
    <row r="1012" spans="3:6" x14ac:dyDescent="0.35">
      <c r="C1012" t="str">
        <f>IFERROR(ROUNDUP(VLOOKUP(F1012,'30Days-Baseline'!C:D,2,FALSE),0),"NotExist")</f>
        <v>NotExist</v>
      </c>
      <c r="D1012" t="str">
        <f t="shared" si="34"/>
        <v>New</v>
      </c>
      <c r="E1012" t="e">
        <f>VLOOKUP(A:A,Reviewed!B:C,2,0)</f>
        <v>#N/A</v>
      </c>
      <c r="F1012" t="str">
        <f t="shared" si="35"/>
        <v/>
      </c>
    </row>
    <row r="1013" spans="3:6" x14ac:dyDescent="0.35">
      <c r="C1013" t="str">
        <f>IFERROR(ROUNDUP(VLOOKUP(F1013,'30Days-Baseline'!C:D,2,FALSE),0),"NotExist")</f>
        <v>NotExist</v>
      </c>
      <c r="D1013" t="str">
        <f t="shared" si="34"/>
        <v>New</v>
      </c>
      <c r="E1013" t="e">
        <f>VLOOKUP(A:A,Reviewed!B:C,2,0)</f>
        <v>#N/A</v>
      </c>
      <c r="F1013" t="str">
        <f t="shared" si="35"/>
        <v/>
      </c>
    </row>
    <row r="1014" spans="3:6" x14ac:dyDescent="0.35">
      <c r="C1014" t="str">
        <f>IFERROR(ROUNDUP(VLOOKUP(F1014,'30Days-Baseline'!C:D,2,FALSE),0),"NotExist")</f>
        <v>NotExist</v>
      </c>
      <c r="D1014" t="str">
        <f t="shared" si="34"/>
        <v>New</v>
      </c>
      <c r="E1014" t="e">
        <f>VLOOKUP(A:A,Reviewed!B:C,2,0)</f>
        <v>#N/A</v>
      </c>
      <c r="F1014" t="str">
        <f t="shared" si="35"/>
        <v/>
      </c>
    </row>
    <row r="1015" spans="3:6" x14ac:dyDescent="0.35">
      <c r="C1015" t="str">
        <f>IFERROR(ROUNDUP(VLOOKUP(F1015,'30Days-Baseline'!C:D,2,FALSE),0),"NotExist")</f>
        <v>NotExist</v>
      </c>
      <c r="D1015" t="str">
        <f t="shared" si="34"/>
        <v>New</v>
      </c>
      <c r="E1015" t="e">
        <f>VLOOKUP(A:A,Reviewed!B:C,2,0)</f>
        <v>#N/A</v>
      </c>
      <c r="F1015" t="str">
        <f t="shared" si="35"/>
        <v/>
      </c>
    </row>
    <row r="1016" spans="3:6" x14ac:dyDescent="0.35">
      <c r="C1016" t="str">
        <f>IFERROR(ROUNDUP(VLOOKUP(F1016,'30Days-Baseline'!C:D,2,FALSE),0),"NotExist")</f>
        <v>NotExist</v>
      </c>
      <c r="D1016" t="str">
        <f t="shared" si="34"/>
        <v>New</v>
      </c>
      <c r="E1016" t="e">
        <f>VLOOKUP(A:A,Reviewed!B:C,2,0)</f>
        <v>#N/A</v>
      </c>
      <c r="F1016" t="str">
        <f t="shared" si="35"/>
        <v/>
      </c>
    </row>
    <row r="1017" spans="3:6" x14ac:dyDescent="0.35">
      <c r="C1017" t="str">
        <f>IFERROR(ROUNDUP(VLOOKUP(F1017,'30Days-Baseline'!C:D,2,FALSE),0),"NotExist")</f>
        <v>NotExist</v>
      </c>
      <c r="D1017" t="str">
        <f t="shared" si="34"/>
        <v>New</v>
      </c>
      <c r="E1017" t="e">
        <f>VLOOKUP(A:A,Reviewed!B:C,2,0)</f>
        <v>#N/A</v>
      </c>
      <c r="F1017" t="str">
        <f t="shared" si="35"/>
        <v/>
      </c>
    </row>
    <row r="1018" spans="3:6" x14ac:dyDescent="0.35">
      <c r="C1018" t="str">
        <f>IFERROR(ROUNDUP(VLOOKUP(F1018,'30Days-Baseline'!C:D,2,FALSE),0),"NotExist")</f>
        <v>NotExist</v>
      </c>
      <c r="D1018" t="str">
        <f t="shared" si="34"/>
        <v>New</v>
      </c>
      <c r="E1018" t="e">
        <f>VLOOKUP(A:A,Reviewed!B:C,2,0)</f>
        <v>#N/A</v>
      </c>
      <c r="F1018" t="str">
        <f t="shared" si="35"/>
        <v/>
      </c>
    </row>
    <row r="1019" spans="3:6" x14ac:dyDescent="0.35">
      <c r="C1019" t="str">
        <f>IFERROR(ROUNDUP(VLOOKUP(F1019,'30Days-Baseline'!C:D,2,FALSE),0),"NotExist")</f>
        <v>NotExist</v>
      </c>
      <c r="D1019" t="str">
        <f t="shared" si="34"/>
        <v>New</v>
      </c>
      <c r="E1019" t="e">
        <f>VLOOKUP(A:A,Reviewed!B:C,2,0)</f>
        <v>#N/A</v>
      </c>
      <c r="F1019" t="str">
        <f t="shared" si="35"/>
        <v/>
      </c>
    </row>
    <row r="1020" spans="3:6" x14ac:dyDescent="0.35">
      <c r="C1020" t="str">
        <f>IFERROR(ROUNDUP(VLOOKUP(F1020,'30Days-Baseline'!C:D,2,FALSE),0),"NotExist")</f>
        <v>NotExist</v>
      </c>
      <c r="D1020" t="str">
        <f t="shared" si="34"/>
        <v>New</v>
      </c>
      <c r="E1020" t="e">
        <f>VLOOKUP(A:A,Reviewed!B:C,2,0)</f>
        <v>#N/A</v>
      </c>
      <c r="F1020" t="str">
        <f t="shared" si="35"/>
        <v/>
      </c>
    </row>
    <row r="1021" spans="3:6" x14ac:dyDescent="0.35">
      <c r="C1021" t="str">
        <f>IFERROR(ROUNDUP(VLOOKUP(F1021,'30Days-Baseline'!C:D,2,FALSE),0),"NotExist")</f>
        <v>NotExist</v>
      </c>
      <c r="D1021" t="str">
        <f t="shared" si="34"/>
        <v>New</v>
      </c>
      <c r="E1021" t="e">
        <f>VLOOKUP(A:A,Reviewed!B:C,2,0)</f>
        <v>#N/A</v>
      </c>
      <c r="F1021" t="str">
        <f t="shared" si="35"/>
        <v/>
      </c>
    </row>
    <row r="1022" spans="3:6" x14ac:dyDescent="0.35">
      <c r="C1022" t="str">
        <f>IFERROR(ROUNDUP(VLOOKUP(F1022,'30Days-Baseline'!C:D,2,FALSE),0),"NotExist")</f>
        <v>NotExist</v>
      </c>
      <c r="D1022" t="str">
        <f t="shared" si="34"/>
        <v>New</v>
      </c>
      <c r="E1022" t="e">
        <f>VLOOKUP(A:A,Reviewed!B:C,2,0)</f>
        <v>#N/A</v>
      </c>
      <c r="F1022" t="str">
        <f t="shared" si="35"/>
        <v/>
      </c>
    </row>
    <row r="1023" spans="3:6" x14ac:dyDescent="0.35">
      <c r="C1023" t="str">
        <f>IFERROR(ROUNDUP(VLOOKUP(F1023,'30Days-Baseline'!C:D,2,FALSE),0),"NotExist")</f>
        <v>NotExist</v>
      </c>
      <c r="D1023" t="str">
        <f t="shared" si="34"/>
        <v>New</v>
      </c>
      <c r="E1023" t="e">
        <f>VLOOKUP(A:A,Reviewed!B:C,2,0)</f>
        <v>#N/A</v>
      </c>
      <c r="F1023" t="str">
        <f t="shared" si="35"/>
        <v/>
      </c>
    </row>
    <row r="1024" spans="3:6" x14ac:dyDescent="0.35">
      <c r="C1024" t="str">
        <f>IFERROR(ROUNDUP(VLOOKUP(F1024,'30Days-Baseline'!C:D,2,FALSE),0),"NotExist")</f>
        <v>NotExist</v>
      </c>
      <c r="D1024" t="str">
        <f t="shared" si="34"/>
        <v>New</v>
      </c>
      <c r="E1024" t="e">
        <f>VLOOKUP(A:A,Reviewed!B:C,2,0)</f>
        <v>#N/A</v>
      </c>
      <c r="F1024" t="str">
        <f t="shared" si="35"/>
        <v/>
      </c>
    </row>
    <row r="1025" spans="3:6" x14ac:dyDescent="0.35">
      <c r="C1025" t="str">
        <f>IFERROR(ROUNDUP(VLOOKUP(F1025,'30Days-Baseline'!C:D,2,FALSE),0),"NotExist")</f>
        <v>NotExist</v>
      </c>
      <c r="D1025" t="str">
        <f t="shared" si="34"/>
        <v>New</v>
      </c>
      <c r="E1025" t="e">
        <f>VLOOKUP(A:A,Reviewed!B:C,2,0)</f>
        <v>#N/A</v>
      </c>
      <c r="F1025" t="str">
        <f t="shared" si="35"/>
        <v/>
      </c>
    </row>
    <row r="1026" spans="3:6" x14ac:dyDescent="0.35">
      <c r="C1026" t="str">
        <f>IFERROR(ROUNDUP(VLOOKUP(F1026,'30Days-Baseline'!C:D,2,FALSE),0),"NotExist")</f>
        <v>NotExist</v>
      </c>
      <c r="D1026" t="str">
        <f t="shared" si="34"/>
        <v>New</v>
      </c>
      <c r="E1026" t="e">
        <f>VLOOKUP(A:A,Reviewed!B:C,2,0)</f>
        <v>#N/A</v>
      </c>
      <c r="F1026" t="str">
        <f t="shared" si="35"/>
        <v/>
      </c>
    </row>
    <row r="1027" spans="3:6" x14ac:dyDescent="0.35">
      <c r="C1027" t="str">
        <f>IFERROR(ROUNDUP(VLOOKUP(F1027,'30Days-Baseline'!C:D,2,FALSE),0),"NotExist")</f>
        <v>NotExist</v>
      </c>
      <c r="D1027" t="str">
        <f t="shared" si="34"/>
        <v>New</v>
      </c>
      <c r="E1027" t="e">
        <f>VLOOKUP(A:A,Reviewed!B:C,2,0)</f>
        <v>#N/A</v>
      </c>
      <c r="F1027" t="str">
        <f t="shared" si="35"/>
        <v/>
      </c>
    </row>
    <row r="1028" spans="3:6" x14ac:dyDescent="0.35">
      <c r="C1028" t="str">
        <f>IFERROR(ROUNDUP(VLOOKUP(F1028,'30Days-Baseline'!C:D,2,FALSE),0),"NotExist")</f>
        <v>NotExist</v>
      </c>
      <c r="D1028" t="str">
        <f t="shared" si="34"/>
        <v>New</v>
      </c>
      <c r="E1028" t="e">
        <f>VLOOKUP(A:A,Reviewed!B:C,2,0)</f>
        <v>#N/A</v>
      </c>
      <c r="F1028" t="str">
        <f t="shared" si="35"/>
        <v/>
      </c>
    </row>
    <row r="1029" spans="3:6" x14ac:dyDescent="0.35">
      <c r="C1029" t="str">
        <f>IFERROR(ROUNDUP(VLOOKUP(F1029,'30Days-Baseline'!C:D,2,FALSE),0),"NotExist")</f>
        <v>NotExist</v>
      </c>
      <c r="D1029" t="str">
        <f t="shared" si="34"/>
        <v>New</v>
      </c>
      <c r="E1029" t="e">
        <f>VLOOKUP(A:A,Reviewed!B:C,2,0)</f>
        <v>#N/A</v>
      </c>
      <c r="F1029" t="str">
        <f t="shared" si="35"/>
        <v/>
      </c>
    </row>
    <row r="1030" spans="3:6" x14ac:dyDescent="0.35">
      <c r="C1030" t="str">
        <f>IFERROR(ROUNDUP(VLOOKUP(F1030,'30Days-Baseline'!C:D,2,FALSE),0),"NotExist")</f>
        <v>NotExist</v>
      </c>
      <c r="D1030" t="str">
        <f t="shared" si="34"/>
        <v>New</v>
      </c>
      <c r="E1030" t="e">
        <f>VLOOKUP(A:A,Reviewed!B:C,2,0)</f>
        <v>#N/A</v>
      </c>
      <c r="F1030" t="str">
        <f t="shared" si="35"/>
        <v/>
      </c>
    </row>
    <row r="1031" spans="3:6" x14ac:dyDescent="0.35">
      <c r="C1031" t="str">
        <f>IFERROR(ROUNDUP(VLOOKUP(F1031,'30Days-Baseline'!C:D,2,FALSE),0),"NotExist")</f>
        <v>NotExist</v>
      </c>
      <c r="D1031" t="str">
        <f t="shared" si="34"/>
        <v>New</v>
      </c>
      <c r="E1031" t="e">
        <f>VLOOKUP(A:A,Reviewed!B:C,2,0)</f>
        <v>#N/A</v>
      </c>
      <c r="F1031" t="str">
        <f t="shared" si="35"/>
        <v/>
      </c>
    </row>
    <row r="1032" spans="3:6" x14ac:dyDescent="0.35">
      <c r="C1032" t="str">
        <f>IFERROR(ROUNDUP(VLOOKUP(F1032,'30Days-Baseline'!C:D,2,FALSE),0),"NotExist")</f>
        <v>NotExist</v>
      </c>
      <c r="D1032" t="str">
        <f t="shared" si="34"/>
        <v>New</v>
      </c>
      <c r="E1032" t="e">
        <f>VLOOKUP(A:A,Reviewed!B:C,2,0)</f>
        <v>#N/A</v>
      </c>
      <c r="F1032" t="str">
        <f t="shared" si="35"/>
        <v/>
      </c>
    </row>
    <row r="1033" spans="3:6" x14ac:dyDescent="0.35">
      <c r="C1033" t="str">
        <f>IFERROR(ROUNDUP(VLOOKUP(F1033,'30Days-Baseline'!C:D,2,FALSE),0),"NotExist")</f>
        <v>NotExist</v>
      </c>
      <c r="D1033" t="str">
        <f t="shared" si="34"/>
        <v>New</v>
      </c>
      <c r="E1033" t="e">
        <f>VLOOKUP(A:A,Reviewed!B:C,2,0)</f>
        <v>#N/A</v>
      </c>
      <c r="F1033" t="str">
        <f t="shared" si="35"/>
        <v/>
      </c>
    </row>
    <row r="1034" spans="3:6" x14ac:dyDescent="0.35">
      <c r="C1034" t="str">
        <f>IFERROR(ROUNDUP(VLOOKUP(F1034,'30Days-Baseline'!C:D,2,FALSE),0),"NotExist")</f>
        <v>NotExist</v>
      </c>
      <c r="D1034" t="str">
        <f t="shared" si="34"/>
        <v>New</v>
      </c>
      <c r="E1034" t="e">
        <f>VLOOKUP(A:A,Reviewed!B:C,2,0)</f>
        <v>#N/A</v>
      </c>
      <c r="F1034" t="str">
        <f t="shared" si="35"/>
        <v/>
      </c>
    </row>
    <row r="1035" spans="3:6" x14ac:dyDescent="0.35">
      <c r="C1035" t="str">
        <f>IFERROR(ROUNDUP(VLOOKUP(F1035,'30Days-Baseline'!C:D,2,FALSE),0),"NotExist")</f>
        <v>NotExist</v>
      </c>
      <c r="D1035" t="str">
        <f t="shared" si="34"/>
        <v>New</v>
      </c>
      <c r="E1035" t="e">
        <f>VLOOKUP(A:A,Reviewed!B:C,2,0)</f>
        <v>#N/A</v>
      </c>
      <c r="F1035" t="str">
        <f t="shared" si="35"/>
        <v/>
      </c>
    </row>
    <row r="1036" spans="3:6" x14ac:dyDescent="0.35">
      <c r="C1036" t="str">
        <f>IFERROR(ROUNDUP(VLOOKUP(F1036,'30Days-Baseline'!C:D,2,FALSE),0),"NotExist")</f>
        <v>NotExist</v>
      </c>
      <c r="D1036" t="str">
        <f t="shared" si="34"/>
        <v>New</v>
      </c>
      <c r="E1036" t="e">
        <f>VLOOKUP(A:A,Reviewed!B:C,2,0)</f>
        <v>#N/A</v>
      </c>
      <c r="F1036" t="str">
        <f t="shared" si="35"/>
        <v/>
      </c>
    </row>
    <row r="1037" spans="3:6" x14ac:dyDescent="0.35">
      <c r="C1037" t="str">
        <f>IFERROR(ROUNDUP(VLOOKUP(F1037,'30Days-Baseline'!C:D,2,FALSE),0),"NotExist")</f>
        <v>NotExist</v>
      </c>
      <c r="D1037" t="str">
        <f t="shared" si="34"/>
        <v>New</v>
      </c>
      <c r="E1037" t="e">
        <f>VLOOKUP(A:A,Reviewed!B:C,2,0)</f>
        <v>#N/A</v>
      </c>
      <c r="F1037" t="str">
        <f t="shared" si="35"/>
        <v/>
      </c>
    </row>
    <row r="1038" spans="3:6" x14ac:dyDescent="0.35">
      <c r="C1038" t="str">
        <f>IFERROR(ROUNDUP(VLOOKUP(F1038,'30Days-Baseline'!C:D,2,FALSE),0),"NotExist")</f>
        <v>NotExist</v>
      </c>
      <c r="D1038" t="str">
        <f t="shared" si="34"/>
        <v>New</v>
      </c>
      <c r="E1038" t="e">
        <f>VLOOKUP(A:A,Reviewed!B:C,2,0)</f>
        <v>#N/A</v>
      </c>
      <c r="F1038" t="str">
        <f t="shared" si="35"/>
        <v/>
      </c>
    </row>
    <row r="1039" spans="3:6" x14ac:dyDescent="0.35">
      <c r="C1039" t="str">
        <f>IFERROR(ROUNDUP(VLOOKUP(F1039,'30Days-Baseline'!C:D,2,FALSE),0),"NotExist")</f>
        <v>NotExist</v>
      </c>
      <c r="D1039" t="str">
        <f t="shared" si="34"/>
        <v>New</v>
      </c>
      <c r="E1039" t="e">
        <f>VLOOKUP(A:A,Reviewed!B:C,2,0)</f>
        <v>#N/A</v>
      </c>
      <c r="F1039" t="str">
        <f t="shared" si="35"/>
        <v/>
      </c>
    </row>
    <row r="1040" spans="3:6" x14ac:dyDescent="0.35">
      <c r="C1040" t="str">
        <f>IFERROR(ROUNDUP(VLOOKUP(F1040,'30Days-Baseline'!C:D,2,FALSE),0),"NotExist")</f>
        <v>NotExist</v>
      </c>
      <c r="D1040" t="str">
        <f t="shared" si="34"/>
        <v>New</v>
      </c>
      <c r="E1040" t="e">
        <f>VLOOKUP(A:A,Reviewed!B:C,2,0)</f>
        <v>#N/A</v>
      </c>
      <c r="F1040" t="str">
        <f t="shared" si="35"/>
        <v/>
      </c>
    </row>
    <row r="1041" spans="1:6" x14ac:dyDescent="0.35">
      <c r="C1041" t="str">
        <f>IFERROR(ROUNDUP(VLOOKUP(F1041,'30Days-Baseline'!C:D,2,FALSE),0),"NotExist")</f>
        <v>NotExist</v>
      </c>
      <c r="D1041" t="str">
        <f t="shared" si="34"/>
        <v>New</v>
      </c>
      <c r="E1041" t="e">
        <f>VLOOKUP(A:A,Reviewed!B:C,2,0)</f>
        <v>#N/A</v>
      </c>
      <c r="F1041" t="str">
        <f t="shared" si="35"/>
        <v/>
      </c>
    </row>
    <row r="1042" spans="1:6" x14ac:dyDescent="0.35">
      <c r="C1042" t="str">
        <f>IFERROR(ROUNDUP(VLOOKUP(F1042,'30Days-Baseline'!C:D,2,FALSE),0),"NotExist")</f>
        <v>NotExist</v>
      </c>
      <c r="D1042" t="str">
        <f t="shared" si="34"/>
        <v>New</v>
      </c>
      <c r="E1042" t="e">
        <f>VLOOKUP(A:A,Reviewed!B:C,2,0)</f>
        <v>#N/A</v>
      </c>
      <c r="F1042" t="str">
        <f t="shared" si="35"/>
        <v/>
      </c>
    </row>
    <row r="1043" spans="1:6" x14ac:dyDescent="0.35">
      <c r="C1043" t="str">
        <f>IFERROR(ROUNDUP(VLOOKUP(F1043,'30Days-Baseline'!C:D,2,FALSE),0),"NotExist")</f>
        <v>NotExist</v>
      </c>
      <c r="D1043" t="str">
        <f t="shared" ref="D1043:D1106" si="36">IFERROR(IF(B1043&gt;ROUNDUP(C1043,0),"Elevated","Ok"),"New")</f>
        <v>New</v>
      </c>
      <c r="E1043" t="e">
        <f>VLOOKUP(A:A,Reviewed!B:C,2,0)</f>
        <v>#N/A</v>
      </c>
      <c r="F1043" t="str">
        <f t="shared" ref="F1043:F1106" si="37">LEFT(A1043,255)</f>
        <v/>
      </c>
    </row>
    <row r="1044" spans="1:6" x14ac:dyDescent="0.35">
      <c r="C1044" t="str">
        <f>IFERROR(ROUNDUP(VLOOKUP(F1044,'30Days-Baseline'!C:D,2,FALSE),0),"NotExist")</f>
        <v>NotExist</v>
      </c>
      <c r="D1044" t="str">
        <f t="shared" si="36"/>
        <v>New</v>
      </c>
      <c r="E1044" t="e">
        <f>VLOOKUP(A:A,Reviewed!B:C,2,0)</f>
        <v>#N/A</v>
      </c>
      <c r="F1044" t="str">
        <f t="shared" si="37"/>
        <v/>
      </c>
    </row>
    <row r="1045" spans="1:6" x14ac:dyDescent="0.35">
      <c r="C1045" t="str">
        <f>IFERROR(ROUNDUP(VLOOKUP(F1045,'30Days-Baseline'!C:D,2,FALSE),0),"NotExist")</f>
        <v>NotExist</v>
      </c>
      <c r="D1045" t="str">
        <f t="shared" si="36"/>
        <v>New</v>
      </c>
      <c r="E1045" t="e">
        <f>VLOOKUP(A:A,Reviewed!B:C,2,0)</f>
        <v>#N/A</v>
      </c>
      <c r="F1045" t="str">
        <f t="shared" si="37"/>
        <v/>
      </c>
    </row>
    <row r="1046" spans="1:6" x14ac:dyDescent="0.35">
      <c r="C1046" t="str">
        <f>IFERROR(ROUNDUP(VLOOKUP(F1046,'30Days-Baseline'!C:D,2,FALSE),0),"NotExist")</f>
        <v>NotExist</v>
      </c>
      <c r="D1046" t="str">
        <f t="shared" si="36"/>
        <v>New</v>
      </c>
      <c r="E1046" t="e">
        <f>VLOOKUP(A:A,Reviewed!B:C,2,0)</f>
        <v>#N/A</v>
      </c>
      <c r="F1046" t="str">
        <f t="shared" si="37"/>
        <v/>
      </c>
    </row>
    <row r="1047" spans="1:6" x14ac:dyDescent="0.35">
      <c r="C1047" t="str">
        <f>IFERROR(ROUNDUP(VLOOKUP(F1047,'30Days-Baseline'!C:D,2,FALSE),0),"NotExist")</f>
        <v>NotExist</v>
      </c>
      <c r="D1047" t="str">
        <f t="shared" si="36"/>
        <v>New</v>
      </c>
      <c r="E1047" t="e">
        <f>VLOOKUP(A:A,Reviewed!B:C,2,0)</f>
        <v>#N/A</v>
      </c>
      <c r="F1047" t="str">
        <f t="shared" si="37"/>
        <v/>
      </c>
    </row>
    <row r="1048" spans="1:6" x14ac:dyDescent="0.35">
      <c r="C1048" t="str">
        <f>IFERROR(ROUNDUP(VLOOKUP(F1048,'30Days-Baseline'!C:D,2,FALSE),0),"NotExist")</f>
        <v>NotExist</v>
      </c>
      <c r="D1048" t="str">
        <f t="shared" si="36"/>
        <v>New</v>
      </c>
      <c r="E1048" t="e">
        <f>VLOOKUP(A:A,Reviewed!B:C,2,0)</f>
        <v>#N/A</v>
      </c>
      <c r="F1048" t="str">
        <f t="shared" si="37"/>
        <v/>
      </c>
    </row>
    <row r="1049" spans="1:6" x14ac:dyDescent="0.35">
      <c r="C1049" t="str">
        <f>IFERROR(ROUNDUP(VLOOKUP(F1049,'30Days-Baseline'!C:D,2,FALSE),0),"NotExist")</f>
        <v>NotExist</v>
      </c>
      <c r="D1049" t="str">
        <f t="shared" si="36"/>
        <v>New</v>
      </c>
      <c r="E1049" t="e">
        <f>VLOOKUP(A:A,Reviewed!B:C,2,0)</f>
        <v>#N/A</v>
      </c>
      <c r="F1049" t="str">
        <f t="shared" si="37"/>
        <v/>
      </c>
    </row>
    <row r="1050" spans="1:6" x14ac:dyDescent="0.35">
      <c r="A1050" s="4"/>
      <c r="C1050" t="str">
        <f>IFERROR(ROUNDUP(VLOOKUP(F1050,'30Days-Baseline'!C:D,2,FALSE),0),"NotExist")</f>
        <v>NotExist</v>
      </c>
      <c r="D1050" t="str">
        <f t="shared" si="36"/>
        <v>New</v>
      </c>
      <c r="E1050" t="e">
        <f>VLOOKUP(A:A,Reviewed!B:C,2,0)</f>
        <v>#N/A</v>
      </c>
      <c r="F1050" t="str">
        <f t="shared" si="37"/>
        <v/>
      </c>
    </row>
    <row r="1051" spans="1:6" x14ac:dyDescent="0.35">
      <c r="A1051" s="4"/>
      <c r="C1051" t="str">
        <f>IFERROR(ROUNDUP(VLOOKUP(F1051,'30Days-Baseline'!C:D,2,FALSE),0),"NotExist")</f>
        <v>NotExist</v>
      </c>
      <c r="D1051" t="str">
        <f t="shared" si="36"/>
        <v>New</v>
      </c>
      <c r="E1051" t="e">
        <f>VLOOKUP(A:A,Reviewed!B:C,2,0)</f>
        <v>#N/A</v>
      </c>
      <c r="F1051" t="str">
        <f t="shared" si="37"/>
        <v/>
      </c>
    </row>
    <row r="1052" spans="1:6" x14ac:dyDescent="0.35">
      <c r="C1052" t="str">
        <f>IFERROR(ROUNDUP(VLOOKUP(F1052,'30Days-Baseline'!C:D,2,FALSE),0),"NotExist")</f>
        <v>NotExist</v>
      </c>
      <c r="D1052" t="str">
        <f t="shared" si="36"/>
        <v>New</v>
      </c>
      <c r="E1052" t="e">
        <f>VLOOKUP(A:A,Reviewed!B:C,2,0)</f>
        <v>#N/A</v>
      </c>
      <c r="F1052" t="str">
        <f t="shared" si="37"/>
        <v/>
      </c>
    </row>
    <row r="1053" spans="1:6" x14ac:dyDescent="0.35">
      <c r="C1053" t="str">
        <f>IFERROR(ROUNDUP(VLOOKUP(F1053,'30Days-Baseline'!C:D,2,FALSE),0),"NotExist")</f>
        <v>NotExist</v>
      </c>
      <c r="D1053" t="str">
        <f t="shared" si="36"/>
        <v>New</v>
      </c>
      <c r="E1053" t="e">
        <f>VLOOKUP(A:A,Reviewed!B:C,2,0)</f>
        <v>#N/A</v>
      </c>
      <c r="F1053" t="str">
        <f t="shared" si="37"/>
        <v/>
      </c>
    </row>
    <row r="1054" spans="1:6" x14ac:dyDescent="0.35">
      <c r="C1054" t="str">
        <f>IFERROR(ROUNDUP(VLOOKUP(F1054,'30Days-Baseline'!C:D,2,FALSE),0),"NotExist")</f>
        <v>NotExist</v>
      </c>
      <c r="D1054" t="str">
        <f t="shared" si="36"/>
        <v>New</v>
      </c>
      <c r="E1054" t="e">
        <f>VLOOKUP(A:A,Reviewed!B:C,2,0)</f>
        <v>#N/A</v>
      </c>
      <c r="F1054" t="str">
        <f t="shared" si="37"/>
        <v/>
      </c>
    </row>
    <row r="1055" spans="1:6" x14ac:dyDescent="0.35">
      <c r="C1055" t="str">
        <f>IFERROR(ROUNDUP(VLOOKUP(F1055,'30Days-Baseline'!C:D,2,FALSE),0),"NotExist")</f>
        <v>NotExist</v>
      </c>
      <c r="D1055" t="str">
        <f t="shared" si="36"/>
        <v>New</v>
      </c>
      <c r="E1055" t="e">
        <f>VLOOKUP(A:A,Reviewed!B:C,2,0)</f>
        <v>#N/A</v>
      </c>
      <c r="F1055" t="str">
        <f t="shared" si="37"/>
        <v/>
      </c>
    </row>
    <row r="1056" spans="1:6" x14ac:dyDescent="0.35">
      <c r="C1056" t="str">
        <f>IFERROR(ROUNDUP(VLOOKUP(F1056,'30Days-Baseline'!C:D,2,FALSE),0),"NotExist")</f>
        <v>NotExist</v>
      </c>
      <c r="D1056" t="str">
        <f t="shared" si="36"/>
        <v>New</v>
      </c>
      <c r="E1056" t="e">
        <f>VLOOKUP(A:A,Reviewed!B:C,2,0)</f>
        <v>#N/A</v>
      </c>
      <c r="F1056" t="str">
        <f t="shared" si="37"/>
        <v/>
      </c>
    </row>
    <row r="1057" spans="3:6" x14ac:dyDescent="0.35">
      <c r="C1057" t="str">
        <f>IFERROR(ROUNDUP(VLOOKUP(F1057,'30Days-Baseline'!C:D,2,FALSE),0),"NotExist")</f>
        <v>NotExist</v>
      </c>
      <c r="D1057" t="str">
        <f t="shared" si="36"/>
        <v>New</v>
      </c>
      <c r="E1057" t="e">
        <f>VLOOKUP(A:A,Reviewed!B:C,2,0)</f>
        <v>#N/A</v>
      </c>
      <c r="F1057" t="str">
        <f t="shared" si="37"/>
        <v/>
      </c>
    </row>
    <row r="1058" spans="3:6" x14ac:dyDescent="0.35">
      <c r="C1058" t="str">
        <f>IFERROR(ROUNDUP(VLOOKUP(F1058,'30Days-Baseline'!C:D,2,FALSE),0),"NotExist")</f>
        <v>NotExist</v>
      </c>
      <c r="D1058" t="str">
        <f t="shared" si="36"/>
        <v>New</v>
      </c>
      <c r="E1058" t="e">
        <f>VLOOKUP(A:A,Reviewed!B:C,2,0)</f>
        <v>#N/A</v>
      </c>
      <c r="F1058" t="str">
        <f t="shared" si="37"/>
        <v/>
      </c>
    </row>
    <row r="1059" spans="3:6" x14ac:dyDescent="0.35">
      <c r="C1059" t="str">
        <f>IFERROR(ROUNDUP(VLOOKUP(F1059,'30Days-Baseline'!C:D,2,FALSE),0),"NotExist")</f>
        <v>NotExist</v>
      </c>
      <c r="D1059" t="str">
        <f t="shared" si="36"/>
        <v>New</v>
      </c>
      <c r="E1059" t="e">
        <f>VLOOKUP(A:A,Reviewed!B:C,2,0)</f>
        <v>#N/A</v>
      </c>
      <c r="F1059" t="str">
        <f t="shared" si="37"/>
        <v/>
      </c>
    </row>
    <row r="1060" spans="3:6" x14ac:dyDescent="0.35">
      <c r="C1060" t="str">
        <f>IFERROR(ROUNDUP(VLOOKUP(F1060,'30Days-Baseline'!C:D,2,FALSE),0),"NotExist")</f>
        <v>NotExist</v>
      </c>
      <c r="D1060" t="str">
        <f t="shared" si="36"/>
        <v>New</v>
      </c>
      <c r="E1060" t="e">
        <f>VLOOKUP(A:A,Reviewed!B:C,2,0)</f>
        <v>#N/A</v>
      </c>
      <c r="F1060" t="str">
        <f t="shared" si="37"/>
        <v/>
      </c>
    </row>
    <row r="1061" spans="3:6" x14ac:dyDescent="0.35">
      <c r="C1061" t="str">
        <f>IFERROR(ROUNDUP(VLOOKUP(F1061,'30Days-Baseline'!C:D,2,FALSE),0),"NotExist")</f>
        <v>NotExist</v>
      </c>
      <c r="D1061" t="str">
        <f t="shared" si="36"/>
        <v>New</v>
      </c>
      <c r="E1061" t="e">
        <f>VLOOKUP(A:A,Reviewed!B:C,2,0)</f>
        <v>#N/A</v>
      </c>
      <c r="F1061" t="str">
        <f t="shared" si="37"/>
        <v/>
      </c>
    </row>
    <row r="1062" spans="3:6" x14ac:dyDescent="0.35">
      <c r="C1062" t="str">
        <f>IFERROR(ROUNDUP(VLOOKUP(F1062,'30Days-Baseline'!C:D,2,FALSE),0),"NotExist")</f>
        <v>NotExist</v>
      </c>
      <c r="D1062" t="str">
        <f t="shared" si="36"/>
        <v>New</v>
      </c>
      <c r="E1062" t="e">
        <f>VLOOKUP(A:A,Reviewed!B:C,2,0)</f>
        <v>#N/A</v>
      </c>
      <c r="F1062" t="str">
        <f t="shared" si="37"/>
        <v/>
      </c>
    </row>
    <row r="1063" spans="3:6" x14ac:dyDescent="0.35">
      <c r="C1063" t="str">
        <f>IFERROR(ROUNDUP(VLOOKUP(F1063,'30Days-Baseline'!C:D,2,FALSE),0),"NotExist")</f>
        <v>NotExist</v>
      </c>
      <c r="D1063" t="str">
        <f t="shared" si="36"/>
        <v>New</v>
      </c>
      <c r="E1063" t="e">
        <f>VLOOKUP(A:A,Reviewed!B:C,2,0)</f>
        <v>#N/A</v>
      </c>
      <c r="F1063" t="str">
        <f t="shared" si="37"/>
        <v/>
      </c>
    </row>
    <row r="1064" spans="3:6" x14ac:dyDescent="0.35">
      <c r="C1064" t="str">
        <f>IFERROR(ROUNDUP(VLOOKUP(F1064,'30Days-Baseline'!C:D,2,FALSE),0),"NotExist")</f>
        <v>NotExist</v>
      </c>
      <c r="D1064" t="str">
        <f t="shared" si="36"/>
        <v>New</v>
      </c>
      <c r="E1064" t="e">
        <f>VLOOKUP(A:A,Reviewed!B:C,2,0)</f>
        <v>#N/A</v>
      </c>
      <c r="F1064" t="str">
        <f t="shared" si="37"/>
        <v/>
      </c>
    </row>
    <row r="1065" spans="3:6" x14ac:dyDescent="0.35">
      <c r="C1065" t="str">
        <f>IFERROR(ROUNDUP(VLOOKUP(F1065,'30Days-Baseline'!C:D,2,FALSE),0),"NotExist")</f>
        <v>NotExist</v>
      </c>
      <c r="D1065" t="str">
        <f t="shared" si="36"/>
        <v>New</v>
      </c>
      <c r="E1065" t="e">
        <f>VLOOKUP(A:A,Reviewed!B:C,2,0)</f>
        <v>#N/A</v>
      </c>
      <c r="F1065" t="str">
        <f t="shared" si="37"/>
        <v/>
      </c>
    </row>
    <row r="1066" spans="3:6" x14ac:dyDescent="0.35">
      <c r="C1066" t="str">
        <f>IFERROR(ROUNDUP(VLOOKUP(F1066,'30Days-Baseline'!C:D,2,FALSE),0),"NotExist")</f>
        <v>NotExist</v>
      </c>
      <c r="D1066" t="str">
        <f t="shared" si="36"/>
        <v>New</v>
      </c>
      <c r="E1066" t="e">
        <f>VLOOKUP(A:A,Reviewed!B:C,2,0)</f>
        <v>#N/A</v>
      </c>
      <c r="F1066" t="str">
        <f t="shared" si="37"/>
        <v/>
      </c>
    </row>
    <row r="1067" spans="3:6" x14ac:dyDescent="0.35">
      <c r="C1067" t="str">
        <f>IFERROR(ROUNDUP(VLOOKUP(F1067,'30Days-Baseline'!C:D,2,FALSE),0),"NotExist")</f>
        <v>NotExist</v>
      </c>
      <c r="D1067" t="str">
        <f t="shared" si="36"/>
        <v>New</v>
      </c>
      <c r="E1067" t="e">
        <f>VLOOKUP(A:A,Reviewed!B:C,2,0)</f>
        <v>#N/A</v>
      </c>
      <c r="F1067" t="str">
        <f t="shared" si="37"/>
        <v/>
      </c>
    </row>
    <row r="1068" spans="3:6" x14ac:dyDescent="0.35">
      <c r="C1068" t="str">
        <f>IFERROR(ROUNDUP(VLOOKUP(F1068,'30Days-Baseline'!C:D,2,FALSE),0),"NotExist")</f>
        <v>NotExist</v>
      </c>
      <c r="D1068" t="str">
        <f t="shared" si="36"/>
        <v>New</v>
      </c>
      <c r="E1068" t="e">
        <f>VLOOKUP(A:A,Reviewed!B:C,2,0)</f>
        <v>#N/A</v>
      </c>
      <c r="F1068" t="str">
        <f t="shared" si="37"/>
        <v/>
      </c>
    </row>
    <row r="1069" spans="3:6" x14ac:dyDescent="0.35">
      <c r="C1069" t="str">
        <f>IFERROR(ROUNDUP(VLOOKUP(F1069,'30Days-Baseline'!C:D,2,FALSE),0),"NotExist")</f>
        <v>NotExist</v>
      </c>
      <c r="D1069" t="str">
        <f t="shared" si="36"/>
        <v>New</v>
      </c>
      <c r="E1069" t="e">
        <f>VLOOKUP(A:A,Reviewed!B:C,2,0)</f>
        <v>#N/A</v>
      </c>
      <c r="F1069" t="str">
        <f t="shared" si="37"/>
        <v/>
      </c>
    </row>
    <row r="1070" spans="3:6" x14ac:dyDescent="0.35">
      <c r="C1070" t="str">
        <f>IFERROR(ROUNDUP(VLOOKUP(F1070,'30Days-Baseline'!C:D,2,FALSE),0),"NotExist")</f>
        <v>NotExist</v>
      </c>
      <c r="D1070" t="str">
        <f t="shared" si="36"/>
        <v>New</v>
      </c>
      <c r="E1070" t="e">
        <f>VLOOKUP(A:A,Reviewed!B:C,2,0)</f>
        <v>#N/A</v>
      </c>
      <c r="F1070" t="str">
        <f t="shared" si="37"/>
        <v/>
      </c>
    </row>
    <row r="1071" spans="3:6" x14ac:dyDescent="0.35">
      <c r="C1071" t="str">
        <f>IFERROR(ROUNDUP(VLOOKUP(F1071,'30Days-Baseline'!C:D,2,FALSE),0),"NotExist")</f>
        <v>NotExist</v>
      </c>
      <c r="D1071" t="str">
        <f t="shared" si="36"/>
        <v>New</v>
      </c>
      <c r="E1071" t="e">
        <f>VLOOKUP(A:A,Reviewed!B:C,2,0)</f>
        <v>#N/A</v>
      </c>
      <c r="F1071" t="str">
        <f t="shared" si="37"/>
        <v/>
      </c>
    </row>
    <row r="1072" spans="3:6" x14ac:dyDescent="0.35">
      <c r="C1072" t="str">
        <f>IFERROR(ROUNDUP(VLOOKUP(F1072,'30Days-Baseline'!C:D,2,FALSE),0),"NotExist")</f>
        <v>NotExist</v>
      </c>
      <c r="D1072" t="str">
        <f t="shared" si="36"/>
        <v>New</v>
      </c>
      <c r="E1072" t="e">
        <f>VLOOKUP(A:A,Reviewed!B:C,2,0)</f>
        <v>#N/A</v>
      </c>
      <c r="F1072" t="str">
        <f t="shared" si="37"/>
        <v/>
      </c>
    </row>
    <row r="1073" spans="3:6" x14ac:dyDescent="0.35">
      <c r="C1073" t="str">
        <f>IFERROR(ROUNDUP(VLOOKUP(F1073,'30Days-Baseline'!C:D,2,FALSE),0),"NotExist")</f>
        <v>NotExist</v>
      </c>
      <c r="D1073" t="str">
        <f t="shared" si="36"/>
        <v>New</v>
      </c>
      <c r="E1073" t="e">
        <f>VLOOKUP(A:A,Reviewed!B:C,2,0)</f>
        <v>#N/A</v>
      </c>
      <c r="F1073" t="str">
        <f t="shared" si="37"/>
        <v/>
      </c>
    </row>
    <row r="1074" spans="3:6" x14ac:dyDescent="0.35">
      <c r="C1074" t="str">
        <f>IFERROR(ROUNDUP(VLOOKUP(F1074,'30Days-Baseline'!C:D,2,FALSE),0),"NotExist")</f>
        <v>NotExist</v>
      </c>
      <c r="D1074" t="str">
        <f t="shared" si="36"/>
        <v>New</v>
      </c>
      <c r="E1074" t="e">
        <f>VLOOKUP(A:A,Reviewed!B:C,2,0)</f>
        <v>#N/A</v>
      </c>
      <c r="F1074" t="str">
        <f t="shared" si="37"/>
        <v/>
      </c>
    </row>
    <row r="1075" spans="3:6" x14ac:dyDescent="0.35">
      <c r="C1075" t="str">
        <f>IFERROR(ROUNDUP(VLOOKUP(F1075,'30Days-Baseline'!C:D,2,FALSE),0),"NotExist")</f>
        <v>NotExist</v>
      </c>
      <c r="D1075" t="str">
        <f t="shared" si="36"/>
        <v>New</v>
      </c>
      <c r="E1075" t="e">
        <f>VLOOKUP(A:A,Reviewed!B:C,2,0)</f>
        <v>#N/A</v>
      </c>
      <c r="F1075" t="str">
        <f t="shared" si="37"/>
        <v/>
      </c>
    </row>
    <row r="1076" spans="3:6" x14ac:dyDescent="0.35">
      <c r="C1076" t="str">
        <f>IFERROR(ROUNDUP(VLOOKUP(F1076,'30Days-Baseline'!C:D,2,FALSE),0),"NotExist")</f>
        <v>NotExist</v>
      </c>
      <c r="D1076" t="str">
        <f t="shared" si="36"/>
        <v>New</v>
      </c>
      <c r="E1076" t="e">
        <f>VLOOKUP(A:A,Reviewed!B:C,2,0)</f>
        <v>#N/A</v>
      </c>
      <c r="F1076" t="str">
        <f t="shared" si="37"/>
        <v/>
      </c>
    </row>
    <row r="1077" spans="3:6" x14ac:dyDescent="0.35">
      <c r="C1077" t="str">
        <f>IFERROR(ROUNDUP(VLOOKUP(F1077,'30Days-Baseline'!C:D,2,FALSE),0),"NotExist")</f>
        <v>NotExist</v>
      </c>
      <c r="D1077" t="str">
        <f t="shared" si="36"/>
        <v>New</v>
      </c>
      <c r="E1077" t="e">
        <f>VLOOKUP(A:A,Reviewed!B:C,2,0)</f>
        <v>#N/A</v>
      </c>
      <c r="F1077" t="str">
        <f t="shared" si="37"/>
        <v/>
      </c>
    </row>
    <row r="1078" spans="3:6" x14ac:dyDescent="0.35">
      <c r="C1078" t="str">
        <f>IFERROR(ROUNDUP(VLOOKUP(F1078,'30Days-Baseline'!C:D,2,FALSE),0),"NotExist")</f>
        <v>NotExist</v>
      </c>
      <c r="D1078" t="str">
        <f t="shared" si="36"/>
        <v>New</v>
      </c>
      <c r="E1078" t="e">
        <f>VLOOKUP(A:A,Reviewed!B:C,2,0)</f>
        <v>#N/A</v>
      </c>
      <c r="F1078" t="str">
        <f t="shared" si="37"/>
        <v/>
      </c>
    </row>
    <row r="1079" spans="3:6" x14ac:dyDescent="0.35">
      <c r="C1079" t="str">
        <f>IFERROR(ROUNDUP(VLOOKUP(F1079,'30Days-Baseline'!C:D,2,FALSE),0),"NotExist")</f>
        <v>NotExist</v>
      </c>
      <c r="D1079" t="str">
        <f t="shared" si="36"/>
        <v>New</v>
      </c>
      <c r="E1079" t="e">
        <f>VLOOKUP(A:A,Reviewed!B:C,2,0)</f>
        <v>#N/A</v>
      </c>
      <c r="F1079" t="str">
        <f t="shared" si="37"/>
        <v/>
      </c>
    </row>
    <row r="1080" spans="3:6" x14ac:dyDescent="0.35">
      <c r="C1080" t="str">
        <f>IFERROR(ROUNDUP(VLOOKUP(F1080,'30Days-Baseline'!C:D,2,FALSE),0),"NotExist")</f>
        <v>NotExist</v>
      </c>
      <c r="D1080" t="str">
        <f t="shared" si="36"/>
        <v>New</v>
      </c>
      <c r="E1080" t="e">
        <f>VLOOKUP(A:A,Reviewed!B:C,2,0)</f>
        <v>#N/A</v>
      </c>
      <c r="F1080" t="str">
        <f t="shared" si="37"/>
        <v/>
      </c>
    </row>
    <row r="1081" spans="3:6" x14ac:dyDescent="0.35">
      <c r="C1081" t="str">
        <f>IFERROR(ROUNDUP(VLOOKUP(F1081,'30Days-Baseline'!C:D,2,FALSE),0),"NotExist")</f>
        <v>NotExist</v>
      </c>
      <c r="D1081" t="str">
        <f t="shared" si="36"/>
        <v>New</v>
      </c>
      <c r="E1081" t="e">
        <f>VLOOKUP(A:A,Reviewed!B:C,2,0)</f>
        <v>#N/A</v>
      </c>
      <c r="F1081" t="str">
        <f t="shared" si="37"/>
        <v/>
      </c>
    </row>
    <row r="1082" spans="3:6" x14ac:dyDescent="0.35">
      <c r="C1082" t="str">
        <f>IFERROR(ROUNDUP(VLOOKUP(F1082,'30Days-Baseline'!C:D,2,FALSE),0),"NotExist")</f>
        <v>NotExist</v>
      </c>
      <c r="D1082" t="str">
        <f t="shared" si="36"/>
        <v>New</v>
      </c>
      <c r="E1082" t="e">
        <f>VLOOKUP(A:A,Reviewed!B:C,2,0)</f>
        <v>#N/A</v>
      </c>
      <c r="F1082" t="str">
        <f t="shared" si="37"/>
        <v/>
      </c>
    </row>
    <row r="1083" spans="3:6" x14ac:dyDescent="0.35">
      <c r="C1083" t="str">
        <f>IFERROR(ROUNDUP(VLOOKUP(F1083,'30Days-Baseline'!C:D,2,FALSE),0),"NotExist")</f>
        <v>NotExist</v>
      </c>
      <c r="D1083" t="str">
        <f t="shared" si="36"/>
        <v>New</v>
      </c>
      <c r="E1083" t="e">
        <f>VLOOKUP(A:A,Reviewed!B:C,2,0)</f>
        <v>#N/A</v>
      </c>
      <c r="F1083" t="str">
        <f t="shared" si="37"/>
        <v/>
      </c>
    </row>
    <row r="1084" spans="3:6" x14ac:dyDescent="0.35">
      <c r="C1084" t="str">
        <f>IFERROR(ROUNDUP(VLOOKUP(F1084,'30Days-Baseline'!C:D,2,FALSE),0),"NotExist")</f>
        <v>NotExist</v>
      </c>
      <c r="D1084" t="str">
        <f t="shared" si="36"/>
        <v>New</v>
      </c>
      <c r="E1084" t="e">
        <f>VLOOKUP(A:A,Reviewed!B:C,2,0)</f>
        <v>#N/A</v>
      </c>
      <c r="F1084" t="str">
        <f t="shared" si="37"/>
        <v/>
      </c>
    </row>
    <row r="1085" spans="3:6" x14ac:dyDescent="0.35">
      <c r="C1085" t="str">
        <f>IFERROR(ROUNDUP(VLOOKUP(F1085,'30Days-Baseline'!C:D,2,FALSE),0),"NotExist")</f>
        <v>NotExist</v>
      </c>
      <c r="D1085" t="str">
        <f t="shared" si="36"/>
        <v>New</v>
      </c>
      <c r="E1085" t="e">
        <f>VLOOKUP(A:A,Reviewed!B:C,2,0)</f>
        <v>#N/A</v>
      </c>
      <c r="F1085" t="str">
        <f t="shared" si="37"/>
        <v/>
      </c>
    </row>
    <row r="1086" spans="3:6" x14ac:dyDescent="0.35">
      <c r="C1086" t="str">
        <f>IFERROR(ROUNDUP(VLOOKUP(F1086,'30Days-Baseline'!C:D,2,FALSE),0),"NotExist")</f>
        <v>NotExist</v>
      </c>
      <c r="D1086" t="str">
        <f t="shared" si="36"/>
        <v>New</v>
      </c>
      <c r="E1086" t="e">
        <f>VLOOKUP(A:A,Reviewed!B:C,2,0)</f>
        <v>#N/A</v>
      </c>
      <c r="F1086" t="str">
        <f t="shared" si="37"/>
        <v/>
      </c>
    </row>
    <row r="1087" spans="3:6" x14ac:dyDescent="0.35">
      <c r="C1087" t="str">
        <f>IFERROR(ROUNDUP(VLOOKUP(F1087,'30Days-Baseline'!C:D,2,FALSE),0),"NotExist")</f>
        <v>NotExist</v>
      </c>
      <c r="D1087" t="str">
        <f t="shared" si="36"/>
        <v>New</v>
      </c>
      <c r="E1087" t="e">
        <f>VLOOKUP(A:A,Reviewed!B:C,2,0)</f>
        <v>#N/A</v>
      </c>
      <c r="F1087" t="str">
        <f t="shared" si="37"/>
        <v/>
      </c>
    </row>
    <row r="1088" spans="3:6" x14ac:dyDescent="0.35">
      <c r="C1088" t="str">
        <f>IFERROR(ROUNDUP(VLOOKUP(F1088,'30Days-Baseline'!C:D,2,FALSE),0),"NotExist")</f>
        <v>NotExist</v>
      </c>
      <c r="D1088" t="str">
        <f t="shared" si="36"/>
        <v>New</v>
      </c>
      <c r="E1088" t="e">
        <f>VLOOKUP(A:A,Reviewed!B:C,2,0)</f>
        <v>#N/A</v>
      </c>
      <c r="F1088" t="str">
        <f t="shared" si="37"/>
        <v/>
      </c>
    </row>
    <row r="1089" spans="3:6" x14ac:dyDescent="0.35">
      <c r="C1089" t="str">
        <f>IFERROR(ROUNDUP(VLOOKUP(F1089,'30Days-Baseline'!C:D,2,FALSE),0),"NotExist")</f>
        <v>NotExist</v>
      </c>
      <c r="D1089" t="str">
        <f t="shared" si="36"/>
        <v>New</v>
      </c>
      <c r="E1089" t="e">
        <f>VLOOKUP(A:A,Reviewed!B:C,2,0)</f>
        <v>#N/A</v>
      </c>
      <c r="F1089" t="str">
        <f t="shared" si="37"/>
        <v/>
      </c>
    </row>
    <row r="1090" spans="3:6" x14ac:dyDescent="0.35">
      <c r="C1090" t="str">
        <f>IFERROR(ROUNDUP(VLOOKUP(F1090,'30Days-Baseline'!C:D,2,FALSE),0),"NotExist")</f>
        <v>NotExist</v>
      </c>
      <c r="D1090" t="str">
        <f t="shared" si="36"/>
        <v>New</v>
      </c>
      <c r="E1090" t="e">
        <f>VLOOKUP(A:A,Reviewed!B:C,2,0)</f>
        <v>#N/A</v>
      </c>
      <c r="F1090" t="str">
        <f t="shared" si="37"/>
        <v/>
      </c>
    </row>
    <row r="1091" spans="3:6" x14ac:dyDescent="0.35">
      <c r="C1091" t="str">
        <f>IFERROR(ROUNDUP(VLOOKUP(F1091,'30Days-Baseline'!C:D,2,FALSE),0),"NotExist")</f>
        <v>NotExist</v>
      </c>
      <c r="D1091" t="str">
        <f t="shared" si="36"/>
        <v>New</v>
      </c>
      <c r="E1091" t="e">
        <f>VLOOKUP(A:A,Reviewed!B:C,2,0)</f>
        <v>#N/A</v>
      </c>
      <c r="F1091" t="str">
        <f t="shared" si="37"/>
        <v/>
      </c>
    </row>
    <row r="1092" spans="3:6" x14ac:dyDescent="0.35">
      <c r="C1092" t="str">
        <f>IFERROR(ROUNDUP(VLOOKUP(F1092,'30Days-Baseline'!C:D,2,FALSE),0),"NotExist")</f>
        <v>NotExist</v>
      </c>
      <c r="D1092" t="str">
        <f t="shared" si="36"/>
        <v>New</v>
      </c>
      <c r="E1092" t="e">
        <f>VLOOKUP(A:A,Reviewed!B:C,2,0)</f>
        <v>#N/A</v>
      </c>
      <c r="F1092" t="str">
        <f t="shared" si="37"/>
        <v/>
      </c>
    </row>
    <row r="1093" spans="3:6" x14ac:dyDescent="0.35">
      <c r="C1093" t="str">
        <f>IFERROR(ROUNDUP(VLOOKUP(F1093,'30Days-Baseline'!C:D,2,FALSE),0),"NotExist")</f>
        <v>NotExist</v>
      </c>
      <c r="D1093" t="str">
        <f t="shared" si="36"/>
        <v>New</v>
      </c>
      <c r="E1093" t="e">
        <f>VLOOKUP(A:A,Reviewed!B:C,2,0)</f>
        <v>#N/A</v>
      </c>
      <c r="F1093" t="str">
        <f t="shared" si="37"/>
        <v/>
      </c>
    </row>
    <row r="1094" spans="3:6" x14ac:dyDescent="0.35">
      <c r="C1094" t="str">
        <f>IFERROR(ROUNDUP(VLOOKUP(F1094,'30Days-Baseline'!C:D,2,FALSE),0),"NotExist")</f>
        <v>NotExist</v>
      </c>
      <c r="D1094" t="str">
        <f t="shared" si="36"/>
        <v>New</v>
      </c>
      <c r="E1094" t="e">
        <f>VLOOKUP(A:A,Reviewed!B:C,2,0)</f>
        <v>#N/A</v>
      </c>
      <c r="F1094" t="str">
        <f t="shared" si="37"/>
        <v/>
      </c>
    </row>
    <row r="1095" spans="3:6" x14ac:dyDescent="0.35">
      <c r="C1095" t="str">
        <f>IFERROR(ROUNDUP(VLOOKUP(F1095,'30Days-Baseline'!C:D,2,FALSE),0),"NotExist")</f>
        <v>NotExist</v>
      </c>
      <c r="D1095" t="str">
        <f t="shared" si="36"/>
        <v>New</v>
      </c>
      <c r="E1095" t="e">
        <f>VLOOKUP(A:A,Reviewed!B:C,2,0)</f>
        <v>#N/A</v>
      </c>
      <c r="F1095" t="str">
        <f t="shared" si="37"/>
        <v/>
      </c>
    </row>
    <row r="1096" spans="3:6" x14ac:dyDescent="0.35">
      <c r="C1096" t="str">
        <f>IFERROR(ROUNDUP(VLOOKUP(F1096,'30Days-Baseline'!C:D,2,FALSE),0),"NotExist")</f>
        <v>NotExist</v>
      </c>
      <c r="D1096" t="str">
        <f t="shared" si="36"/>
        <v>New</v>
      </c>
      <c r="E1096" t="e">
        <f>VLOOKUP(A:A,Reviewed!B:C,2,0)</f>
        <v>#N/A</v>
      </c>
      <c r="F1096" t="str">
        <f t="shared" si="37"/>
        <v/>
      </c>
    </row>
    <row r="1097" spans="3:6" x14ac:dyDescent="0.35">
      <c r="C1097" t="str">
        <f>IFERROR(ROUNDUP(VLOOKUP(F1097,'30Days-Baseline'!C:D,2,FALSE),0),"NotExist")</f>
        <v>NotExist</v>
      </c>
      <c r="D1097" t="str">
        <f t="shared" si="36"/>
        <v>New</v>
      </c>
      <c r="E1097" t="e">
        <f>VLOOKUP(A:A,Reviewed!B:C,2,0)</f>
        <v>#N/A</v>
      </c>
      <c r="F1097" t="str">
        <f t="shared" si="37"/>
        <v/>
      </c>
    </row>
    <row r="1098" spans="3:6" x14ac:dyDescent="0.35">
      <c r="C1098" t="str">
        <f>IFERROR(ROUNDUP(VLOOKUP(F1098,'30Days-Baseline'!C:D,2,FALSE),0),"NotExist")</f>
        <v>NotExist</v>
      </c>
      <c r="D1098" t="str">
        <f t="shared" si="36"/>
        <v>New</v>
      </c>
      <c r="E1098" t="e">
        <f>VLOOKUP(A:A,Reviewed!B:C,2,0)</f>
        <v>#N/A</v>
      </c>
      <c r="F1098" t="str">
        <f t="shared" si="37"/>
        <v/>
      </c>
    </row>
    <row r="1099" spans="3:6" x14ac:dyDescent="0.35">
      <c r="C1099" t="str">
        <f>IFERROR(ROUNDUP(VLOOKUP(F1099,'30Days-Baseline'!C:D,2,FALSE),0),"NotExist")</f>
        <v>NotExist</v>
      </c>
      <c r="D1099" t="str">
        <f t="shared" si="36"/>
        <v>New</v>
      </c>
      <c r="E1099" t="e">
        <f>VLOOKUP(A:A,Reviewed!B:C,2,0)</f>
        <v>#N/A</v>
      </c>
      <c r="F1099" t="str">
        <f t="shared" si="37"/>
        <v/>
      </c>
    </row>
    <row r="1100" spans="3:6" x14ac:dyDescent="0.35">
      <c r="C1100" t="str">
        <f>IFERROR(ROUNDUP(VLOOKUP(F1100,'30Days-Baseline'!C:D,2,FALSE),0),"NotExist")</f>
        <v>NotExist</v>
      </c>
      <c r="D1100" t="str">
        <f t="shared" si="36"/>
        <v>New</v>
      </c>
      <c r="E1100" t="e">
        <f>VLOOKUP(A:A,Reviewed!B:C,2,0)</f>
        <v>#N/A</v>
      </c>
      <c r="F1100" t="str">
        <f t="shared" si="37"/>
        <v/>
      </c>
    </row>
    <row r="1101" spans="3:6" x14ac:dyDescent="0.35">
      <c r="C1101" t="str">
        <f>IFERROR(ROUNDUP(VLOOKUP(F1101,'30Days-Baseline'!C:D,2,FALSE),0),"NotExist")</f>
        <v>NotExist</v>
      </c>
      <c r="D1101" t="str">
        <f t="shared" si="36"/>
        <v>New</v>
      </c>
      <c r="E1101" t="e">
        <f>VLOOKUP(A:A,Reviewed!B:C,2,0)</f>
        <v>#N/A</v>
      </c>
      <c r="F1101" t="str">
        <f t="shared" si="37"/>
        <v/>
      </c>
    </row>
    <row r="1102" spans="3:6" x14ac:dyDescent="0.35">
      <c r="C1102" t="str">
        <f>IFERROR(ROUNDUP(VLOOKUP(F1102,'30Days-Baseline'!C:D,2,FALSE),0),"NotExist")</f>
        <v>NotExist</v>
      </c>
      <c r="D1102" t="str">
        <f t="shared" si="36"/>
        <v>New</v>
      </c>
      <c r="E1102" t="e">
        <f>VLOOKUP(A:A,Reviewed!B:C,2,0)</f>
        <v>#N/A</v>
      </c>
      <c r="F1102" t="str">
        <f t="shared" si="37"/>
        <v/>
      </c>
    </row>
    <row r="1103" spans="3:6" x14ac:dyDescent="0.35">
      <c r="C1103" t="str">
        <f>IFERROR(ROUNDUP(VLOOKUP(F1103,'30Days-Baseline'!C:D,2,FALSE),0),"NotExist")</f>
        <v>NotExist</v>
      </c>
      <c r="D1103" t="str">
        <f t="shared" si="36"/>
        <v>New</v>
      </c>
      <c r="E1103" t="e">
        <f>VLOOKUP(A:A,Reviewed!B:C,2,0)</f>
        <v>#N/A</v>
      </c>
      <c r="F1103" t="str">
        <f t="shared" si="37"/>
        <v/>
      </c>
    </row>
    <row r="1104" spans="3:6" x14ac:dyDescent="0.35">
      <c r="C1104" t="str">
        <f>IFERROR(ROUNDUP(VLOOKUP(F1104,'30Days-Baseline'!C:D,2,FALSE),0),"NotExist")</f>
        <v>NotExist</v>
      </c>
      <c r="D1104" t="str">
        <f t="shared" si="36"/>
        <v>New</v>
      </c>
      <c r="E1104" t="e">
        <f>VLOOKUP(A:A,Reviewed!B:C,2,0)</f>
        <v>#N/A</v>
      </c>
      <c r="F1104" t="str">
        <f t="shared" si="37"/>
        <v/>
      </c>
    </row>
    <row r="1105" spans="3:6" x14ac:dyDescent="0.35">
      <c r="C1105" t="str">
        <f>IFERROR(ROUNDUP(VLOOKUP(F1105,'30Days-Baseline'!C:D,2,FALSE),0),"NotExist")</f>
        <v>NotExist</v>
      </c>
      <c r="D1105" t="str">
        <f t="shared" si="36"/>
        <v>New</v>
      </c>
      <c r="E1105" t="e">
        <f>VLOOKUP(A:A,Reviewed!B:C,2,0)</f>
        <v>#N/A</v>
      </c>
      <c r="F1105" t="str">
        <f t="shared" si="37"/>
        <v/>
      </c>
    </row>
    <row r="1106" spans="3:6" x14ac:dyDescent="0.35">
      <c r="C1106" t="str">
        <f>IFERROR(ROUNDUP(VLOOKUP(F1106,'30Days-Baseline'!C:D,2,FALSE),0),"NotExist")</f>
        <v>NotExist</v>
      </c>
      <c r="D1106" t="str">
        <f t="shared" si="36"/>
        <v>New</v>
      </c>
      <c r="E1106" t="e">
        <f>VLOOKUP(A:A,Reviewed!B:C,2,0)</f>
        <v>#N/A</v>
      </c>
      <c r="F1106" t="str">
        <f t="shared" si="37"/>
        <v/>
      </c>
    </row>
    <row r="1107" spans="3:6" x14ac:dyDescent="0.35">
      <c r="C1107" t="str">
        <f>IFERROR(ROUNDUP(VLOOKUP(F1107,'30Days-Baseline'!C:D,2,FALSE),0),"NotExist")</f>
        <v>NotExist</v>
      </c>
      <c r="D1107" t="str">
        <f t="shared" ref="D1107:D1170" si="38">IFERROR(IF(B1107&gt;ROUNDUP(C1107,0),"Elevated","Ok"),"New")</f>
        <v>New</v>
      </c>
      <c r="E1107" t="e">
        <f>VLOOKUP(A:A,Reviewed!B:C,2,0)</f>
        <v>#N/A</v>
      </c>
      <c r="F1107" t="str">
        <f t="shared" ref="F1107:F1170" si="39">LEFT(A1107,255)</f>
        <v/>
      </c>
    </row>
    <row r="1108" spans="3:6" x14ac:dyDescent="0.35">
      <c r="C1108" t="str">
        <f>IFERROR(ROUNDUP(VLOOKUP(F1108,'30Days-Baseline'!C:D,2,FALSE),0),"NotExist")</f>
        <v>NotExist</v>
      </c>
      <c r="D1108" t="str">
        <f t="shared" si="38"/>
        <v>New</v>
      </c>
      <c r="E1108" t="e">
        <f>VLOOKUP(A:A,Reviewed!B:C,2,0)</f>
        <v>#N/A</v>
      </c>
      <c r="F1108" t="str">
        <f t="shared" si="39"/>
        <v/>
      </c>
    </row>
    <row r="1109" spans="3:6" x14ac:dyDescent="0.35">
      <c r="C1109" t="str">
        <f>IFERROR(ROUNDUP(VLOOKUP(F1109,'30Days-Baseline'!C:D,2,FALSE),0),"NotExist")</f>
        <v>NotExist</v>
      </c>
      <c r="D1109" t="str">
        <f t="shared" si="38"/>
        <v>New</v>
      </c>
      <c r="E1109" t="e">
        <f>VLOOKUP(A:A,Reviewed!B:C,2,0)</f>
        <v>#N/A</v>
      </c>
      <c r="F1109" t="str">
        <f t="shared" si="39"/>
        <v/>
      </c>
    </row>
    <row r="1110" spans="3:6" x14ac:dyDescent="0.35">
      <c r="C1110" t="str">
        <f>IFERROR(ROUNDUP(VLOOKUP(F1110,'30Days-Baseline'!C:D,2,FALSE),0),"NotExist")</f>
        <v>NotExist</v>
      </c>
      <c r="D1110" t="str">
        <f t="shared" si="38"/>
        <v>New</v>
      </c>
      <c r="E1110" t="e">
        <f>VLOOKUP(A:A,Reviewed!B:C,2,0)</f>
        <v>#N/A</v>
      </c>
      <c r="F1110" t="str">
        <f t="shared" si="39"/>
        <v/>
      </c>
    </row>
    <row r="1111" spans="3:6" x14ac:dyDescent="0.35">
      <c r="C1111" t="str">
        <f>IFERROR(ROUNDUP(VLOOKUP(F1111,'30Days-Baseline'!C:D,2,FALSE),0),"NotExist")</f>
        <v>NotExist</v>
      </c>
      <c r="D1111" t="str">
        <f t="shared" si="38"/>
        <v>New</v>
      </c>
      <c r="E1111" t="e">
        <f>VLOOKUP(A:A,Reviewed!B:C,2,0)</f>
        <v>#N/A</v>
      </c>
      <c r="F1111" t="str">
        <f t="shared" si="39"/>
        <v/>
      </c>
    </row>
    <row r="1112" spans="3:6" x14ac:dyDescent="0.35">
      <c r="C1112" t="str">
        <f>IFERROR(ROUNDUP(VLOOKUP(F1112,'30Days-Baseline'!C:D,2,FALSE),0),"NotExist")</f>
        <v>NotExist</v>
      </c>
      <c r="D1112" t="str">
        <f t="shared" si="38"/>
        <v>New</v>
      </c>
      <c r="E1112" t="e">
        <f>VLOOKUP(A:A,Reviewed!B:C,2,0)</f>
        <v>#N/A</v>
      </c>
      <c r="F1112" t="str">
        <f t="shared" si="39"/>
        <v/>
      </c>
    </row>
    <row r="1113" spans="3:6" x14ac:dyDescent="0.35">
      <c r="C1113" t="str">
        <f>IFERROR(ROUNDUP(VLOOKUP(F1113,'30Days-Baseline'!C:D,2,FALSE),0),"NotExist")</f>
        <v>NotExist</v>
      </c>
      <c r="D1113" t="str">
        <f t="shared" si="38"/>
        <v>New</v>
      </c>
      <c r="E1113" t="e">
        <f>VLOOKUP(A:A,Reviewed!B:C,2,0)</f>
        <v>#N/A</v>
      </c>
      <c r="F1113" t="str">
        <f t="shared" si="39"/>
        <v/>
      </c>
    </row>
    <row r="1114" spans="3:6" x14ac:dyDescent="0.35">
      <c r="C1114" t="str">
        <f>IFERROR(ROUNDUP(VLOOKUP(F1114,'30Days-Baseline'!C:D,2,FALSE),0),"NotExist")</f>
        <v>NotExist</v>
      </c>
      <c r="D1114" t="str">
        <f t="shared" si="38"/>
        <v>New</v>
      </c>
      <c r="E1114" t="e">
        <f>VLOOKUP(A:A,Reviewed!B:C,2,0)</f>
        <v>#N/A</v>
      </c>
      <c r="F1114" t="str">
        <f t="shared" si="39"/>
        <v/>
      </c>
    </row>
    <row r="1115" spans="3:6" x14ac:dyDescent="0.35">
      <c r="C1115" t="str">
        <f>IFERROR(ROUNDUP(VLOOKUP(F1115,'30Days-Baseline'!C:D,2,FALSE),0),"NotExist")</f>
        <v>NotExist</v>
      </c>
      <c r="D1115" t="str">
        <f t="shared" si="38"/>
        <v>New</v>
      </c>
      <c r="E1115" t="e">
        <f>VLOOKUP(A:A,Reviewed!B:C,2,0)</f>
        <v>#N/A</v>
      </c>
      <c r="F1115" t="str">
        <f t="shared" si="39"/>
        <v/>
      </c>
    </row>
    <row r="1116" spans="3:6" x14ac:dyDescent="0.35">
      <c r="C1116" t="str">
        <f>IFERROR(ROUNDUP(VLOOKUP(F1116,'30Days-Baseline'!C:D,2,FALSE),0),"NotExist")</f>
        <v>NotExist</v>
      </c>
      <c r="D1116" t="str">
        <f t="shared" si="38"/>
        <v>New</v>
      </c>
      <c r="E1116" t="e">
        <f>VLOOKUP(A:A,Reviewed!B:C,2,0)</f>
        <v>#N/A</v>
      </c>
      <c r="F1116" t="str">
        <f t="shared" si="39"/>
        <v/>
      </c>
    </row>
    <row r="1117" spans="3:6" x14ac:dyDescent="0.35">
      <c r="C1117" t="str">
        <f>IFERROR(ROUNDUP(VLOOKUP(F1117,'30Days-Baseline'!C:D,2,FALSE),0),"NotExist")</f>
        <v>NotExist</v>
      </c>
      <c r="D1117" t="str">
        <f t="shared" si="38"/>
        <v>New</v>
      </c>
      <c r="E1117" t="e">
        <f>VLOOKUP(A:A,Reviewed!B:C,2,0)</f>
        <v>#N/A</v>
      </c>
      <c r="F1117" t="str">
        <f t="shared" si="39"/>
        <v/>
      </c>
    </row>
    <row r="1118" spans="3:6" x14ac:dyDescent="0.35">
      <c r="C1118" t="str">
        <f>IFERROR(ROUNDUP(VLOOKUP(F1118,'30Days-Baseline'!C:D,2,FALSE),0),"NotExist")</f>
        <v>NotExist</v>
      </c>
      <c r="D1118" t="str">
        <f t="shared" si="38"/>
        <v>New</v>
      </c>
      <c r="E1118" t="e">
        <f>VLOOKUP(A:A,Reviewed!B:C,2,0)</f>
        <v>#N/A</v>
      </c>
      <c r="F1118" t="str">
        <f t="shared" si="39"/>
        <v/>
      </c>
    </row>
    <row r="1119" spans="3:6" x14ac:dyDescent="0.35">
      <c r="C1119" t="str">
        <f>IFERROR(ROUNDUP(VLOOKUP(F1119,'30Days-Baseline'!C:D,2,FALSE),0),"NotExist")</f>
        <v>NotExist</v>
      </c>
      <c r="D1119" t="str">
        <f t="shared" si="38"/>
        <v>New</v>
      </c>
      <c r="E1119" t="e">
        <f>VLOOKUP(A:A,Reviewed!B:C,2,0)</f>
        <v>#N/A</v>
      </c>
      <c r="F1119" t="str">
        <f t="shared" si="39"/>
        <v/>
      </c>
    </row>
    <row r="1120" spans="3:6" x14ac:dyDescent="0.35">
      <c r="C1120" t="str">
        <f>IFERROR(ROUNDUP(VLOOKUP(F1120,'30Days-Baseline'!C:D,2,FALSE),0),"NotExist")</f>
        <v>NotExist</v>
      </c>
      <c r="D1120" t="str">
        <f t="shared" si="38"/>
        <v>New</v>
      </c>
      <c r="E1120" t="e">
        <f>VLOOKUP(A:A,Reviewed!B:C,2,0)</f>
        <v>#N/A</v>
      </c>
      <c r="F1120" t="str">
        <f t="shared" si="39"/>
        <v/>
      </c>
    </row>
    <row r="1121" spans="3:6" x14ac:dyDescent="0.35">
      <c r="C1121" t="str">
        <f>IFERROR(ROUNDUP(VLOOKUP(F1121,'30Days-Baseline'!C:D,2,FALSE),0),"NotExist")</f>
        <v>NotExist</v>
      </c>
      <c r="D1121" t="str">
        <f t="shared" si="38"/>
        <v>New</v>
      </c>
      <c r="E1121" t="e">
        <f>VLOOKUP(A:A,Reviewed!B:C,2,0)</f>
        <v>#N/A</v>
      </c>
      <c r="F1121" t="str">
        <f t="shared" si="39"/>
        <v/>
      </c>
    </row>
    <row r="1122" spans="3:6" x14ac:dyDescent="0.35">
      <c r="C1122" t="str">
        <f>IFERROR(ROUNDUP(VLOOKUP(F1122,'30Days-Baseline'!C:D,2,FALSE),0),"NotExist")</f>
        <v>NotExist</v>
      </c>
      <c r="D1122" t="str">
        <f t="shared" si="38"/>
        <v>New</v>
      </c>
      <c r="E1122" t="e">
        <f>VLOOKUP(A:A,Reviewed!B:C,2,0)</f>
        <v>#N/A</v>
      </c>
      <c r="F1122" t="str">
        <f t="shared" si="39"/>
        <v/>
      </c>
    </row>
    <row r="1123" spans="3:6" x14ac:dyDescent="0.35">
      <c r="C1123" t="str">
        <f>IFERROR(ROUNDUP(VLOOKUP(F1123,'30Days-Baseline'!C:D,2,FALSE),0),"NotExist")</f>
        <v>NotExist</v>
      </c>
      <c r="D1123" t="str">
        <f t="shared" si="38"/>
        <v>New</v>
      </c>
      <c r="E1123" t="e">
        <f>VLOOKUP(A:A,Reviewed!B:C,2,0)</f>
        <v>#N/A</v>
      </c>
      <c r="F1123" t="str">
        <f t="shared" si="39"/>
        <v/>
      </c>
    </row>
    <row r="1124" spans="3:6" x14ac:dyDescent="0.35">
      <c r="C1124" t="str">
        <f>IFERROR(ROUNDUP(VLOOKUP(F1124,'30Days-Baseline'!C:D,2,FALSE),0),"NotExist")</f>
        <v>NotExist</v>
      </c>
      <c r="D1124" t="str">
        <f t="shared" si="38"/>
        <v>New</v>
      </c>
      <c r="E1124" t="e">
        <f>VLOOKUP(A:A,Reviewed!B:C,2,0)</f>
        <v>#N/A</v>
      </c>
      <c r="F1124" t="str">
        <f t="shared" si="39"/>
        <v/>
      </c>
    </row>
    <row r="1125" spans="3:6" x14ac:dyDescent="0.35">
      <c r="C1125" t="str">
        <f>IFERROR(ROUNDUP(VLOOKUP(F1125,'30Days-Baseline'!C:D,2,FALSE),0),"NotExist")</f>
        <v>NotExist</v>
      </c>
      <c r="D1125" t="str">
        <f t="shared" si="38"/>
        <v>New</v>
      </c>
      <c r="E1125" t="e">
        <f>VLOOKUP(A:A,Reviewed!B:C,2,0)</f>
        <v>#N/A</v>
      </c>
      <c r="F1125" t="str">
        <f t="shared" si="39"/>
        <v/>
      </c>
    </row>
    <row r="1126" spans="3:6" x14ac:dyDescent="0.35">
      <c r="C1126" t="str">
        <f>IFERROR(ROUNDUP(VLOOKUP(F1126,'30Days-Baseline'!C:D,2,FALSE),0),"NotExist")</f>
        <v>NotExist</v>
      </c>
      <c r="D1126" t="str">
        <f t="shared" si="38"/>
        <v>New</v>
      </c>
      <c r="E1126" t="e">
        <f>VLOOKUP(A:A,Reviewed!B:C,2,0)</f>
        <v>#N/A</v>
      </c>
      <c r="F1126" t="str">
        <f t="shared" si="39"/>
        <v/>
      </c>
    </row>
    <row r="1127" spans="3:6" x14ac:dyDescent="0.35">
      <c r="C1127" t="str">
        <f>IFERROR(ROUNDUP(VLOOKUP(F1127,'30Days-Baseline'!C:D,2,FALSE),0),"NotExist")</f>
        <v>NotExist</v>
      </c>
      <c r="D1127" t="str">
        <f t="shared" si="38"/>
        <v>New</v>
      </c>
      <c r="E1127" t="e">
        <f>VLOOKUP(A:A,Reviewed!B:C,2,0)</f>
        <v>#N/A</v>
      </c>
      <c r="F1127" t="str">
        <f t="shared" si="39"/>
        <v/>
      </c>
    </row>
    <row r="1128" spans="3:6" x14ac:dyDescent="0.35">
      <c r="C1128" t="str">
        <f>IFERROR(ROUNDUP(VLOOKUP(F1128,'30Days-Baseline'!C:D,2,FALSE),0),"NotExist")</f>
        <v>NotExist</v>
      </c>
      <c r="D1128" t="str">
        <f t="shared" si="38"/>
        <v>New</v>
      </c>
      <c r="E1128" t="e">
        <f>VLOOKUP(A:A,Reviewed!B:C,2,0)</f>
        <v>#N/A</v>
      </c>
      <c r="F1128" t="str">
        <f t="shared" si="39"/>
        <v/>
      </c>
    </row>
    <row r="1129" spans="3:6" x14ac:dyDescent="0.35">
      <c r="C1129" t="str">
        <f>IFERROR(ROUNDUP(VLOOKUP(F1129,'30Days-Baseline'!C:D,2,FALSE),0),"NotExist")</f>
        <v>NotExist</v>
      </c>
      <c r="D1129" t="str">
        <f t="shared" si="38"/>
        <v>New</v>
      </c>
      <c r="E1129" t="e">
        <f>VLOOKUP(A:A,Reviewed!B:C,2,0)</f>
        <v>#N/A</v>
      </c>
      <c r="F1129" t="str">
        <f t="shared" si="39"/>
        <v/>
      </c>
    </row>
    <row r="1130" spans="3:6" x14ac:dyDescent="0.35">
      <c r="C1130" t="str">
        <f>IFERROR(ROUNDUP(VLOOKUP(F1130,'30Days-Baseline'!C:D,2,FALSE),0),"NotExist")</f>
        <v>NotExist</v>
      </c>
      <c r="D1130" t="str">
        <f t="shared" si="38"/>
        <v>New</v>
      </c>
      <c r="E1130" t="e">
        <f>VLOOKUP(A:A,Reviewed!B:C,2,0)</f>
        <v>#N/A</v>
      </c>
      <c r="F1130" t="str">
        <f t="shared" si="39"/>
        <v/>
      </c>
    </row>
    <row r="1131" spans="3:6" x14ac:dyDescent="0.35">
      <c r="C1131" t="str">
        <f>IFERROR(ROUNDUP(VLOOKUP(F1131,'30Days-Baseline'!C:D,2,FALSE),0),"NotExist")</f>
        <v>NotExist</v>
      </c>
      <c r="D1131" t="str">
        <f t="shared" si="38"/>
        <v>New</v>
      </c>
      <c r="E1131" t="e">
        <f>VLOOKUP(A:A,Reviewed!B:C,2,0)</f>
        <v>#N/A</v>
      </c>
      <c r="F1131" t="str">
        <f t="shared" si="39"/>
        <v/>
      </c>
    </row>
    <row r="1132" spans="3:6" x14ac:dyDescent="0.35">
      <c r="C1132" t="str">
        <f>IFERROR(ROUNDUP(VLOOKUP(F1132,'30Days-Baseline'!C:D,2,FALSE),0),"NotExist")</f>
        <v>NotExist</v>
      </c>
      <c r="D1132" t="str">
        <f t="shared" si="38"/>
        <v>New</v>
      </c>
      <c r="E1132" t="e">
        <f>VLOOKUP(A:A,Reviewed!B:C,2,0)</f>
        <v>#N/A</v>
      </c>
      <c r="F1132" t="str">
        <f t="shared" si="39"/>
        <v/>
      </c>
    </row>
    <row r="1133" spans="3:6" x14ac:dyDescent="0.35">
      <c r="C1133" t="str">
        <f>IFERROR(ROUNDUP(VLOOKUP(F1133,'30Days-Baseline'!C:D,2,FALSE),0),"NotExist")</f>
        <v>NotExist</v>
      </c>
      <c r="D1133" t="str">
        <f t="shared" si="38"/>
        <v>New</v>
      </c>
      <c r="E1133" t="e">
        <f>VLOOKUP(A:A,Reviewed!B:C,2,0)</f>
        <v>#N/A</v>
      </c>
      <c r="F1133" t="str">
        <f t="shared" si="39"/>
        <v/>
      </c>
    </row>
    <row r="1134" spans="3:6" x14ac:dyDescent="0.35">
      <c r="C1134" t="str">
        <f>IFERROR(ROUNDUP(VLOOKUP(F1134,'30Days-Baseline'!C:D,2,FALSE),0),"NotExist")</f>
        <v>NotExist</v>
      </c>
      <c r="D1134" t="str">
        <f t="shared" si="38"/>
        <v>New</v>
      </c>
      <c r="E1134" t="e">
        <f>VLOOKUP(A:A,Reviewed!B:C,2,0)</f>
        <v>#N/A</v>
      </c>
      <c r="F1134" t="str">
        <f t="shared" si="39"/>
        <v/>
      </c>
    </row>
    <row r="1135" spans="3:6" x14ac:dyDescent="0.35">
      <c r="C1135" t="str">
        <f>IFERROR(ROUNDUP(VLOOKUP(F1135,'30Days-Baseline'!C:D,2,FALSE),0),"NotExist")</f>
        <v>NotExist</v>
      </c>
      <c r="D1135" t="str">
        <f t="shared" si="38"/>
        <v>New</v>
      </c>
      <c r="E1135" t="e">
        <f>VLOOKUP(A:A,Reviewed!B:C,2,0)</f>
        <v>#N/A</v>
      </c>
      <c r="F1135" t="str">
        <f t="shared" si="39"/>
        <v/>
      </c>
    </row>
    <row r="1136" spans="3:6" x14ac:dyDescent="0.35">
      <c r="C1136" t="str">
        <f>IFERROR(ROUNDUP(VLOOKUP(F1136,'30Days-Baseline'!C:D,2,FALSE),0),"NotExist")</f>
        <v>NotExist</v>
      </c>
      <c r="D1136" t="str">
        <f t="shared" si="38"/>
        <v>New</v>
      </c>
      <c r="E1136" t="e">
        <f>VLOOKUP(A:A,Reviewed!B:C,2,0)</f>
        <v>#N/A</v>
      </c>
      <c r="F1136" t="str">
        <f t="shared" si="39"/>
        <v/>
      </c>
    </row>
    <row r="1137" spans="3:6" x14ac:dyDescent="0.35">
      <c r="C1137" t="str">
        <f>IFERROR(ROUNDUP(VLOOKUP(F1137,'30Days-Baseline'!C:D,2,FALSE),0),"NotExist")</f>
        <v>NotExist</v>
      </c>
      <c r="D1137" t="str">
        <f t="shared" si="38"/>
        <v>New</v>
      </c>
      <c r="E1137" t="e">
        <f>VLOOKUP(A:A,Reviewed!B:C,2,0)</f>
        <v>#N/A</v>
      </c>
      <c r="F1137" t="str">
        <f t="shared" si="39"/>
        <v/>
      </c>
    </row>
    <row r="1138" spans="3:6" x14ac:dyDescent="0.35">
      <c r="C1138" t="str">
        <f>IFERROR(ROUNDUP(VLOOKUP(F1138,'30Days-Baseline'!C:D,2,FALSE),0),"NotExist")</f>
        <v>NotExist</v>
      </c>
      <c r="D1138" t="str">
        <f t="shared" si="38"/>
        <v>New</v>
      </c>
      <c r="E1138" t="e">
        <f>VLOOKUP(A:A,Reviewed!B:C,2,0)</f>
        <v>#N/A</v>
      </c>
      <c r="F1138" t="str">
        <f t="shared" si="39"/>
        <v/>
      </c>
    </row>
    <row r="1139" spans="3:6" x14ac:dyDescent="0.35">
      <c r="C1139" t="str">
        <f>IFERROR(ROUNDUP(VLOOKUP(F1139,'30Days-Baseline'!C:D,2,FALSE),0),"NotExist")</f>
        <v>NotExist</v>
      </c>
      <c r="D1139" t="str">
        <f t="shared" si="38"/>
        <v>New</v>
      </c>
      <c r="E1139" t="e">
        <f>VLOOKUP(A:A,Reviewed!B:C,2,0)</f>
        <v>#N/A</v>
      </c>
      <c r="F1139" t="str">
        <f t="shared" si="39"/>
        <v/>
      </c>
    </row>
    <row r="1140" spans="3:6" x14ac:dyDescent="0.35">
      <c r="C1140" t="str">
        <f>IFERROR(ROUNDUP(VLOOKUP(F1140,'30Days-Baseline'!C:D,2,FALSE),0),"NotExist")</f>
        <v>NotExist</v>
      </c>
      <c r="D1140" t="str">
        <f t="shared" si="38"/>
        <v>New</v>
      </c>
      <c r="E1140" t="e">
        <f>VLOOKUP(A:A,Reviewed!B:C,2,0)</f>
        <v>#N/A</v>
      </c>
      <c r="F1140" t="str">
        <f t="shared" si="39"/>
        <v/>
      </c>
    </row>
    <row r="1141" spans="3:6" x14ac:dyDescent="0.35">
      <c r="C1141" t="str">
        <f>IFERROR(ROUNDUP(VLOOKUP(F1141,'30Days-Baseline'!C:D,2,FALSE),0),"NotExist")</f>
        <v>NotExist</v>
      </c>
      <c r="D1141" t="str">
        <f t="shared" si="38"/>
        <v>New</v>
      </c>
      <c r="E1141" t="e">
        <f>VLOOKUP(A:A,Reviewed!B:C,2,0)</f>
        <v>#N/A</v>
      </c>
      <c r="F1141" t="str">
        <f t="shared" si="39"/>
        <v/>
      </c>
    </row>
    <row r="1142" spans="3:6" x14ac:dyDescent="0.35">
      <c r="C1142" t="str">
        <f>IFERROR(ROUNDUP(VLOOKUP(F1142,'30Days-Baseline'!C:D,2,FALSE),0),"NotExist")</f>
        <v>NotExist</v>
      </c>
      <c r="D1142" t="str">
        <f t="shared" si="38"/>
        <v>New</v>
      </c>
      <c r="E1142" t="e">
        <f>VLOOKUP(A:A,Reviewed!B:C,2,0)</f>
        <v>#N/A</v>
      </c>
      <c r="F1142" t="str">
        <f t="shared" si="39"/>
        <v/>
      </c>
    </row>
    <row r="1143" spans="3:6" x14ac:dyDescent="0.35">
      <c r="C1143" t="str">
        <f>IFERROR(ROUNDUP(VLOOKUP(F1143,'30Days-Baseline'!C:D,2,FALSE),0),"NotExist")</f>
        <v>NotExist</v>
      </c>
      <c r="D1143" t="str">
        <f t="shared" si="38"/>
        <v>New</v>
      </c>
      <c r="E1143" t="e">
        <f>VLOOKUP(A:A,Reviewed!B:C,2,0)</f>
        <v>#N/A</v>
      </c>
      <c r="F1143" t="str">
        <f t="shared" si="39"/>
        <v/>
      </c>
    </row>
    <row r="1144" spans="3:6" x14ac:dyDescent="0.35">
      <c r="C1144" t="str">
        <f>IFERROR(ROUNDUP(VLOOKUP(F1144,'30Days-Baseline'!C:D,2,FALSE),0),"NotExist")</f>
        <v>NotExist</v>
      </c>
      <c r="D1144" t="str">
        <f t="shared" si="38"/>
        <v>New</v>
      </c>
      <c r="E1144" t="e">
        <f>VLOOKUP(A:A,Reviewed!B:C,2,0)</f>
        <v>#N/A</v>
      </c>
      <c r="F1144" t="str">
        <f t="shared" si="39"/>
        <v/>
      </c>
    </row>
    <row r="1145" spans="3:6" x14ac:dyDescent="0.35">
      <c r="C1145" t="str">
        <f>IFERROR(ROUNDUP(VLOOKUP(F1145,'30Days-Baseline'!C:D,2,FALSE),0),"NotExist")</f>
        <v>NotExist</v>
      </c>
      <c r="D1145" t="str">
        <f t="shared" si="38"/>
        <v>New</v>
      </c>
      <c r="E1145" t="e">
        <f>VLOOKUP(A:A,Reviewed!B:C,2,0)</f>
        <v>#N/A</v>
      </c>
      <c r="F1145" t="str">
        <f t="shared" si="39"/>
        <v/>
      </c>
    </row>
    <row r="1146" spans="3:6" x14ac:dyDescent="0.35">
      <c r="C1146" t="str">
        <f>IFERROR(ROUNDUP(VLOOKUP(F1146,'30Days-Baseline'!C:D,2,FALSE),0),"NotExist")</f>
        <v>NotExist</v>
      </c>
      <c r="D1146" t="str">
        <f t="shared" si="38"/>
        <v>New</v>
      </c>
      <c r="E1146" t="e">
        <f>VLOOKUP(A:A,Reviewed!B:C,2,0)</f>
        <v>#N/A</v>
      </c>
      <c r="F1146" t="str">
        <f t="shared" si="39"/>
        <v/>
      </c>
    </row>
    <row r="1147" spans="3:6" x14ac:dyDescent="0.35">
      <c r="C1147" t="str">
        <f>IFERROR(ROUNDUP(VLOOKUP(F1147,'30Days-Baseline'!C:D,2,FALSE),0),"NotExist")</f>
        <v>NotExist</v>
      </c>
      <c r="D1147" t="str">
        <f t="shared" si="38"/>
        <v>New</v>
      </c>
      <c r="E1147" t="e">
        <f>VLOOKUP(A:A,Reviewed!B:C,2,0)</f>
        <v>#N/A</v>
      </c>
      <c r="F1147" t="str">
        <f t="shared" si="39"/>
        <v/>
      </c>
    </row>
    <row r="1148" spans="3:6" x14ac:dyDescent="0.35">
      <c r="C1148" t="str">
        <f>IFERROR(ROUNDUP(VLOOKUP(F1148,'30Days-Baseline'!C:D,2,FALSE),0),"NotExist")</f>
        <v>NotExist</v>
      </c>
      <c r="D1148" t="str">
        <f t="shared" si="38"/>
        <v>New</v>
      </c>
      <c r="E1148" t="e">
        <f>VLOOKUP(A:A,Reviewed!B:C,2,0)</f>
        <v>#N/A</v>
      </c>
      <c r="F1148" t="str">
        <f t="shared" si="39"/>
        <v/>
      </c>
    </row>
    <row r="1149" spans="3:6" x14ac:dyDescent="0.35">
      <c r="C1149" t="str">
        <f>IFERROR(ROUNDUP(VLOOKUP(F1149,'30Days-Baseline'!C:D,2,FALSE),0),"NotExist")</f>
        <v>NotExist</v>
      </c>
      <c r="D1149" t="str">
        <f t="shared" si="38"/>
        <v>New</v>
      </c>
      <c r="E1149" t="e">
        <f>VLOOKUP(A:A,Reviewed!B:C,2,0)</f>
        <v>#N/A</v>
      </c>
      <c r="F1149" t="str">
        <f t="shared" si="39"/>
        <v/>
      </c>
    </row>
    <row r="1150" spans="3:6" x14ac:dyDescent="0.35">
      <c r="C1150" t="str">
        <f>IFERROR(ROUNDUP(VLOOKUP(F1150,'30Days-Baseline'!C:D,2,FALSE),0),"NotExist")</f>
        <v>NotExist</v>
      </c>
      <c r="D1150" t="str">
        <f t="shared" si="38"/>
        <v>New</v>
      </c>
      <c r="E1150" t="e">
        <f>VLOOKUP(A:A,Reviewed!B:C,2,0)</f>
        <v>#N/A</v>
      </c>
      <c r="F1150" t="str">
        <f t="shared" si="39"/>
        <v/>
      </c>
    </row>
    <row r="1151" spans="3:6" x14ac:dyDescent="0.35">
      <c r="C1151" t="str">
        <f>IFERROR(ROUNDUP(VLOOKUP(F1151,'30Days-Baseline'!C:D,2,FALSE),0),"NotExist")</f>
        <v>NotExist</v>
      </c>
      <c r="D1151" t="str">
        <f t="shared" si="38"/>
        <v>New</v>
      </c>
      <c r="E1151" t="e">
        <f>VLOOKUP(A:A,Reviewed!B:C,2,0)</f>
        <v>#N/A</v>
      </c>
      <c r="F1151" t="str">
        <f t="shared" si="39"/>
        <v/>
      </c>
    </row>
    <row r="1152" spans="3:6" x14ac:dyDescent="0.35">
      <c r="C1152" t="str">
        <f>IFERROR(ROUNDUP(VLOOKUP(F1152,'30Days-Baseline'!C:D,2,FALSE),0),"NotExist")</f>
        <v>NotExist</v>
      </c>
      <c r="D1152" t="str">
        <f t="shared" si="38"/>
        <v>New</v>
      </c>
      <c r="E1152" t="e">
        <f>VLOOKUP(A:A,Reviewed!B:C,2,0)</f>
        <v>#N/A</v>
      </c>
      <c r="F1152" t="str">
        <f t="shared" si="39"/>
        <v/>
      </c>
    </row>
    <row r="1153" spans="3:6" x14ac:dyDescent="0.35">
      <c r="C1153" t="str">
        <f>IFERROR(ROUNDUP(VLOOKUP(F1153,'30Days-Baseline'!C:D,2,FALSE),0),"NotExist")</f>
        <v>NotExist</v>
      </c>
      <c r="D1153" t="str">
        <f t="shared" si="38"/>
        <v>New</v>
      </c>
      <c r="E1153" t="e">
        <f>VLOOKUP(A:A,Reviewed!B:C,2,0)</f>
        <v>#N/A</v>
      </c>
      <c r="F1153" t="str">
        <f t="shared" si="39"/>
        <v/>
      </c>
    </row>
    <row r="1154" spans="3:6" x14ac:dyDescent="0.35">
      <c r="C1154" t="str">
        <f>IFERROR(ROUNDUP(VLOOKUP(F1154,'30Days-Baseline'!C:D,2,FALSE),0),"NotExist")</f>
        <v>NotExist</v>
      </c>
      <c r="D1154" t="str">
        <f t="shared" si="38"/>
        <v>New</v>
      </c>
      <c r="E1154" t="e">
        <f>VLOOKUP(A:A,Reviewed!B:C,2,0)</f>
        <v>#N/A</v>
      </c>
      <c r="F1154" t="str">
        <f t="shared" si="39"/>
        <v/>
      </c>
    </row>
    <row r="1155" spans="3:6" x14ac:dyDescent="0.35">
      <c r="C1155" t="str">
        <f>IFERROR(ROUNDUP(VLOOKUP(F1155,'30Days-Baseline'!C:D,2,FALSE),0),"NotExist")</f>
        <v>NotExist</v>
      </c>
      <c r="D1155" t="str">
        <f t="shared" si="38"/>
        <v>New</v>
      </c>
      <c r="E1155" t="e">
        <f>VLOOKUP(A:A,Reviewed!B:C,2,0)</f>
        <v>#N/A</v>
      </c>
      <c r="F1155" t="str">
        <f t="shared" si="39"/>
        <v/>
      </c>
    </row>
    <row r="1156" spans="3:6" x14ac:dyDescent="0.35">
      <c r="C1156" t="str">
        <f>IFERROR(ROUNDUP(VLOOKUP(F1156,'30Days-Baseline'!C:D,2,FALSE),0),"NotExist")</f>
        <v>NotExist</v>
      </c>
      <c r="D1156" t="str">
        <f t="shared" si="38"/>
        <v>New</v>
      </c>
      <c r="E1156" t="e">
        <f>VLOOKUP(A:A,Reviewed!B:C,2,0)</f>
        <v>#N/A</v>
      </c>
      <c r="F1156" t="str">
        <f t="shared" si="39"/>
        <v/>
      </c>
    </row>
    <row r="1157" spans="3:6" x14ac:dyDescent="0.35">
      <c r="C1157" t="str">
        <f>IFERROR(ROUNDUP(VLOOKUP(F1157,'30Days-Baseline'!C:D,2,FALSE),0),"NotExist")</f>
        <v>NotExist</v>
      </c>
      <c r="D1157" t="str">
        <f t="shared" si="38"/>
        <v>New</v>
      </c>
      <c r="E1157" t="e">
        <f>VLOOKUP(A:A,Reviewed!B:C,2,0)</f>
        <v>#N/A</v>
      </c>
      <c r="F1157" t="str">
        <f t="shared" si="39"/>
        <v/>
      </c>
    </row>
    <row r="1158" spans="3:6" x14ac:dyDescent="0.35">
      <c r="C1158" t="str">
        <f>IFERROR(ROUNDUP(VLOOKUP(F1158,'30Days-Baseline'!C:D,2,FALSE),0),"NotExist")</f>
        <v>NotExist</v>
      </c>
      <c r="D1158" t="str">
        <f t="shared" si="38"/>
        <v>New</v>
      </c>
      <c r="E1158" t="e">
        <f>VLOOKUP(A:A,Reviewed!B:C,2,0)</f>
        <v>#N/A</v>
      </c>
      <c r="F1158" t="str">
        <f t="shared" si="39"/>
        <v/>
      </c>
    </row>
    <row r="1159" spans="3:6" x14ac:dyDescent="0.35">
      <c r="C1159" t="str">
        <f>IFERROR(ROUNDUP(VLOOKUP(F1159,'30Days-Baseline'!C:D,2,FALSE),0),"NotExist")</f>
        <v>NotExist</v>
      </c>
      <c r="D1159" t="str">
        <f t="shared" si="38"/>
        <v>New</v>
      </c>
      <c r="E1159" t="e">
        <f>VLOOKUP(A:A,Reviewed!B:C,2,0)</f>
        <v>#N/A</v>
      </c>
      <c r="F1159" t="str">
        <f t="shared" si="39"/>
        <v/>
      </c>
    </row>
    <row r="1160" spans="3:6" x14ac:dyDescent="0.35">
      <c r="C1160" t="str">
        <f>IFERROR(ROUNDUP(VLOOKUP(F1160,'30Days-Baseline'!C:D,2,FALSE),0),"NotExist")</f>
        <v>NotExist</v>
      </c>
      <c r="D1160" t="str">
        <f t="shared" si="38"/>
        <v>New</v>
      </c>
      <c r="E1160" t="e">
        <f>VLOOKUP(A:A,Reviewed!B:C,2,0)</f>
        <v>#N/A</v>
      </c>
      <c r="F1160" t="str">
        <f t="shared" si="39"/>
        <v/>
      </c>
    </row>
    <row r="1161" spans="3:6" x14ac:dyDescent="0.35">
      <c r="C1161" t="str">
        <f>IFERROR(ROUNDUP(VLOOKUP(F1161,'30Days-Baseline'!C:D,2,FALSE),0),"NotExist")</f>
        <v>NotExist</v>
      </c>
      <c r="D1161" t="str">
        <f t="shared" si="38"/>
        <v>New</v>
      </c>
      <c r="E1161" t="e">
        <f>VLOOKUP(A:A,Reviewed!B:C,2,0)</f>
        <v>#N/A</v>
      </c>
      <c r="F1161" t="str">
        <f t="shared" si="39"/>
        <v/>
      </c>
    </row>
    <row r="1162" spans="3:6" x14ac:dyDescent="0.35">
      <c r="C1162" t="str">
        <f>IFERROR(ROUNDUP(VLOOKUP(F1162,'30Days-Baseline'!C:D,2,FALSE),0),"NotExist")</f>
        <v>NotExist</v>
      </c>
      <c r="D1162" t="str">
        <f t="shared" si="38"/>
        <v>New</v>
      </c>
      <c r="E1162" t="e">
        <f>VLOOKUP(A:A,Reviewed!B:C,2,0)</f>
        <v>#N/A</v>
      </c>
      <c r="F1162" t="str">
        <f t="shared" si="39"/>
        <v/>
      </c>
    </row>
    <row r="1163" spans="3:6" x14ac:dyDescent="0.35">
      <c r="C1163" t="str">
        <f>IFERROR(ROUNDUP(VLOOKUP(F1163,'30Days-Baseline'!C:D,2,FALSE),0),"NotExist")</f>
        <v>NotExist</v>
      </c>
      <c r="D1163" t="str">
        <f t="shared" si="38"/>
        <v>New</v>
      </c>
      <c r="E1163" t="e">
        <f>VLOOKUP(A:A,Reviewed!B:C,2,0)</f>
        <v>#N/A</v>
      </c>
      <c r="F1163" t="str">
        <f t="shared" si="39"/>
        <v/>
      </c>
    </row>
    <row r="1164" spans="3:6" x14ac:dyDescent="0.35">
      <c r="C1164" t="str">
        <f>IFERROR(ROUNDUP(VLOOKUP(F1164,'30Days-Baseline'!C:D,2,FALSE),0),"NotExist")</f>
        <v>NotExist</v>
      </c>
      <c r="D1164" t="str">
        <f t="shared" si="38"/>
        <v>New</v>
      </c>
      <c r="E1164" t="e">
        <f>VLOOKUP(A:A,Reviewed!B:C,2,0)</f>
        <v>#N/A</v>
      </c>
      <c r="F1164" t="str">
        <f t="shared" si="39"/>
        <v/>
      </c>
    </row>
    <row r="1165" spans="3:6" x14ac:dyDescent="0.35">
      <c r="C1165" t="str">
        <f>IFERROR(ROUNDUP(VLOOKUP(F1165,'30Days-Baseline'!C:D,2,FALSE),0),"NotExist")</f>
        <v>NotExist</v>
      </c>
      <c r="D1165" t="str">
        <f t="shared" si="38"/>
        <v>New</v>
      </c>
      <c r="E1165" t="e">
        <f>VLOOKUP(A:A,Reviewed!B:C,2,0)</f>
        <v>#N/A</v>
      </c>
      <c r="F1165" t="str">
        <f t="shared" si="39"/>
        <v/>
      </c>
    </row>
    <row r="1166" spans="3:6" x14ac:dyDescent="0.35">
      <c r="C1166" t="str">
        <f>IFERROR(ROUNDUP(VLOOKUP(F1166,'30Days-Baseline'!C:D,2,FALSE),0),"NotExist")</f>
        <v>NotExist</v>
      </c>
      <c r="D1166" t="str">
        <f t="shared" si="38"/>
        <v>New</v>
      </c>
      <c r="E1166" t="e">
        <f>VLOOKUP(A:A,Reviewed!B:C,2,0)</f>
        <v>#N/A</v>
      </c>
      <c r="F1166" t="str">
        <f t="shared" si="39"/>
        <v/>
      </c>
    </row>
    <row r="1167" spans="3:6" x14ac:dyDescent="0.35">
      <c r="C1167" t="str">
        <f>IFERROR(ROUNDUP(VLOOKUP(F1167,'30Days-Baseline'!C:D,2,FALSE),0),"NotExist")</f>
        <v>NotExist</v>
      </c>
      <c r="D1167" t="str">
        <f t="shared" si="38"/>
        <v>New</v>
      </c>
      <c r="E1167" t="e">
        <f>VLOOKUP(A:A,Reviewed!B:C,2,0)</f>
        <v>#N/A</v>
      </c>
      <c r="F1167" t="str">
        <f t="shared" si="39"/>
        <v/>
      </c>
    </row>
    <row r="1168" spans="3:6" x14ac:dyDescent="0.35">
      <c r="C1168" t="str">
        <f>IFERROR(ROUNDUP(VLOOKUP(F1168,'30Days-Baseline'!C:D,2,FALSE),0),"NotExist")</f>
        <v>NotExist</v>
      </c>
      <c r="D1168" t="str">
        <f t="shared" si="38"/>
        <v>New</v>
      </c>
      <c r="E1168" t="e">
        <f>VLOOKUP(A:A,Reviewed!B:C,2,0)</f>
        <v>#N/A</v>
      </c>
      <c r="F1168" t="str">
        <f t="shared" si="39"/>
        <v/>
      </c>
    </row>
    <row r="1169" spans="3:6" x14ac:dyDescent="0.35">
      <c r="C1169" t="str">
        <f>IFERROR(ROUNDUP(VLOOKUP(F1169,'30Days-Baseline'!C:D,2,FALSE),0),"NotExist")</f>
        <v>NotExist</v>
      </c>
      <c r="D1169" t="str">
        <f t="shared" si="38"/>
        <v>New</v>
      </c>
      <c r="E1169" t="e">
        <f>VLOOKUP(A:A,Reviewed!B:C,2,0)</f>
        <v>#N/A</v>
      </c>
      <c r="F1169" t="str">
        <f t="shared" si="39"/>
        <v/>
      </c>
    </row>
    <row r="1170" spans="3:6" x14ac:dyDescent="0.35">
      <c r="C1170" t="str">
        <f>IFERROR(ROUNDUP(VLOOKUP(F1170,'30Days-Baseline'!C:D,2,FALSE),0),"NotExist")</f>
        <v>NotExist</v>
      </c>
      <c r="D1170" t="str">
        <f t="shared" si="38"/>
        <v>New</v>
      </c>
      <c r="E1170" t="e">
        <f>VLOOKUP(A:A,Reviewed!B:C,2,0)</f>
        <v>#N/A</v>
      </c>
      <c r="F1170" t="str">
        <f t="shared" si="39"/>
        <v/>
      </c>
    </row>
    <row r="1171" spans="3:6" x14ac:dyDescent="0.35">
      <c r="C1171" t="str">
        <f>IFERROR(ROUNDUP(VLOOKUP(F1171,'30Days-Baseline'!C:D,2,FALSE),0),"NotExist")</f>
        <v>NotExist</v>
      </c>
      <c r="D1171" t="str">
        <f t="shared" ref="D1171:D1234" si="40">IFERROR(IF(B1171&gt;ROUNDUP(C1171,0),"Elevated","Ok"),"New")</f>
        <v>New</v>
      </c>
      <c r="E1171" t="e">
        <f>VLOOKUP(A:A,Reviewed!B:C,2,0)</f>
        <v>#N/A</v>
      </c>
      <c r="F1171" t="str">
        <f t="shared" ref="F1171:F1234" si="41">LEFT(A1171,255)</f>
        <v/>
      </c>
    </row>
    <row r="1172" spans="3:6" x14ac:dyDescent="0.35">
      <c r="C1172" t="str">
        <f>IFERROR(ROUNDUP(VLOOKUP(F1172,'30Days-Baseline'!C:D,2,FALSE),0),"NotExist")</f>
        <v>NotExist</v>
      </c>
      <c r="D1172" t="str">
        <f t="shared" si="40"/>
        <v>New</v>
      </c>
      <c r="E1172" t="e">
        <f>VLOOKUP(A:A,Reviewed!B:C,2,0)</f>
        <v>#N/A</v>
      </c>
      <c r="F1172" t="str">
        <f t="shared" si="41"/>
        <v/>
      </c>
    </row>
    <row r="1173" spans="3:6" x14ac:dyDescent="0.35">
      <c r="C1173" t="str">
        <f>IFERROR(ROUNDUP(VLOOKUP(F1173,'30Days-Baseline'!C:D,2,FALSE),0),"NotExist")</f>
        <v>NotExist</v>
      </c>
      <c r="D1173" t="str">
        <f t="shared" si="40"/>
        <v>New</v>
      </c>
      <c r="E1173" t="e">
        <f>VLOOKUP(A:A,Reviewed!B:C,2,0)</f>
        <v>#N/A</v>
      </c>
      <c r="F1173" t="str">
        <f t="shared" si="41"/>
        <v/>
      </c>
    </row>
    <row r="1174" spans="3:6" x14ac:dyDescent="0.35">
      <c r="C1174" t="str">
        <f>IFERROR(ROUNDUP(VLOOKUP(F1174,'30Days-Baseline'!C:D,2,FALSE),0),"NotExist")</f>
        <v>NotExist</v>
      </c>
      <c r="D1174" t="str">
        <f t="shared" si="40"/>
        <v>New</v>
      </c>
      <c r="E1174" t="e">
        <f>VLOOKUP(A:A,Reviewed!B:C,2,0)</f>
        <v>#N/A</v>
      </c>
      <c r="F1174" t="str">
        <f t="shared" si="41"/>
        <v/>
      </c>
    </row>
    <row r="1175" spans="3:6" x14ac:dyDescent="0.35">
      <c r="C1175" t="str">
        <f>IFERROR(ROUNDUP(VLOOKUP(F1175,'30Days-Baseline'!C:D,2,FALSE),0),"NotExist")</f>
        <v>NotExist</v>
      </c>
      <c r="D1175" t="str">
        <f t="shared" si="40"/>
        <v>New</v>
      </c>
      <c r="E1175" t="e">
        <f>VLOOKUP(A:A,Reviewed!B:C,2,0)</f>
        <v>#N/A</v>
      </c>
      <c r="F1175" t="str">
        <f t="shared" si="41"/>
        <v/>
      </c>
    </row>
    <row r="1176" spans="3:6" x14ac:dyDescent="0.35">
      <c r="C1176" t="str">
        <f>IFERROR(ROUNDUP(VLOOKUP(F1176,'30Days-Baseline'!C:D,2,FALSE),0),"NotExist")</f>
        <v>NotExist</v>
      </c>
      <c r="D1176" t="str">
        <f t="shared" si="40"/>
        <v>New</v>
      </c>
      <c r="E1176" t="e">
        <f>VLOOKUP(A:A,Reviewed!B:C,2,0)</f>
        <v>#N/A</v>
      </c>
      <c r="F1176" t="str">
        <f t="shared" si="41"/>
        <v/>
      </c>
    </row>
    <row r="1177" spans="3:6" x14ac:dyDescent="0.35">
      <c r="C1177" t="str">
        <f>IFERROR(ROUNDUP(VLOOKUP(F1177,'30Days-Baseline'!C:D,2,FALSE),0),"NotExist")</f>
        <v>NotExist</v>
      </c>
      <c r="D1177" t="str">
        <f t="shared" si="40"/>
        <v>New</v>
      </c>
      <c r="E1177" t="e">
        <f>VLOOKUP(A:A,Reviewed!B:C,2,0)</f>
        <v>#N/A</v>
      </c>
      <c r="F1177" t="str">
        <f t="shared" si="41"/>
        <v/>
      </c>
    </row>
    <row r="1178" spans="3:6" x14ac:dyDescent="0.35">
      <c r="C1178" t="str">
        <f>IFERROR(ROUNDUP(VLOOKUP(F1178,'30Days-Baseline'!C:D,2,FALSE),0),"NotExist")</f>
        <v>NotExist</v>
      </c>
      <c r="D1178" t="str">
        <f t="shared" si="40"/>
        <v>New</v>
      </c>
      <c r="E1178" t="e">
        <f>VLOOKUP(A:A,Reviewed!B:C,2,0)</f>
        <v>#N/A</v>
      </c>
      <c r="F1178" t="str">
        <f t="shared" si="41"/>
        <v/>
      </c>
    </row>
    <row r="1179" spans="3:6" x14ac:dyDescent="0.35">
      <c r="C1179" t="str">
        <f>IFERROR(ROUNDUP(VLOOKUP(F1179,'30Days-Baseline'!C:D,2,FALSE),0),"NotExist")</f>
        <v>NotExist</v>
      </c>
      <c r="D1179" t="str">
        <f t="shared" si="40"/>
        <v>New</v>
      </c>
      <c r="E1179" t="e">
        <f>VLOOKUP(A:A,Reviewed!B:C,2,0)</f>
        <v>#N/A</v>
      </c>
      <c r="F1179" t="str">
        <f t="shared" si="41"/>
        <v/>
      </c>
    </row>
    <row r="1180" spans="3:6" x14ac:dyDescent="0.35">
      <c r="C1180" t="str">
        <f>IFERROR(ROUNDUP(VLOOKUP(F1180,'30Days-Baseline'!C:D,2,FALSE),0),"NotExist")</f>
        <v>NotExist</v>
      </c>
      <c r="D1180" t="str">
        <f t="shared" si="40"/>
        <v>New</v>
      </c>
      <c r="E1180" t="e">
        <f>VLOOKUP(A:A,Reviewed!B:C,2,0)</f>
        <v>#N/A</v>
      </c>
      <c r="F1180" t="str">
        <f t="shared" si="41"/>
        <v/>
      </c>
    </row>
    <row r="1181" spans="3:6" x14ac:dyDescent="0.35">
      <c r="C1181" t="str">
        <f>IFERROR(ROUNDUP(VLOOKUP(F1181,'30Days-Baseline'!C:D,2,FALSE),0),"NotExist")</f>
        <v>NotExist</v>
      </c>
      <c r="D1181" t="str">
        <f t="shared" si="40"/>
        <v>New</v>
      </c>
      <c r="E1181" t="e">
        <f>VLOOKUP(A:A,Reviewed!B:C,2,0)</f>
        <v>#N/A</v>
      </c>
      <c r="F1181" t="str">
        <f t="shared" si="41"/>
        <v/>
      </c>
    </row>
    <row r="1182" spans="3:6" x14ac:dyDescent="0.35">
      <c r="C1182" t="str">
        <f>IFERROR(ROUNDUP(VLOOKUP(F1182,'30Days-Baseline'!C:D,2,FALSE),0),"NotExist")</f>
        <v>NotExist</v>
      </c>
      <c r="D1182" t="str">
        <f t="shared" si="40"/>
        <v>New</v>
      </c>
      <c r="E1182" t="e">
        <f>VLOOKUP(A:A,Reviewed!B:C,2,0)</f>
        <v>#N/A</v>
      </c>
      <c r="F1182" t="str">
        <f t="shared" si="41"/>
        <v/>
      </c>
    </row>
    <row r="1183" spans="3:6" x14ac:dyDescent="0.35">
      <c r="C1183" t="str">
        <f>IFERROR(ROUNDUP(VLOOKUP(F1183,'30Days-Baseline'!C:D,2,FALSE),0),"NotExist")</f>
        <v>NotExist</v>
      </c>
      <c r="D1183" t="str">
        <f t="shared" si="40"/>
        <v>New</v>
      </c>
      <c r="E1183" t="e">
        <f>VLOOKUP(A:A,Reviewed!B:C,2,0)</f>
        <v>#N/A</v>
      </c>
      <c r="F1183" t="str">
        <f t="shared" si="41"/>
        <v/>
      </c>
    </row>
    <row r="1184" spans="3:6" x14ac:dyDescent="0.35">
      <c r="C1184" t="str">
        <f>IFERROR(ROUNDUP(VLOOKUP(F1184,'30Days-Baseline'!C:D,2,FALSE),0),"NotExist")</f>
        <v>NotExist</v>
      </c>
      <c r="D1184" t="str">
        <f t="shared" si="40"/>
        <v>New</v>
      </c>
      <c r="E1184" t="e">
        <f>VLOOKUP(A:A,Reviewed!B:C,2,0)</f>
        <v>#N/A</v>
      </c>
      <c r="F1184" t="str">
        <f t="shared" si="41"/>
        <v/>
      </c>
    </row>
    <row r="1185" spans="3:6" x14ac:dyDescent="0.35">
      <c r="C1185" t="str">
        <f>IFERROR(ROUNDUP(VLOOKUP(F1185,'30Days-Baseline'!C:D,2,FALSE),0),"NotExist")</f>
        <v>NotExist</v>
      </c>
      <c r="D1185" t="str">
        <f t="shared" si="40"/>
        <v>New</v>
      </c>
      <c r="E1185" t="e">
        <f>VLOOKUP(A:A,Reviewed!B:C,2,0)</f>
        <v>#N/A</v>
      </c>
      <c r="F1185" t="str">
        <f t="shared" si="41"/>
        <v/>
      </c>
    </row>
    <row r="1186" spans="3:6" x14ac:dyDescent="0.35">
      <c r="C1186" t="str">
        <f>IFERROR(ROUNDUP(VLOOKUP(F1186,'30Days-Baseline'!C:D,2,FALSE),0),"NotExist")</f>
        <v>NotExist</v>
      </c>
      <c r="D1186" t="str">
        <f t="shared" si="40"/>
        <v>New</v>
      </c>
      <c r="E1186" t="e">
        <f>VLOOKUP(A:A,Reviewed!B:C,2,0)</f>
        <v>#N/A</v>
      </c>
      <c r="F1186" t="str">
        <f t="shared" si="41"/>
        <v/>
      </c>
    </row>
    <row r="1187" spans="3:6" x14ac:dyDescent="0.35">
      <c r="C1187" t="str">
        <f>IFERROR(ROUNDUP(VLOOKUP(F1187,'30Days-Baseline'!C:D,2,FALSE),0),"NotExist")</f>
        <v>NotExist</v>
      </c>
      <c r="D1187" t="str">
        <f t="shared" si="40"/>
        <v>New</v>
      </c>
      <c r="E1187" t="e">
        <f>VLOOKUP(A:A,Reviewed!B:C,2,0)</f>
        <v>#N/A</v>
      </c>
      <c r="F1187" t="str">
        <f t="shared" si="41"/>
        <v/>
      </c>
    </row>
    <row r="1188" spans="3:6" x14ac:dyDescent="0.35">
      <c r="C1188" t="str">
        <f>IFERROR(ROUNDUP(VLOOKUP(F1188,'30Days-Baseline'!C:D,2,FALSE),0),"NotExist")</f>
        <v>NotExist</v>
      </c>
      <c r="D1188" t="str">
        <f t="shared" si="40"/>
        <v>New</v>
      </c>
      <c r="E1188" t="e">
        <f>VLOOKUP(A:A,Reviewed!B:C,2,0)</f>
        <v>#N/A</v>
      </c>
      <c r="F1188" t="str">
        <f t="shared" si="41"/>
        <v/>
      </c>
    </row>
    <row r="1189" spans="3:6" x14ac:dyDescent="0.35">
      <c r="C1189" t="str">
        <f>IFERROR(ROUNDUP(VLOOKUP(F1189,'30Days-Baseline'!C:D,2,FALSE),0),"NotExist")</f>
        <v>NotExist</v>
      </c>
      <c r="D1189" t="str">
        <f t="shared" si="40"/>
        <v>New</v>
      </c>
      <c r="E1189" t="e">
        <f>VLOOKUP(A:A,Reviewed!B:C,2,0)</f>
        <v>#N/A</v>
      </c>
      <c r="F1189" t="str">
        <f t="shared" si="41"/>
        <v/>
      </c>
    </row>
    <row r="1190" spans="3:6" x14ac:dyDescent="0.35">
      <c r="C1190" t="str">
        <f>IFERROR(ROUNDUP(VLOOKUP(F1190,'30Days-Baseline'!C:D,2,FALSE),0),"NotExist")</f>
        <v>NotExist</v>
      </c>
      <c r="D1190" t="str">
        <f t="shared" si="40"/>
        <v>New</v>
      </c>
      <c r="E1190" t="e">
        <f>VLOOKUP(A:A,Reviewed!B:C,2,0)</f>
        <v>#N/A</v>
      </c>
      <c r="F1190" t="str">
        <f t="shared" si="41"/>
        <v/>
      </c>
    </row>
    <row r="1191" spans="3:6" x14ac:dyDescent="0.35">
      <c r="C1191" t="str">
        <f>IFERROR(ROUNDUP(VLOOKUP(F1191,'30Days-Baseline'!C:D,2,FALSE),0),"NotExist")</f>
        <v>NotExist</v>
      </c>
      <c r="D1191" t="str">
        <f t="shared" si="40"/>
        <v>New</v>
      </c>
      <c r="E1191" t="e">
        <f>VLOOKUP(A:A,Reviewed!B:C,2,0)</f>
        <v>#N/A</v>
      </c>
      <c r="F1191" t="str">
        <f t="shared" si="41"/>
        <v/>
      </c>
    </row>
    <row r="1192" spans="3:6" x14ac:dyDescent="0.35">
      <c r="C1192" t="str">
        <f>IFERROR(ROUNDUP(VLOOKUP(F1192,'30Days-Baseline'!C:D,2,FALSE),0),"NotExist")</f>
        <v>NotExist</v>
      </c>
      <c r="D1192" t="str">
        <f t="shared" si="40"/>
        <v>New</v>
      </c>
      <c r="E1192" t="e">
        <f>VLOOKUP(A:A,Reviewed!B:C,2,0)</f>
        <v>#N/A</v>
      </c>
      <c r="F1192" t="str">
        <f t="shared" si="41"/>
        <v/>
      </c>
    </row>
    <row r="1193" spans="3:6" x14ac:dyDescent="0.35">
      <c r="C1193" t="str">
        <f>IFERROR(ROUNDUP(VLOOKUP(F1193,'30Days-Baseline'!C:D,2,FALSE),0),"NotExist")</f>
        <v>NotExist</v>
      </c>
      <c r="D1193" t="str">
        <f t="shared" si="40"/>
        <v>New</v>
      </c>
      <c r="E1193" t="e">
        <f>VLOOKUP(A:A,Reviewed!B:C,2,0)</f>
        <v>#N/A</v>
      </c>
      <c r="F1193" t="str">
        <f t="shared" si="41"/>
        <v/>
      </c>
    </row>
    <row r="1194" spans="3:6" x14ac:dyDescent="0.35">
      <c r="C1194" t="str">
        <f>IFERROR(ROUNDUP(VLOOKUP(F1194,'30Days-Baseline'!C:D,2,FALSE),0),"NotExist")</f>
        <v>NotExist</v>
      </c>
      <c r="D1194" t="str">
        <f t="shared" si="40"/>
        <v>New</v>
      </c>
      <c r="E1194" t="e">
        <f>VLOOKUP(A:A,Reviewed!B:C,2,0)</f>
        <v>#N/A</v>
      </c>
      <c r="F1194" t="str">
        <f t="shared" si="41"/>
        <v/>
      </c>
    </row>
    <row r="1195" spans="3:6" x14ac:dyDescent="0.35">
      <c r="C1195" t="str">
        <f>IFERROR(ROUNDUP(VLOOKUP(F1195,'30Days-Baseline'!C:D,2,FALSE),0),"NotExist")</f>
        <v>NotExist</v>
      </c>
      <c r="D1195" t="str">
        <f t="shared" si="40"/>
        <v>New</v>
      </c>
      <c r="E1195" t="e">
        <f>VLOOKUP(A:A,Reviewed!B:C,2,0)</f>
        <v>#N/A</v>
      </c>
      <c r="F1195" t="str">
        <f t="shared" si="41"/>
        <v/>
      </c>
    </row>
    <row r="1196" spans="3:6" x14ac:dyDescent="0.35">
      <c r="C1196" t="str">
        <f>IFERROR(ROUNDUP(VLOOKUP(F1196,'30Days-Baseline'!C:D,2,FALSE),0),"NotExist")</f>
        <v>NotExist</v>
      </c>
      <c r="D1196" t="str">
        <f t="shared" si="40"/>
        <v>New</v>
      </c>
      <c r="E1196" t="e">
        <f>VLOOKUP(A:A,Reviewed!B:C,2,0)</f>
        <v>#N/A</v>
      </c>
      <c r="F1196" t="str">
        <f t="shared" si="41"/>
        <v/>
      </c>
    </row>
    <row r="1197" spans="3:6" x14ac:dyDescent="0.35">
      <c r="C1197" t="str">
        <f>IFERROR(ROUNDUP(VLOOKUP(F1197,'30Days-Baseline'!C:D,2,FALSE),0),"NotExist")</f>
        <v>NotExist</v>
      </c>
      <c r="D1197" t="str">
        <f t="shared" si="40"/>
        <v>New</v>
      </c>
      <c r="E1197" t="e">
        <f>VLOOKUP(A:A,Reviewed!B:C,2,0)</f>
        <v>#N/A</v>
      </c>
      <c r="F1197" t="str">
        <f t="shared" si="41"/>
        <v/>
      </c>
    </row>
    <row r="1198" spans="3:6" x14ac:dyDescent="0.35">
      <c r="C1198" t="str">
        <f>IFERROR(ROUNDUP(VLOOKUP(F1198,'30Days-Baseline'!C:D,2,FALSE),0),"NotExist")</f>
        <v>NotExist</v>
      </c>
      <c r="D1198" t="str">
        <f t="shared" si="40"/>
        <v>New</v>
      </c>
      <c r="E1198" t="e">
        <f>VLOOKUP(A:A,Reviewed!B:C,2,0)</f>
        <v>#N/A</v>
      </c>
      <c r="F1198" t="str">
        <f t="shared" si="41"/>
        <v/>
      </c>
    </row>
    <row r="1199" spans="3:6" x14ac:dyDescent="0.35">
      <c r="C1199" t="str">
        <f>IFERROR(ROUNDUP(VLOOKUP(F1199,'30Days-Baseline'!C:D,2,FALSE),0),"NotExist")</f>
        <v>NotExist</v>
      </c>
      <c r="D1199" t="str">
        <f t="shared" si="40"/>
        <v>New</v>
      </c>
      <c r="E1199" t="e">
        <f>VLOOKUP(A:A,Reviewed!B:C,2,0)</f>
        <v>#N/A</v>
      </c>
      <c r="F1199" t="str">
        <f t="shared" si="41"/>
        <v/>
      </c>
    </row>
    <row r="1200" spans="3:6" x14ac:dyDescent="0.35">
      <c r="C1200" t="str">
        <f>IFERROR(ROUNDUP(VLOOKUP(F1200,'30Days-Baseline'!C:D,2,FALSE),0),"NotExist")</f>
        <v>NotExist</v>
      </c>
      <c r="D1200" t="str">
        <f t="shared" si="40"/>
        <v>New</v>
      </c>
      <c r="E1200" t="e">
        <f>VLOOKUP(A:A,Reviewed!B:C,2,0)</f>
        <v>#N/A</v>
      </c>
      <c r="F1200" t="str">
        <f t="shared" si="41"/>
        <v/>
      </c>
    </row>
    <row r="1201" spans="3:6" x14ac:dyDescent="0.35">
      <c r="C1201" t="str">
        <f>IFERROR(ROUNDUP(VLOOKUP(F1201,'30Days-Baseline'!C:D,2,FALSE),0),"NotExist")</f>
        <v>NotExist</v>
      </c>
      <c r="D1201" t="str">
        <f t="shared" si="40"/>
        <v>New</v>
      </c>
      <c r="E1201" t="e">
        <f>VLOOKUP(A:A,Reviewed!B:C,2,0)</f>
        <v>#N/A</v>
      </c>
      <c r="F1201" t="str">
        <f t="shared" si="41"/>
        <v/>
      </c>
    </row>
    <row r="1202" spans="3:6" x14ac:dyDescent="0.35">
      <c r="C1202" t="str">
        <f>IFERROR(ROUNDUP(VLOOKUP(F1202,'30Days-Baseline'!C:D,2,FALSE),0),"NotExist")</f>
        <v>NotExist</v>
      </c>
      <c r="D1202" t="str">
        <f t="shared" si="40"/>
        <v>New</v>
      </c>
      <c r="E1202" t="e">
        <f>VLOOKUP(A:A,Reviewed!B:C,2,0)</f>
        <v>#N/A</v>
      </c>
      <c r="F1202" t="str">
        <f t="shared" si="41"/>
        <v/>
      </c>
    </row>
    <row r="1203" spans="3:6" x14ac:dyDescent="0.35">
      <c r="C1203" t="str">
        <f>IFERROR(ROUNDUP(VLOOKUP(F1203,'30Days-Baseline'!C:D,2,FALSE),0),"NotExist")</f>
        <v>NotExist</v>
      </c>
      <c r="D1203" t="str">
        <f t="shared" si="40"/>
        <v>New</v>
      </c>
      <c r="E1203" t="e">
        <f>VLOOKUP(A:A,Reviewed!B:C,2,0)</f>
        <v>#N/A</v>
      </c>
      <c r="F1203" t="str">
        <f t="shared" si="41"/>
        <v/>
      </c>
    </row>
    <row r="1204" spans="3:6" x14ac:dyDescent="0.35">
      <c r="C1204" t="str">
        <f>IFERROR(ROUNDUP(VLOOKUP(F1204,'30Days-Baseline'!C:D,2,FALSE),0),"NotExist")</f>
        <v>NotExist</v>
      </c>
      <c r="D1204" t="str">
        <f t="shared" si="40"/>
        <v>New</v>
      </c>
      <c r="E1204" t="e">
        <f>VLOOKUP(A:A,Reviewed!B:C,2,0)</f>
        <v>#N/A</v>
      </c>
      <c r="F1204" t="str">
        <f t="shared" si="41"/>
        <v/>
      </c>
    </row>
    <row r="1205" spans="3:6" x14ac:dyDescent="0.35">
      <c r="C1205" t="str">
        <f>IFERROR(ROUNDUP(VLOOKUP(F1205,'30Days-Baseline'!C:D,2,FALSE),0),"NotExist")</f>
        <v>NotExist</v>
      </c>
      <c r="D1205" t="str">
        <f t="shared" si="40"/>
        <v>New</v>
      </c>
      <c r="E1205" t="e">
        <f>VLOOKUP(A:A,Reviewed!B:C,2,0)</f>
        <v>#N/A</v>
      </c>
      <c r="F1205" t="str">
        <f t="shared" si="41"/>
        <v/>
      </c>
    </row>
    <row r="1206" spans="3:6" x14ac:dyDescent="0.35">
      <c r="C1206" t="str">
        <f>IFERROR(ROUNDUP(VLOOKUP(F1206,'30Days-Baseline'!C:D,2,FALSE),0),"NotExist")</f>
        <v>NotExist</v>
      </c>
      <c r="D1206" t="str">
        <f t="shared" si="40"/>
        <v>New</v>
      </c>
      <c r="E1206" t="e">
        <f>VLOOKUP(A:A,Reviewed!B:C,2,0)</f>
        <v>#N/A</v>
      </c>
      <c r="F1206" t="str">
        <f t="shared" si="41"/>
        <v/>
      </c>
    </row>
    <row r="1207" spans="3:6" x14ac:dyDescent="0.35">
      <c r="C1207" t="str">
        <f>IFERROR(ROUNDUP(VLOOKUP(F1207,'30Days-Baseline'!C:D,2,FALSE),0),"NotExist")</f>
        <v>NotExist</v>
      </c>
      <c r="D1207" t="str">
        <f t="shared" si="40"/>
        <v>New</v>
      </c>
      <c r="E1207" t="e">
        <f>VLOOKUP(A:A,Reviewed!B:C,2,0)</f>
        <v>#N/A</v>
      </c>
      <c r="F1207" t="str">
        <f t="shared" si="41"/>
        <v/>
      </c>
    </row>
    <row r="1208" spans="3:6" x14ac:dyDescent="0.35">
      <c r="C1208" t="str">
        <f>IFERROR(ROUNDUP(VLOOKUP(F1208,'30Days-Baseline'!C:D,2,FALSE),0),"NotExist")</f>
        <v>NotExist</v>
      </c>
      <c r="D1208" t="str">
        <f t="shared" si="40"/>
        <v>New</v>
      </c>
      <c r="E1208" t="e">
        <f>VLOOKUP(A:A,Reviewed!B:C,2,0)</f>
        <v>#N/A</v>
      </c>
      <c r="F1208" t="str">
        <f t="shared" si="41"/>
        <v/>
      </c>
    </row>
    <row r="1209" spans="3:6" x14ac:dyDescent="0.35">
      <c r="C1209" t="str">
        <f>IFERROR(ROUNDUP(VLOOKUP(F1209,'30Days-Baseline'!C:D,2,FALSE),0),"NotExist")</f>
        <v>NotExist</v>
      </c>
      <c r="D1209" t="str">
        <f t="shared" si="40"/>
        <v>New</v>
      </c>
      <c r="E1209" t="e">
        <f>VLOOKUP(A:A,Reviewed!B:C,2,0)</f>
        <v>#N/A</v>
      </c>
      <c r="F1209" t="str">
        <f t="shared" si="41"/>
        <v/>
      </c>
    </row>
    <row r="1210" spans="3:6" x14ac:dyDescent="0.35">
      <c r="C1210" t="str">
        <f>IFERROR(ROUNDUP(VLOOKUP(F1210,'30Days-Baseline'!C:D,2,FALSE),0),"NotExist")</f>
        <v>NotExist</v>
      </c>
      <c r="D1210" t="str">
        <f t="shared" si="40"/>
        <v>New</v>
      </c>
      <c r="E1210" t="e">
        <f>VLOOKUP(A:A,Reviewed!B:C,2,0)</f>
        <v>#N/A</v>
      </c>
      <c r="F1210" t="str">
        <f t="shared" si="41"/>
        <v/>
      </c>
    </row>
    <row r="1211" spans="3:6" x14ac:dyDescent="0.35">
      <c r="C1211" t="str">
        <f>IFERROR(ROUNDUP(VLOOKUP(F1211,'30Days-Baseline'!C:D,2,FALSE),0),"NotExist")</f>
        <v>NotExist</v>
      </c>
      <c r="D1211" t="str">
        <f t="shared" si="40"/>
        <v>New</v>
      </c>
      <c r="E1211" t="e">
        <f>VLOOKUP(A:A,Reviewed!B:C,2,0)</f>
        <v>#N/A</v>
      </c>
      <c r="F1211" t="str">
        <f t="shared" si="41"/>
        <v/>
      </c>
    </row>
    <row r="1212" spans="3:6" x14ac:dyDescent="0.35">
      <c r="C1212" t="str">
        <f>IFERROR(ROUNDUP(VLOOKUP(F1212,'30Days-Baseline'!C:D,2,FALSE),0),"NotExist")</f>
        <v>NotExist</v>
      </c>
      <c r="D1212" t="str">
        <f t="shared" si="40"/>
        <v>New</v>
      </c>
      <c r="E1212" t="e">
        <f>VLOOKUP(A:A,Reviewed!B:C,2,0)</f>
        <v>#N/A</v>
      </c>
      <c r="F1212" t="str">
        <f t="shared" si="41"/>
        <v/>
      </c>
    </row>
    <row r="1213" spans="3:6" x14ac:dyDescent="0.35">
      <c r="C1213" t="str">
        <f>IFERROR(ROUNDUP(VLOOKUP(F1213,'30Days-Baseline'!C:D,2,FALSE),0),"NotExist")</f>
        <v>NotExist</v>
      </c>
      <c r="D1213" t="str">
        <f t="shared" si="40"/>
        <v>New</v>
      </c>
      <c r="E1213" t="e">
        <f>VLOOKUP(A:A,Reviewed!B:C,2,0)</f>
        <v>#N/A</v>
      </c>
      <c r="F1213" t="str">
        <f t="shared" si="41"/>
        <v/>
      </c>
    </row>
    <row r="1214" spans="3:6" x14ac:dyDescent="0.35">
      <c r="C1214" t="str">
        <f>IFERROR(ROUNDUP(VLOOKUP(F1214,'30Days-Baseline'!C:D,2,FALSE),0),"NotExist")</f>
        <v>NotExist</v>
      </c>
      <c r="D1214" t="str">
        <f t="shared" si="40"/>
        <v>New</v>
      </c>
      <c r="E1214" t="e">
        <f>VLOOKUP(A:A,Reviewed!B:C,2,0)</f>
        <v>#N/A</v>
      </c>
      <c r="F1214" t="str">
        <f t="shared" si="41"/>
        <v/>
      </c>
    </row>
    <row r="1215" spans="3:6" x14ac:dyDescent="0.35">
      <c r="C1215" t="str">
        <f>IFERROR(ROUNDUP(VLOOKUP(F1215,'30Days-Baseline'!C:D,2,FALSE),0),"NotExist")</f>
        <v>NotExist</v>
      </c>
      <c r="D1215" t="str">
        <f t="shared" si="40"/>
        <v>New</v>
      </c>
      <c r="E1215" t="e">
        <f>VLOOKUP(A:A,Reviewed!B:C,2,0)</f>
        <v>#N/A</v>
      </c>
      <c r="F1215" t="str">
        <f t="shared" si="41"/>
        <v/>
      </c>
    </row>
    <row r="1216" spans="3:6" x14ac:dyDescent="0.35">
      <c r="C1216" t="str">
        <f>IFERROR(ROUNDUP(VLOOKUP(F1216,'30Days-Baseline'!C:D,2,FALSE),0),"NotExist")</f>
        <v>NotExist</v>
      </c>
      <c r="D1216" t="str">
        <f t="shared" si="40"/>
        <v>New</v>
      </c>
      <c r="E1216" t="e">
        <f>VLOOKUP(A:A,Reviewed!B:C,2,0)</f>
        <v>#N/A</v>
      </c>
      <c r="F1216" t="str">
        <f t="shared" si="41"/>
        <v/>
      </c>
    </row>
    <row r="1217" spans="3:6" x14ac:dyDescent="0.35">
      <c r="C1217" t="str">
        <f>IFERROR(ROUNDUP(VLOOKUP(F1217,'30Days-Baseline'!C:D,2,FALSE),0),"NotExist")</f>
        <v>NotExist</v>
      </c>
      <c r="D1217" t="str">
        <f t="shared" si="40"/>
        <v>New</v>
      </c>
      <c r="E1217" t="e">
        <f>VLOOKUP(A:A,Reviewed!B:C,2,0)</f>
        <v>#N/A</v>
      </c>
      <c r="F1217" t="str">
        <f t="shared" si="41"/>
        <v/>
      </c>
    </row>
    <row r="1218" spans="3:6" x14ac:dyDescent="0.35">
      <c r="C1218" t="str">
        <f>IFERROR(ROUNDUP(VLOOKUP(F1218,'30Days-Baseline'!C:D,2,FALSE),0),"NotExist")</f>
        <v>NotExist</v>
      </c>
      <c r="D1218" t="str">
        <f t="shared" si="40"/>
        <v>New</v>
      </c>
      <c r="E1218" t="e">
        <f>VLOOKUP(A:A,Reviewed!B:C,2,0)</f>
        <v>#N/A</v>
      </c>
      <c r="F1218" t="str">
        <f t="shared" si="41"/>
        <v/>
      </c>
    </row>
    <row r="1219" spans="3:6" x14ac:dyDescent="0.35">
      <c r="C1219" t="str">
        <f>IFERROR(ROUNDUP(VLOOKUP(F1219,'30Days-Baseline'!C:D,2,FALSE),0),"NotExist")</f>
        <v>NotExist</v>
      </c>
      <c r="D1219" t="str">
        <f t="shared" si="40"/>
        <v>New</v>
      </c>
      <c r="E1219" t="e">
        <f>VLOOKUP(A:A,Reviewed!B:C,2,0)</f>
        <v>#N/A</v>
      </c>
      <c r="F1219" t="str">
        <f t="shared" si="41"/>
        <v/>
      </c>
    </row>
    <row r="1220" spans="3:6" x14ac:dyDescent="0.35">
      <c r="C1220" t="str">
        <f>IFERROR(ROUNDUP(VLOOKUP(F1220,'30Days-Baseline'!C:D,2,FALSE),0),"NotExist")</f>
        <v>NotExist</v>
      </c>
      <c r="D1220" t="str">
        <f t="shared" si="40"/>
        <v>New</v>
      </c>
      <c r="E1220" t="e">
        <f>VLOOKUP(A:A,Reviewed!B:C,2,0)</f>
        <v>#N/A</v>
      </c>
      <c r="F1220" t="str">
        <f t="shared" si="41"/>
        <v/>
      </c>
    </row>
    <row r="1221" spans="3:6" x14ac:dyDescent="0.35">
      <c r="C1221" t="str">
        <f>IFERROR(ROUNDUP(VLOOKUP(F1221,'30Days-Baseline'!C:D,2,FALSE),0),"NotExist")</f>
        <v>NotExist</v>
      </c>
      <c r="D1221" t="str">
        <f t="shared" si="40"/>
        <v>New</v>
      </c>
      <c r="E1221" t="e">
        <f>VLOOKUP(A:A,Reviewed!B:C,2,0)</f>
        <v>#N/A</v>
      </c>
      <c r="F1221" t="str">
        <f t="shared" si="41"/>
        <v/>
      </c>
    </row>
    <row r="1222" spans="3:6" x14ac:dyDescent="0.35">
      <c r="C1222" t="str">
        <f>IFERROR(ROUNDUP(VLOOKUP(F1222,'30Days-Baseline'!C:D,2,FALSE),0),"NotExist")</f>
        <v>NotExist</v>
      </c>
      <c r="D1222" t="str">
        <f t="shared" si="40"/>
        <v>New</v>
      </c>
      <c r="E1222" t="e">
        <f>VLOOKUP(A:A,Reviewed!B:C,2,0)</f>
        <v>#N/A</v>
      </c>
      <c r="F1222" t="str">
        <f t="shared" si="41"/>
        <v/>
      </c>
    </row>
    <row r="1223" spans="3:6" x14ac:dyDescent="0.35">
      <c r="C1223" t="str">
        <f>IFERROR(ROUNDUP(VLOOKUP(F1223,'30Days-Baseline'!C:D,2,FALSE),0),"NotExist")</f>
        <v>NotExist</v>
      </c>
      <c r="D1223" t="str">
        <f t="shared" si="40"/>
        <v>New</v>
      </c>
      <c r="E1223" t="e">
        <f>VLOOKUP(A:A,Reviewed!B:C,2,0)</f>
        <v>#N/A</v>
      </c>
      <c r="F1223" t="str">
        <f t="shared" si="41"/>
        <v/>
      </c>
    </row>
    <row r="1224" spans="3:6" x14ac:dyDescent="0.35">
      <c r="C1224" t="str">
        <f>IFERROR(ROUNDUP(VLOOKUP(F1224,'30Days-Baseline'!C:D,2,FALSE),0),"NotExist")</f>
        <v>NotExist</v>
      </c>
      <c r="D1224" t="str">
        <f t="shared" si="40"/>
        <v>New</v>
      </c>
      <c r="E1224" t="e">
        <f>VLOOKUP(A:A,Reviewed!B:C,2,0)</f>
        <v>#N/A</v>
      </c>
      <c r="F1224" t="str">
        <f t="shared" si="41"/>
        <v/>
      </c>
    </row>
    <row r="1225" spans="3:6" x14ac:dyDescent="0.35">
      <c r="C1225" t="str">
        <f>IFERROR(ROUNDUP(VLOOKUP(F1225,'30Days-Baseline'!C:D,2,FALSE),0),"NotExist")</f>
        <v>NotExist</v>
      </c>
      <c r="D1225" t="str">
        <f t="shared" si="40"/>
        <v>New</v>
      </c>
      <c r="E1225" t="e">
        <f>VLOOKUP(A:A,Reviewed!B:C,2,0)</f>
        <v>#N/A</v>
      </c>
      <c r="F1225" t="str">
        <f t="shared" si="41"/>
        <v/>
      </c>
    </row>
    <row r="1226" spans="3:6" x14ac:dyDescent="0.35">
      <c r="C1226" t="str">
        <f>IFERROR(ROUNDUP(VLOOKUP(F1226,'30Days-Baseline'!C:D,2,FALSE),0),"NotExist")</f>
        <v>NotExist</v>
      </c>
      <c r="D1226" t="str">
        <f t="shared" si="40"/>
        <v>New</v>
      </c>
      <c r="E1226" t="e">
        <f>VLOOKUP(A:A,Reviewed!B:C,2,0)</f>
        <v>#N/A</v>
      </c>
      <c r="F1226" t="str">
        <f t="shared" si="41"/>
        <v/>
      </c>
    </row>
    <row r="1227" spans="3:6" x14ac:dyDescent="0.35">
      <c r="C1227" t="str">
        <f>IFERROR(ROUNDUP(VLOOKUP(F1227,'30Days-Baseline'!C:D,2,FALSE),0),"NotExist")</f>
        <v>NotExist</v>
      </c>
      <c r="D1227" t="str">
        <f t="shared" si="40"/>
        <v>New</v>
      </c>
      <c r="E1227" t="e">
        <f>VLOOKUP(A:A,Reviewed!B:C,2,0)</f>
        <v>#N/A</v>
      </c>
      <c r="F1227" t="str">
        <f t="shared" si="41"/>
        <v/>
      </c>
    </row>
    <row r="1228" spans="3:6" x14ac:dyDescent="0.35">
      <c r="C1228" t="str">
        <f>IFERROR(ROUNDUP(VLOOKUP(F1228,'30Days-Baseline'!C:D,2,FALSE),0),"NotExist")</f>
        <v>NotExist</v>
      </c>
      <c r="D1228" t="str">
        <f t="shared" si="40"/>
        <v>New</v>
      </c>
      <c r="E1228" t="e">
        <f>VLOOKUP(A:A,Reviewed!B:C,2,0)</f>
        <v>#N/A</v>
      </c>
      <c r="F1228" t="str">
        <f t="shared" si="41"/>
        <v/>
      </c>
    </row>
    <row r="1229" spans="3:6" x14ac:dyDescent="0.35">
      <c r="C1229" t="str">
        <f>IFERROR(ROUNDUP(VLOOKUP(F1229,'30Days-Baseline'!C:D,2,FALSE),0),"NotExist")</f>
        <v>NotExist</v>
      </c>
      <c r="D1229" t="str">
        <f t="shared" si="40"/>
        <v>New</v>
      </c>
      <c r="E1229" t="e">
        <f>VLOOKUP(A:A,Reviewed!B:C,2,0)</f>
        <v>#N/A</v>
      </c>
      <c r="F1229" t="str">
        <f t="shared" si="41"/>
        <v/>
      </c>
    </row>
    <row r="1230" spans="3:6" x14ac:dyDescent="0.35">
      <c r="C1230" t="str">
        <f>IFERROR(ROUNDUP(VLOOKUP(F1230,'30Days-Baseline'!C:D,2,FALSE),0),"NotExist")</f>
        <v>NotExist</v>
      </c>
      <c r="D1230" t="str">
        <f t="shared" si="40"/>
        <v>New</v>
      </c>
      <c r="E1230" t="e">
        <f>VLOOKUP(A:A,Reviewed!B:C,2,0)</f>
        <v>#N/A</v>
      </c>
      <c r="F1230" t="str">
        <f t="shared" si="41"/>
        <v/>
      </c>
    </row>
    <row r="1231" spans="3:6" x14ac:dyDescent="0.35">
      <c r="C1231" t="str">
        <f>IFERROR(ROUNDUP(VLOOKUP(F1231,'30Days-Baseline'!C:D,2,FALSE),0),"NotExist")</f>
        <v>NotExist</v>
      </c>
      <c r="D1231" t="str">
        <f t="shared" si="40"/>
        <v>New</v>
      </c>
      <c r="E1231" t="e">
        <f>VLOOKUP(A:A,Reviewed!B:C,2,0)</f>
        <v>#N/A</v>
      </c>
      <c r="F1231" t="str">
        <f t="shared" si="41"/>
        <v/>
      </c>
    </row>
    <row r="1232" spans="3:6" x14ac:dyDescent="0.35">
      <c r="C1232" t="str">
        <f>IFERROR(ROUNDUP(VLOOKUP(F1232,'30Days-Baseline'!C:D,2,FALSE),0),"NotExist")</f>
        <v>NotExist</v>
      </c>
      <c r="D1232" t="str">
        <f t="shared" si="40"/>
        <v>New</v>
      </c>
      <c r="E1232" t="e">
        <f>VLOOKUP(A:A,Reviewed!B:C,2,0)</f>
        <v>#N/A</v>
      </c>
      <c r="F1232" t="str">
        <f t="shared" si="41"/>
        <v/>
      </c>
    </row>
    <row r="1233" spans="3:6" x14ac:dyDescent="0.35">
      <c r="C1233" t="str">
        <f>IFERROR(ROUNDUP(VLOOKUP(F1233,'30Days-Baseline'!C:D,2,FALSE),0),"NotExist")</f>
        <v>NotExist</v>
      </c>
      <c r="D1233" t="str">
        <f t="shared" si="40"/>
        <v>New</v>
      </c>
      <c r="E1233" t="e">
        <f>VLOOKUP(A:A,Reviewed!B:C,2,0)</f>
        <v>#N/A</v>
      </c>
      <c r="F1233" t="str">
        <f t="shared" si="41"/>
        <v/>
      </c>
    </row>
    <row r="1234" spans="3:6" x14ac:dyDescent="0.35">
      <c r="C1234" t="str">
        <f>IFERROR(ROUNDUP(VLOOKUP(F1234,'30Days-Baseline'!C:D,2,FALSE),0),"NotExist")</f>
        <v>NotExist</v>
      </c>
      <c r="D1234" t="str">
        <f t="shared" si="40"/>
        <v>New</v>
      </c>
      <c r="E1234" t="e">
        <f>VLOOKUP(A:A,Reviewed!B:C,2,0)</f>
        <v>#N/A</v>
      </c>
      <c r="F1234" t="str">
        <f t="shared" si="41"/>
        <v/>
      </c>
    </row>
    <row r="1235" spans="3:6" x14ac:dyDescent="0.35">
      <c r="C1235" t="str">
        <f>IFERROR(ROUNDUP(VLOOKUP(F1235,'30Days-Baseline'!C:D,2,FALSE),0),"NotExist")</f>
        <v>NotExist</v>
      </c>
      <c r="D1235" t="str">
        <f t="shared" ref="D1235:D1298" si="42">IFERROR(IF(B1235&gt;ROUNDUP(C1235,0),"Elevated","Ok"),"New")</f>
        <v>New</v>
      </c>
      <c r="E1235" t="e">
        <f>VLOOKUP(A:A,Reviewed!B:C,2,0)</f>
        <v>#N/A</v>
      </c>
      <c r="F1235" t="str">
        <f t="shared" ref="F1235:F1298" si="43">LEFT(A1235,255)</f>
        <v/>
      </c>
    </row>
    <row r="1236" spans="3:6" x14ac:dyDescent="0.35">
      <c r="C1236" t="str">
        <f>IFERROR(ROUNDUP(VLOOKUP(F1236,'30Days-Baseline'!C:D,2,FALSE),0),"NotExist")</f>
        <v>NotExist</v>
      </c>
      <c r="D1236" t="str">
        <f t="shared" si="42"/>
        <v>New</v>
      </c>
      <c r="E1236" t="e">
        <f>VLOOKUP(A:A,Reviewed!B:C,2,0)</f>
        <v>#N/A</v>
      </c>
      <c r="F1236" t="str">
        <f t="shared" si="43"/>
        <v/>
      </c>
    </row>
    <row r="1237" spans="3:6" x14ac:dyDescent="0.35">
      <c r="C1237" t="str">
        <f>IFERROR(ROUNDUP(VLOOKUP(F1237,'30Days-Baseline'!C:D,2,FALSE),0),"NotExist")</f>
        <v>NotExist</v>
      </c>
      <c r="D1237" t="str">
        <f t="shared" si="42"/>
        <v>New</v>
      </c>
      <c r="E1237" t="e">
        <f>VLOOKUP(A:A,Reviewed!B:C,2,0)</f>
        <v>#N/A</v>
      </c>
      <c r="F1237" t="str">
        <f t="shared" si="43"/>
        <v/>
      </c>
    </row>
    <row r="1238" spans="3:6" x14ac:dyDescent="0.35">
      <c r="C1238" t="str">
        <f>IFERROR(ROUNDUP(VLOOKUP(F1238,'30Days-Baseline'!C:D,2,FALSE),0),"NotExist")</f>
        <v>NotExist</v>
      </c>
      <c r="D1238" t="str">
        <f t="shared" si="42"/>
        <v>New</v>
      </c>
      <c r="E1238" t="e">
        <f>VLOOKUP(A:A,Reviewed!B:C,2,0)</f>
        <v>#N/A</v>
      </c>
      <c r="F1238" t="str">
        <f t="shared" si="43"/>
        <v/>
      </c>
    </row>
    <row r="1239" spans="3:6" x14ac:dyDescent="0.35">
      <c r="C1239" t="str">
        <f>IFERROR(ROUNDUP(VLOOKUP(F1239,'30Days-Baseline'!C:D,2,FALSE),0),"NotExist")</f>
        <v>NotExist</v>
      </c>
      <c r="D1239" t="str">
        <f t="shared" si="42"/>
        <v>New</v>
      </c>
      <c r="E1239" t="e">
        <f>VLOOKUP(A:A,Reviewed!B:C,2,0)</f>
        <v>#N/A</v>
      </c>
      <c r="F1239" t="str">
        <f t="shared" si="43"/>
        <v/>
      </c>
    </row>
    <row r="1240" spans="3:6" x14ac:dyDescent="0.35">
      <c r="C1240" t="str">
        <f>IFERROR(ROUNDUP(VLOOKUP(F1240,'30Days-Baseline'!C:D,2,FALSE),0),"NotExist")</f>
        <v>NotExist</v>
      </c>
      <c r="D1240" t="str">
        <f t="shared" si="42"/>
        <v>New</v>
      </c>
      <c r="E1240" t="e">
        <f>VLOOKUP(A:A,Reviewed!B:C,2,0)</f>
        <v>#N/A</v>
      </c>
      <c r="F1240" t="str">
        <f t="shared" si="43"/>
        <v/>
      </c>
    </row>
    <row r="1241" spans="3:6" x14ac:dyDescent="0.35">
      <c r="C1241" t="str">
        <f>IFERROR(ROUNDUP(VLOOKUP(F1241,'30Days-Baseline'!C:D,2,FALSE),0),"NotExist")</f>
        <v>NotExist</v>
      </c>
      <c r="D1241" t="str">
        <f t="shared" si="42"/>
        <v>New</v>
      </c>
      <c r="E1241" t="e">
        <f>VLOOKUP(A:A,Reviewed!B:C,2,0)</f>
        <v>#N/A</v>
      </c>
      <c r="F1241" t="str">
        <f t="shared" si="43"/>
        <v/>
      </c>
    </row>
    <row r="1242" spans="3:6" x14ac:dyDescent="0.35">
      <c r="C1242" t="str">
        <f>IFERROR(ROUNDUP(VLOOKUP(F1242,'30Days-Baseline'!C:D,2,FALSE),0),"NotExist")</f>
        <v>NotExist</v>
      </c>
      <c r="D1242" t="str">
        <f t="shared" si="42"/>
        <v>New</v>
      </c>
      <c r="E1242" t="e">
        <f>VLOOKUP(A:A,Reviewed!B:C,2,0)</f>
        <v>#N/A</v>
      </c>
      <c r="F1242" t="str">
        <f t="shared" si="43"/>
        <v/>
      </c>
    </row>
    <row r="1243" spans="3:6" x14ac:dyDescent="0.35">
      <c r="C1243" t="str">
        <f>IFERROR(ROUNDUP(VLOOKUP(F1243,'30Days-Baseline'!C:D,2,FALSE),0),"NotExist")</f>
        <v>NotExist</v>
      </c>
      <c r="D1243" t="str">
        <f t="shared" si="42"/>
        <v>New</v>
      </c>
      <c r="E1243" t="e">
        <f>VLOOKUP(A:A,Reviewed!B:C,2,0)</f>
        <v>#N/A</v>
      </c>
      <c r="F1243" t="str">
        <f t="shared" si="43"/>
        <v/>
      </c>
    </row>
    <row r="1244" spans="3:6" x14ac:dyDescent="0.35">
      <c r="C1244" t="str">
        <f>IFERROR(ROUNDUP(VLOOKUP(F1244,'30Days-Baseline'!C:D,2,FALSE),0),"NotExist")</f>
        <v>NotExist</v>
      </c>
      <c r="D1244" t="str">
        <f t="shared" si="42"/>
        <v>New</v>
      </c>
      <c r="E1244" t="e">
        <f>VLOOKUP(A:A,Reviewed!B:C,2,0)</f>
        <v>#N/A</v>
      </c>
      <c r="F1244" t="str">
        <f t="shared" si="43"/>
        <v/>
      </c>
    </row>
    <row r="1245" spans="3:6" x14ac:dyDescent="0.35">
      <c r="C1245" t="str">
        <f>IFERROR(ROUNDUP(VLOOKUP(F1245,'30Days-Baseline'!C:D,2,FALSE),0),"NotExist")</f>
        <v>NotExist</v>
      </c>
      <c r="D1245" t="str">
        <f t="shared" si="42"/>
        <v>New</v>
      </c>
      <c r="E1245" t="e">
        <f>VLOOKUP(A:A,Reviewed!B:C,2,0)</f>
        <v>#N/A</v>
      </c>
      <c r="F1245" t="str">
        <f t="shared" si="43"/>
        <v/>
      </c>
    </row>
    <row r="1246" spans="3:6" x14ac:dyDescent="0.35">
      <c r="C1246" t="str">
        <f>IFERROR(ROUNDUP(VLOOKUP(F1246,'30Days-Baseline'!C:D,2,FALSE),0),"NotExist")</f>
        <v>NotExist</v>
      </c>
      <c r="D1246" t="str">
        <f t="shared" si="42"/>
        <v>New</v>
      </c>
      <c r="E1246" t="e">
        <f>VLOOKUP(A:A,Reviewed!B:C,2,0)</f>
        <v>#N/A</v>
      </c>
      <c r="F1246" t="str">
        <f t="shared" si="43"/>
        <v/>
      </c>
    </row>
    <row r="1247" spans="3:6" x14ac:dyDescent="0.35">
      <c r="C1247" t="str">
        <f>IFERROR(ROUNDUP(VLOOKUP(F1247,'30Days-Baseline'!C:D,2,FALSE),0),"NotExist")</f>
        <v>NotExist</v>
      </c>
      <c r="D1247" t="str">
        <f t="shared" si="42"/>
        <v>New</v>
      </c>
      <c r="E1247" t="e">
        <f>VLOOKUP(A:A,Reviewed!B:C,2,0)</f>
        <v>#N/A</v>
      </c>
      <c r="F1247" t="str">
        <f t="shared" si="43"/>
        <v/>
      </c>
    </row>
    <row r="1248" spans="3:6" x14ac:dyDescent="0.35">
      <c r="C1248" t="str">
        <f>IFERROR(ROUNDUP(VLOOKUP(F1248,'30Days-Baseline'!C:D,2,FALSE),0),"NotExist")</f>
        <v>NotExist</v>
      </c>
      <c r="D1248" t="str">
        <f t="shared" si="42"/>
        <v>New</v>
      </c>
      <c r="E1248" t="e">
        <f>VLOOKUP(A:A,Reviewed!B:C,2,0)</f>
        <v>#N/A</v>
      </c>
      <c r="F1248" t="str">
        <f t="shared" si="43"/>
        <v/>
      </c>
    </row>
    <row r="1249" spans="3:6" x14ac:dyDescent="0.35">
      <c r="C1249" t="str">
        <f>IFERROR(ROUNDUP(VLOOKUP(F1249,'30Days-Baseline'!C:D,2,FALSE),0),"NotExist")</f>
        <v>NotExist</v>
      </c>
      <c r="D1249" t="str">
        <f t="shared" si="42"/>
        <v>New</v>
      </c>
      <c r="E1249" t="e">
        <f>VLOOKUP(A:A,Reviewed!B:C,2,0)</f>
        <v>#N/A</v>
      </c>
      <c r="F1249" t="str">
        <f t="shared" si="43"/>
        <v/>
      </c>
    </row>
    <row r="1250" spans="3:6" x14ac:dyDescent="0.35">
      <c r="C1250" t="str">
        <f>IFERROR(ROUNDUP(VLOOKUP(F1250,'30Days-Baseline'!C:D,2,FALSE),0),"NotExist")</f>
        <v>NotExist</v>
      </c>
      <c r="D1250" t="str">
        <f t="shared" si="42"/>
        <v>New</v>
      </c>
      <c r="E1250" t="e">
        <f>VLOOKUP(A:A,Reviewed!B:C,2,0)</f>
        <v>#N/A</v>
      </c>
      <c r="F1250" t="str">
        <f t="shared" si="43"/>
        <v/>
      </c>
    </row>
    <row r="1251" spans="3:6" x14ac:dyDescent="0.35">
      <c r="C1251" t="str">
        <f>IFERROR(ROUNDUP(VLOOKUP(F1251,'30Days-Baseline'!C:D,2,FALSE),0),"NotExist")</f>
        <v>NotExist</v>
      </c>
      <c r="D1251" t="str">
        <f t="shared" si="42"/>
        <v>New</v>
      </c>
      <c r="E1251" t="e">
        <f>VLOOKUP(A:A,Reviewed!B:C,2,0)</f>
        <v>#N/A</v>
      </c>
      <c r="F1251" t="str">
        <f t="shared" si="43"/>
        <v/>
      </c>
    </row>
    <row r="1252" spans="3:6" x14ac:dyDescent="0.35">
      <c r="C1252" t="str">
        <f>IFERROR(ROUNDUP(VLOOKUP(F1252,'30Days-Baseline'!C:D,2,FALSE),0),"NotExist")</f>
        <v>NotExist</v>
      </c>
      <c r="D1252" t="str">
        <f t="shared" si="42"/>
        <v>New</v>
      </c>
      <c r="E1252" t="e">
        <f>VLOOKUP(A:A,Reviewed!B:C,2,0)</f>
        <v>#N/A</v>
      </c>
      <c r="F1252" t="str">
        <f t="shared" si="43"/>
        <v/>
      </c>
    </row>
    <row r="1253" spans="3:6" x14ac:dyDescent="0.35">
      <c r="C1253" t="str">
        <f>IFERROR(ROUNDUP(VLOOKUP(F1253,'30Days-Baseline'!C:D,2,FALSE),0),"NotExist")</f>
        <v>NotExist</v>
      </c>
      <c r="D1253" t="str">
        <f t="shared" si="42"/>
        <v>New</v>
      </c>
      <c r="E1253" t="e">
        <f>VLOOKUP(A:A,Reviewed!B:C,2,0)</f>
        <v>#N/A</v>
      </c>
      <c r="F1253" t="str">
        <f t="shared" si="43"/>
        <v/>
      </c>
    </row>
    <row r="1254" spans="3:6" x14ac:dyDescent="0.35">
      <c r="C1254" t="str">
        <f>IFERROR(ROUNDUP(VLOOKUP(F1254,'30Days-Baseline'!C:D,2,FALSE),0),"NotExist")</f>
        <v>NotExist</v>
      </c>
      <c r="D1254" t="str">
        <f t="shared" si="42"/>
        <v>New</v>
      </c>
      <c r="E1254" t="e">
        <f>VLOOKUP(A:A,Reviewed!B:C,2,0)</f>
        <v>#N/A</v>
      </c>
      <c r="F1254" t="str">
        <f t="shared" si="43"/>
        <v/>
      </c>
    </row>
    <row r="1255" spans="3:6" x14ac:dyDescent="0.35">
      <c r="C1255" t="str">
        <f>IFERROR(ROUNDUP(VLOOKUP(F1255,'30Days-Baseline'!C:D,2,FALSE),0),"NotExist")</f>
        <v>NotExist</v>
      </c>
      <c r="D1255" t="str">
        <f t="shared" si="42"/>
        <v>New</v>
      </c>
      <c r="E1255" t="e">
        <f>VLOOKUP(A:A,Reviewed!B:C,2,0)</f>
        <v>#N/A</v>
      </c>
      <c r="F1255" t="str">
        <f t="shared" si="43"/>
        <v/>
      </c>
    </row>
    <row r="1256" spans="3:6" x14ac:dyDescent="0.35">
      <c r="C1256" t="str">
        <f>IFERROR(ROUNDUP(VLOOKUP(F1256,'30Days-Baseline'!C:D,2,FALSE),0),"NotExist")</f>
        <v>NotExist</v>
      </c>
      <c r="D1256" t="str">
        <f t="shared" si="42"/>
        <v>New</v>
      </c>
      <c r="E1256" t="e">
        <f>VLOOKUP(A:A,Reviewed!B:C,2,0)</f>
        <v>#N/A</v>
      </c>
      <c r="F1256" t="str">
        <f t="shared" si="43"/>
        <v/>
      </c>
    </row>
    <row r="1257" spans="3:6" x14ac:dyDescent="0.35">
      <c r="C1257" t="str">
        <f>IFERROR(ROUNDUP(VLOOKUP(F1257,'30Days-Baseline'!C:D,2,FALSE),0),"NotExist")</f>
        <v>NotExist</v>
      </c>
      <c r="D1257" t="str">
        <f t="shared" si="42"/>
        <v>New</v>
      </c>
      <c r="E1257" t="e">
        <f>VLOOKUP(A:A,Reviewed!B:C,2,0)</f>
        <v>#N/A</v>
      </c>
      <c r="F1257" t="str">
        <f t="shared" si="43"/>
        <v/>
      </c>
    </row>
    <row r="1258" spans="3:6" x14ac:dyDescent="0.35">
      <c r="C1258" t="str">
        <f>IFERROR(ROUNDUP(VLOOKUP(F1258,'30Days-Baseline'!C:D,2,FALSE),0),"NotExist")</f>
        <v>NotExist</v>
      </c>
      <c r="D1258" t="str">
        <f t="shared" si="42"/>
        <v>New</v>
      </c>
      <c r="E1258" t="e">
        <f>VLOOKUP(A:A,Reviewed!B:C,2,0)</f>
        <v>#N/A</v>
      </c>
      <c r="F1258" t="str">
        <f t="shared" si="43"/>
        <v/>
      </c>
    </row>
    <row r="1259" spans="3:6" x14ac:dyDescent="0.35">
      <c r="C1259" t="str">
        <f>IFERROR(ROUNDUP(VLOOKUP(F1259,'30Days-Baseline'!C:D,2,FALSE),0),"NotExist")</f>
        <v>NotExist</v>
      </c>
      <c r="D1259" t="str">
        <f t="shared" si="42"/>
        <v>New</v>
      </c>
      <c r="E1259" t="e">
        <f>VLOOKUP(A:A,Reviewed!B:C,2,0)</f>
        <v>#N/A</v>
      </c>
      <c r="F1259" t="str">
        <f t="shared" si="43"/>
        <v/>
      </c>
    </row>
    <row r="1260" spans="3:6" x14ac:dyDescent="0.35">
      <c r="C1260" t="str">
        <f>IFERROR(ROUNDUP(VLOOKUP(F1260,'30Days-Baseline'!C:D,2,FALSE),0),"NotExist")</f>
        <v>NotExist</v>
      </c>
      <c r="D1260" t="str">
        <f t="shared" si="42"/>
        <v>New</v>
      </c>
      <c r="E1260" t="e">
        <f>VLOOKUP(A:A,Reviewed!B:C,2,0)</f>
        <v>#N/A</v>
      </c>
      <c r="F1260" t="str">
        <f t="shared" si="43"/>
        <v/>
      </c>
    </row>
    <row r="1261" spans="3:6" x14ac:dyDescent="0.35">
      <c r="C1261" t="str">
        <f>IFERROR(ROUNDUP(VLOOKUP(F1261,'30Days-Baseline'!C:D,2,FALSE),0),"NotExist")</f>
        <v>NotExist</v>
      </c>
      <c r="D1261" t="str">
        <f t="shared" si="42"/>
        <v>New</v>
      </c>
      <c r="E1261" t="e">
        <f>VLOOKUP(A:A,Reviewed!B:C,2,0)</f>
        <v>#N/A</v>
      </c>
      <c r="F1261" t="str">
        <f t="shared" si="43"/>
        <v/>
      </c>
    </row>
    <row r="1262" spans="3:6" x14ac:dyDescent="0.35">
      <c r="C1262" t="str">
        <f>IFERROR(ROUNDUP(VLOOKUP(F1262,'30Days-Baseline'!C:D,2,FALSE),0),"NotExist")</f>
        <v>NotExist</v>
      </c>
      <c r="D1262" t="str">
        <f t="shared" si="42"/>
        <v>New</v>
      </c>
      <c r="E1262" t="e">
        <f>VLOOKUP(A:A,Reviewed!B:C,2,0)</f>
        <v>#N/A</v>
      </c>
      <c r="F1262" t="str">
        <f t="shared" si="43"/>
        <v/>
      </c>
    </row>
    <row r="1263" spans="3:6" x14ac:dyDescent="0.35">
      <c r="C1263" t="str">
        <f>IFERROR(ROUNDUP(VLOOKUP(F1263,'30Days-Baseline'!C:D,2,FALSE),0),"NotExist")</f>
        <v>NotExist</v>
      </c>
      <c r="D1263" t="str">
        <f t="shared" si="42"/>
        <v>New</v>
      </c>
      <c r="E1263" t="e">
        <f>VLOOKUP(A:A,Reviewed!B:C,2,0)</f>
        <v>#N/A</v>
      </c>
      <c r="F1263" t="str">
        <f t="shared" si="43"/>
        <v/>
      </c>
    </row>
    <row r="1264" spans="3:6" x14ac:dyDescent="0.35">
      <c r="C1264" t="str">
        <f>IFERROR(ROUNDUP(VLOOKUP(F1264,'30Days-Baseline'!C:D,2,FALSE),0),"NotExist")</f>
        <v>NotExist</v>
      </c>
      <c r="D1264" t="str">
        <f t="shared" si="42"/>
        <v>New</v>
      </c>
      <c r="E1264" t="e">
        <f>VLOOKUP(A:A,Reviewed!B:C,2,0)</f>
        <v>#N/A</v>
      </c>
      <c r="F1264" t="str">
        <f t="shared" si="43"/>
        <v/>
      </c>
    </row>
    <row r="1265" spans="3:6" x14ac:dyDescent="0.35">
      <c r="C1265" t="str">
        <f>IFERROR(ROUNDUP(VLOOKUP(F1265,'30Days-Baseline'!C:D,2,FALSE),0),"NotExist")</f>
        <v>NotExist</v>
      </c>
      <c r="D1265" t="str">
        <f t="shared" si="42"/>
        <v>New</v>
      </c>
      <c r="E1265" t="e">
        <f>VLOOKUP(A:A,Reviewed!B:C,2,0)</f>
        <v>#N/A</v>
      </c>
      <c r="F1265" t="str">
        <f t="shared" si="43"/>
        <v/>
      </c>
    </row>
    <row r="1266" spans="3:6" x14ac:dyDescent="0.35">
      <c r="C1266" t="str">
        <f>IFERROR(ROUNDUP(VLOOKUP(F1266,'30Days-Baseline'!C:D,2,FALSE),0),"NotExist")</f>
        <v>NotExist</v>
      </c>
      <c r="D1266" t="str">
        <f t="shared" si="42"/>
        <v>New</v>
      </c>
      <c r="E1266" t="e">
        <f>VLOOKUP(A:A,Reviewed!B:C,2,0)</f>
        <v>#N/A</v>
      </c>
      <c r="F1266" t="str">
        <f t="shared" si="43"/>
        <v/>
      </c>
    </row>
    <row r="1267" spans="3:6" x14ac:dyDescent="0.35">
      <c r="C1267" t="str">
        <f>IFERROR(ROUNDUP(VLOOKUP(F1267,'30Days-Baseline'!C:D,2,FALSE),0),"NotExist")</f>
        <v>NotExist</v>
      </c>
      <c r="D1267" t="str">
        <f t="shared" si="42"/>
        <v>New</v>
      </c>
      <c r="E1267" t="e">
        <f>VLOOKUP(A:A,Reviewed!B:C,2,0)</f>
        <v>#N/A</v>
      </c>
      <c r="F1267" t="str">
        <f t="shared" si="43"/>
        <v/>
      </c>
    </row>
    <row r="1268" spans="3:6" x14ac:dyDescent="0.35">
      <c r="C1268" t="str">
        <f>IFERROR(ROUNDUP(VLOOKUP(F1268,'30Days-Baseline'!C:D,2,FALSE),0),"NotExist")</f>
        <v>NotExist</v>
      </c>
      <c r="D1268" t="str">
        <f t="shared" si="42"/>
        <v>New</v>
      </c>
      <c r="E1268" t="e">
        <f>VLOOKUP(A:A,Reviewed!B:C,2,0)</f>
        <v>#N/A</v>
      </c>
      <c r="F1268" t="str">
        <f t="shared" si="43"/>
        <v/>
      </c>
    </row>
    <row r="1269" spans="3:6" x14ac:dyDescent="0.35">
      <c r="C1269" t="str">
        <f>IFERROR(ROUNDUP(VLOOKUP(F1269,'30Days-Baseline'!C:D,2,FALSE),0),"NotExist")</f>
        <v>NotExist</v>
      </c>
      <c r="D1269" t="str">
        <f t="shared" si="42"/>
        <v>New</v>
      </c>
      <c r="E1269" t="e">
        <f>VLOOKUP(A:A,Reviewed!B:C,2,0)</f>
        <v>#N/A</v>
      </c>
      <c r="F1269" t="str">
        <f t="shared" si="43"/>
        <v/>
      </c>
    </row>
    <row r="1270" spans="3:6" x14ac:dyDescent="0.35">
      <c r="C1270" t="str">
        <f>IFERROR(ROUNDUP(VLOOKUP(F1270,'30Days-Baseline'!C:D,2,FALSE),0),"NotExist")</f>
        <v>NotExist</v>
      </c>
      <c r="D1270" t="str">
        <f t="shared" si="42"/>
        <v>New</v>
      </c>
      <c r="E1270" t="e">
        <f>VLOOKUP(A:A,Reviewed!B:C,2,0)</f>
        <v>#N/A</v>
      </c>
      <c r="F1270" t="str">
        <f t="shared" si="43"/>
        <v/>
      </c>
    </row>
    <row r="1271" spans="3:6" x14ac:dyDescent="0.35">
      <c r="C1271" t="str">
        <f>IFERROR(ROUNDUP(VLOOKUP(F1271,'30Days-Baseline'!C:D,2,FALSE),0),"NotExist")</f>
        <v>NotExist</v>
      </c>
      <c r="D1271" t="str">
        <f t="shared" si="42"/>
        <v>New</v>
      </c>
      <c r="E1271" t="e">
        <f>VLOOKUP(A:A,Reviewed!B:C,2,0)</f>
        <v>#N/A</v>
      </c>
      <c r="F1271" t="str">
        <f t="shared" si="43"/>
        <v/>
      </c>
    </row>
    <row r="1272" spans="3:6" x14ac:dyDescent="0.35">
      <c r="C1272" t="str">
        <f>IFERROR(ROUNDUP(VLOOKUP(F1272,'30Days-Baseline'!C:D,2,FALSE),0),"NotExist")</f>
        <v>NotExist</v>
      </c>
      <c r="D1272" t="str">
        <f t="shared" si="42"/>
        <v>New</v>
      </c>
      <c r="E1272" t="e">
        <f>VLOOKUP(A:A,Reviewed!B:C,2,0)</f>
        <v>#N/A</v>
      </c>
      <c r="F1272" t="str">
        <f t="shared" si="43"/>
        <v/>
      </c>
    </row>
    <row r="1273" spans="3:6" x14ac:dyDescent="0.35">
      <c r="C1273" t="str">
        <f>IFERROR(ROUNDUP(VLOOKUP(F1273,'30Days-Baseline'!C:D,2,FALSE),0),"NotExist")</f>
        <v>NotExist</v>
      </c>
      <c r="D1273" t="str">
        <f t="shared" si="42"/>
        <v>New</v>
      </c>
      <c r="E1273" t="e">
        <f>VLOOKUP(A:A,Reviewed!B:C,2,0)</f>
        <v>#N/A</v>
      </c>
      <c r="F1273" t="str">
        <f t="shared" si="43"/>
        <v/>
      </c>
    </row>
    <row r="1274" spans="3:6" x14ac:dyDescent="0.35">
      <c r="C1274" t="str">
        <f>IFERROR(ROUNDUP(VLOOKUP(F1274,'30Days-Baseline'!C:D,2,FALSE),0),"NotExist")</f>
        <v>NotExist</v>
      </c>
      <c r="D1274" t="str">
        <f t="shared" si="42"/>
        <v>New</v>
      </c>
      <c r="E1274" t="e">
        <f>VLOOKUP(A:A,Reviewed!B:C,2,0)</f>
        <v>#N/A</v>
      </c>
      <c r="F1274" t="str">
        <f t="shared" si="43"/>
        <v/>
      </c>
    </row>
    <row r="1275" spans="3:6" x14ac:dyDescent="0.35">
      <c r="C1275" t="str">
        <f>IFERROR(ROUNDUP(VLOOKUP(F1275,'30Days-Baseline'!C:D,2,FALSE),0),"NotExist")</f>
        <v>NotExist</v>
      </c>
      <c r="D1275" t="str">
        <f t="shared" si="42"/>
        <v>New</v>
      </c>
      <c r="E1275" t="e">
        <f>VLOOKUP(A:A,Reviewed!B:C,2,0)</f>
        <v>#N/A</v>
      </c>
      <c r="F1275" t="str">
        <f t="shared" si="43"/>
        <v/>
      </c>
    </row>
    <row r="1276" spans="3:6" x14ac:dyDescent="0.35">
      <c r="C1276" t="str">
        <f>IFERROR(ROUNDUP(VLOOKUP(F1276,'30Days-Baseline'!C:D,2,FALSE),0),"NotExist")</f>
        <v>NotExist</v>
      </c>
      <c r="D1276" t="str">
        <f t="shared" si="42"/>
        <v>New</v>
      </c>
      <c r="E1276" t="e">
        <f>VLOOKUP(A:A,Reviewed!B:C,2,0)</f>
        <v>#N/A</v>
      </c>
      <c r="F1276" t="str">
        <f t="shared" si="43"/>
        <v/>
      </c>
    </row>
    <row r="1277" spans="3:6" x14ac:dyDescent="0.35">
      <c r="C1277" t="str">
        <f>IFERROR(ROUNDUP(VLOOKUP(F1277,'30Days-Baseline'!C:D,2,FALSE),0),"NotExist")</f>
        <v>NotExist</v>
      </c>
      <c r="D1277" t="str">
        <f t="shared" si="42"/>
        <v>New</v>
      </c>
      <c r="E1277" t="e">
        <f>VLOOKUP(A:A,Reviewed!B:C,2,0)</f>
        <v>#N/A</v>
      </c>
      <c r="F1277" t="str">
        <f t="shared" si="43"/>
        <v/>
      </c>
    </row>
    <row r="1278" spans="3:6" x14ac:dyDescent="0.35">
      <c r="C1278" t="str">
        <f>IFERROR(ROUNDUP(VLOOKUP(F1278,'30Days-Baseline'!C:D,2,FALSE),0),"NotExist")</f>
        <v>NotExist</v>
      </c>
      <c r="D1278" t="str">
        <f t="shared" si="42"/>
        <v>New</v>
      </c>
      <c r="E1278" t="e">
        <f>VLOOKUP(A:A,Reviewed!B:C,2,0)</f>
        <v>#N/A</v>
      </c>
      <c r="F1278" t="str">
        <f t="shared" si="43"/>
        <v/>
      </c>
    </row>
    <row r="1279" spans="3:6" x14ac:dyDescent="0.35">
      <c r="C1279" t="str">
        <f>IFERROR(ROUNDUP(VLOOKUP(F1279,'30Days-Baseline'!C:D,2,FALSE),0),"NotExist")</f>
        <v>NotExist</v>
      </c>
      <c r="D1279" t="str">
        <f t="shared" si="42"/>
        <v>New</v>
      </c>
      <c r="E1279" t="e">
        <f>VLOOKUP(A:A,Reviewed!B:C,2,0)</f>
        <v>#N/A</v>
      </c>
      <c r="F1279" t="str">
        <f t="shared" si="43"/>
        <v/>
      </c>
    </row>
    <row r="1280" spans="3:6" x14ac:dyDescent="0.35">
      <c r="C1280" t="str">
        <f>IFERROR(ROUNDUP(VLOOKUP(F1280,'30Days-Baseline'!C:D,2,FALSE),0),"NotExist")</f>
        <v>NotExist</v>
      </c>
      <c r="D1280" t="str">
        <f t="shared" si="42"/>
        <v>New</v>
      </c>
      <c r="E1280" t="e">
        <f>VLOOKUP(A:A,Reviewed!B:C,2,0)</f>
        <v>#N/A</v>
      </c>
      <c r="F1280" t="str">
        <f t="shared" si="43"/>
        <v/>
      </c>
    </row>
    <row r="1281" spans="3:6" x14ac:dyDescent="0.35">
      <c r="C1281" t="str">
        <f>IFERROR(ROUNDUP(VLOOKUP(F1281,'30Days-Baseline'!C:D,2,FALSE),0),"NotExist")</f>
        <v>NotExist</v>
      </c>
      <c r="D1281" t="str">
        <f t="shared" si="42"/>
        <v>New</v>
      </c>
      <c r="E1281" t="e">
        <f>VLOOKUP(A:A,Reviewed!B:C,2,0)</f>
        <v>#N/A</v>
      </c>
      <c r="F1281" t="str">
        <f t="shared" si="43"/>
        <v/>
      </c>
    </row>
    <row r="1282" spans="3:6" x14ac:dyDescent="0.35">
      <c r="C1282" t="str">
        <f>IFERROR(ROUNDUP(VLOOKUP(F1282,'30Days-Baseline'!C:D,2,FALSE),0),"NotExist")</f>
        <v>NotExist</v>
      </c>
      <c r="D1282" t="str">
        <f t="shared" si="42"/>
        <v>New</v>
      </c>
      <c r="E1282" t="e">
        <f>VLOOKUP(A:A,Reviewed!B:C,2,0)</f>
        <v>#N/A</v>
      </c>
      <c r="F1282" t="str">
        <f t="shared" si="43"/>
        <v/>
      </c>
    </row>
    <row r="1283" spans="3:6" x14ac:dyDescent="0.35">
      <c r="C1283" t="str">
        <f>IFERROR(ROUNDUP(VLOOKUP(F1283,'30Days-Baseline'!C:D,2,FALSE),0),"NotExist")</f>
        <v>NotExist</v>
      </c>
      <c r="D1283" t="str">
        <f t="shared" si="42"/>
        <v>New</v>
      </c>
      <c r="E1283" t="e">
        <f>VLOOKUP(A:A,Reviewed!B:C,2,0)</f>
        <v>#N/A</v>
      </c>
      <c r="F1283" t="str">
        <f t="shared" si="43"/>
        <v/>
      </c>
    </row>
    <row r="1284" spans="3:6" x14ac:dyDescent="0.35">
      <c r="C1284" t="str">
        <f>IFERROR(ROUNDUP(VLOOKUP(F1284,'30Days-Baseline'!C:D,2,FALSE),0),"NotExist")</f>
        <v>NotExist</v>
      </c>
      <c r="D1284" t="str">
        <f t="shared" si="42"/>
        <v>New</v>
      </c>
      <c r="E1284" t="e">
        <f>VLOOKUP(A:A,Reviewed!B:C,2,0)</f>
        <v>#N/A</v>
      </c>
      <c r="F1284" t="str">
        <f t="shared" si="43"/>
        <v/>
      </c>
    </row>
    <row r="1285" spans="3:6" x14ac:dyDescent="0.35">
      <c r="C1285" t="str">
        <f>IFERROR(ROUNDUP(VLOOKUP(F1285,'30Days-Baseline'!C:D,2,FALSE),0),"NotExist")</f>
        <v>NotExist</v>
      </c>
      <c r="D1285" t="str">
        <f t="shared" si="42"/>
        <v>New</v>
      </c>
      <c r="E1285" t="e">
        <f>VLOOKUP(A:A,Reviewed!B:C,2,0)</f>
        <v>#N/A</v>
      </c>
      <c r="F1285" t="str">
        <f t="shared" si="43"/>
        <v/>
      </c>
    </row>
    <row r="1286" spans="3:6" x14ac:dyDescent="0.35">
      <c r="C1286" t="str">
        <f>IFERROR(ROUNDUP(VLOOKUP(F1286,'30Days-Baseline'!C:D,2,FALSE),0),"NotExist")</f>
        <v>NotExist</v>
      </c>
      <c r="D1286" t="str">
        <f t="shared" si="42"/>
        <v>New</v>
      </c>
      <c r="E1286" t="e">
        <f>VLOOKUP(A:A,Reviewed!B:C,2,0)</f>
        <v>#N/A</v>
      </c>
      <c r="F1286" t="str">
        <f t="shared" si="43"/>
        <v/>
      </c>
    </row>
    <row r="1287" spans="3:6" x14ac:dyDescent="0.35">
      <c r="C1287" t="str">
        <f>IFERROR(ROUNDUP(VLOOKUP(F1287,'30Days-Baseline'!C:D,2,FALSE),0),"NotExist")</f>
        <v>NotExist</v>
      </c>
      <c r="D1287" t="str">
        <f t="shared" si="42"/>
        <v>New</v>
      </c>
      <c r="E1287" t="e">
        <f>VLOOKUP(A:A,Reviewed!B:C,2,0)</f>
        <v>#N/A</v>
      </c>
      <c r="F1287" t="str">
        <f t="shared" si="43"/>
        <v/>
      </c>
    </row>
    <row r="1288" spans="3:6" x14ac:dyDescent="0.35">
      <c r="C1288" t="str">
        <f>IFERROR(ROUNDUP(VLOOKUP(F1288,'30Days-Baseline'!C:D,2,FALSE),0),"NotExist")</f>
        <v>NotExist</v>
      </c>
      <c r="D1288" t="str">
        <f t="shared" si="42"/>
        <v>New</v>
      </c>
      <c r="E1288" t="e">
        <f>VLOOKUP(A:A,Reviewed!B:C,2,0)</f>
        <v>#N/A</v>
      </c>
      <c r="F1288" t="str">
        <f t="shared" si="43"/>
        <v/>
      </c>
    </row>
    <row r="1289" spans="3:6" x14ac:dyDescent="0.35">
      <c r="C1289" t="str">
        <f>IFERROR(ROUNDUP(VLOOKUP(F1289,'30Days-Baseline'!C:D,2,FALSE),0),"NotExist")</f>
        <v>NotExist</v>
      </c>
      <c r="D1289" t="str">
        <f t="shared" si="42"/>
        <v>New</v>
      </c>
      <c r="E1289" t="e">
        <f>VLOOKUP(A:A,Reviewed!B:C,2,0)</f>
        <v>#N/A</v>
      </c>
      <c r="F1289" t="str">
        <f t="shared" si="43"/>
        <v/>
      </c>
    </row>
    <row r="1290" spans="3:6" x14ac:dyDescent="0.35">
      <c r="C1290" t="str">
        <f>IFERROR(ROUNDUP(VLOOKUP(F1290,'30Days-Baseline'!C:D,2,FALSE),0),"NotExist")</f>
        <v>NotExist</v>
      </c>
      <c r="D1290" t="str">
        <f t="shared" si="42"/>
        <v>New</v>
      </c>
      <c r="E1290" t="e">
        <f>VLOOKUP(A:A,Reviewed!B:C,2,0)</f>
        <v>#N/A</v>
      </c>
      <c r="F1290" t="str">
        <f t="shared" si="43"/>
        <v/>
      </c>
    </row>
    <row r="1291" spans="3:6" x14ac:dyDescent="0.35">
      <c r="C1291" t="str">
        <f>IFERROR(ROUNDUP(VLOOKUP(F1291,'30Days-Baseline'!C:D,2,FALSE),0),"NotExist")</f>
        <v>NotExist</v>
      </c>
      <c r="D1291" t="str">
        <f t="shared" si="42"/>
        <v>New</v>
      </c>
      <c r="E1291" t="e">
        <f>VLOOKUP(A:A,Reviewed!B:C,2,0)</f>
        <v>#N/A</v>
      </c>
      <c r="F1291" t="str">
        <f t="shared" si="43"/>
        <v/>
      </c>
    </row>
    <row r="1292" spans="3:6" x14ac:dyDescent="0.35">
      <c r="C1292" t="str">
        <f>IFERROR(ROUNDUP(VLOOKUP(F1292,'30Days-Baseline'!C:D,2,FALSE),0),"NotExist")</f>
        <v>NotExist</v>
      </c>
      <c r="D1292" t="str">
        <f t="shared" si="42"/>
        <v>New</v>
      </c>
      <c r="E1292" t="e">
        <f>VLOOKUP(A:A,Reviewed!B:C,2,0)</f>
        <v>#N/A</v>
      </c>
      <c r="F1292" t="str">
        <f t="shared" si="43"/>
        <v/>
      </c>
    </row>
    <row r="1293" spans="3:6" x14ac:dyDescent="0.35">
      <c r="C1293" t="str">
        <f>IFERROR(ROUNDUP(VLOOKUP(F1293,'30Days-Baseline'!C:D,2,FALSE),0),"NotExist")</f>
        <v>NotExist</v>
      </c>
      <c r="D1293" t="str">
        <f t="shared" si="42"/>
        <v>New</v>
      </c>
      <c r="E1293" t="e">
        <f>VLOOKUP(A:A,Reviewed!B:C,2,0)</f>
        <v>#N/A</v>
      </c>
      <c r="F1293" t="str">
        <f t="shared" si="43"/>
        <v/>
      </c>
    </row>
    <row r="1294" spans="3:6" x14ac:dyDescent="0.35">
      <c r="C1294" t="str">
        <f>IFERROR(ROUNDUP(VLOOKUP(F1294,'30Days-Baseline'!C:D,2,FALSE),0),"NotExist")</f>
        <v>NotExist</v>
      </c>
      <c r="D1294" t="str">
        <f t="shared" si="42"/>
        <v>New</v>
      </c>
      <c r="E1294" t="e">
        <f>VLOOKUP(A:A,Reviewed!B:C,2,0)</f>
        <v>#N/A</v>
      </c>
      <c r="F1294" t="str">
        <f t="shared" si="43"/>
        <v/>
      </c>
    </row>
    <row r="1295" spans="3:6" x14ac:dyDescent="0.35">
      <c r="C1295" t="str">
        <f>IFERROR(ROUNDUP(VLOOKUP(F1295,'30Days-Baseline'!C:D,2,FALSE),0),"NotExist")</f>
        <v>NotExist</v>
      </c>
      <c r="D1295" t="str">
        <f t="shared" si="42"/>
        <v>New</v>
      </c>
      <c r="E1295" t="e">
        <f>VLOOKUP(A:A,Reviewed!B:C,2,0)</f>
        <v>#N/A</v>
      </c>
      <c r="F1295" t="str">
        <f t="shared" si="43"/>
        <v/>
      </c>
    </row>
    <row r="1296" spans="3:6" x14ac:dyDescent="0.35">
      <c r="C1296" t="str">
        <f>IFERROR(ROUNDUP(VLOOKUP(F1296,'30Days-Baseline'!C:D,2,FALSE),0),"NotExist")</f>
        <v>NotExist</v>
      </c>
      <c r="D1296" t="str">
        <f t="shared" si="42"/>
        <v>New</v>
      </c>
      <c r="E1296" t="e">
        <f>VLOOKUP(A:A,Reviewed!B:C,2,0)</f>
        <v>#N/A</v>
      </c>
      <c r="F1296" t="str">
        <f t="shared" si="43"/>
        <v/>
      </c>
    </row>
    <row r="1297" spans="3:6" x14ac:dyDescent="0.35">
      <c r="C1297" t="str">
        <f>IFERROR(ROUNDUP(VLOOKUP(F1297,'30Days-Baseline'!C:D,2,FALSE),0),"NotExist")</f>
        <v>NotExist</v>
      </c>
      <c r="D1297" t="str">
        <f t="shared" si="42"/>
        <v>New</v>
      </c>
      <c r="E1297" t="e">
        <f>VLOOKUP(A:A,Reviewed!B:C,2,0)</f>
        <v>#N/A</v>
      </c>
      <c r="F1297" t="str">
        <f t="shared" si="43"/>
        <v/>
      </c>
    </row>
    <row r="1298" spans="3:6" x14ac:dyDescent="0.35">
      <c r="C1298" t="str">
        <f>IFERROR(ROUNDUP(VLOOKUP(F1298,'30Days-Baseline'!C:D,2,FALSE),0),"NotExist")</f>
        <v>NotExist</v>
      </c>
      <c r="D1298" t="str">
        <f t="shared" si="42"/>
        <v>New</v>
      </c>
      <c r="E1298" t="e">
        <f>VLOOKUP(A:A,Reviewed!B:C,2,0)</f>
        <v>#N/A</v>
      </c>
      <c r="F1298" t="str">
        <f t="shared" si="43"/>
        <v/>
      </c>
    </row>
    <row r="1299" spans="3:6" x14ac:dyDescent="0.35">
      <c r="C1299" t="str">
        <f>IFERROR(ROUNDUP(VLOOKUP(F1299,'30Days-Baseline'!C:D,2,FALSE),0),"NotExist")</f>
        <v>NotExist</v>
      </c>
      <c r="D1299" t="str">
        <f t="shared" ref="D1299:D1362" si="44">IFERROR(IF(B1299&gt;ROUNDUP(C1299,0),"Elevated","Ok"),"New")</f>
        <v>New</v>
      </c>
      <c r="E1299" t="e">
        <f>VLOOKUP(A:A,Reviewed!B:C,2,0)</f>
        <v>#N/A</v>
      </c>
      <c r="F1299" t="str">
        <f t="shared" ref="F1299:F1362" si="45">LEFT(A1299,255)</f>
        <v/>
      </c>
    </row>
    <row r="1300" spans="3:6" x14ac:dyDescent="0.35">
      <c r="C1300" t="str">
        <f>IFERROR(ROUNDUP(VLOOKUP(F1300,'30Days-Baseline'!C:D,2,FALSE),0),"NotExist")</f>
        <v>NotExist</v>
      </c>
      <c r="D1300" t="str">
        <f t="shared" si="44"/>
        <v>New</v>
      </c>
      <c r="E1300" t="e">
        <f>VLOOKUP(A:A,Reviewed!B:C,2,0)</f>
        <v>#N/A</v>
      </c>
      <c r="F1300" t="str">
        <f t="shared" si="45"/>
        <v/>
      </c>
    </row>
    <row r="1301" spans="3:6" x14ac:dyDescent="0.35">
      <c r="C1301" t="str">
        <f>IFERROR(ROUNDUP(VLOOKUP(F1301,'30Days-Baseline'!C:D,2,FALSE),0),"NotExist")</f>
        <v>NotExist</v>
      </c>
      <c r="D1301" t="str">
        <f t="shared" si="44"/>
        <v>New</v>
      </c>
      <c r="E1301" t="e">
        <f>VLOOKUP(A:A,Reviewed!B:C,2,0)</f>
        <v>#N/A</v>
      </c>
      <c r="F1301" t="str">
        <f t="shared" si="45"/>
        <v/>
      </c>
    </row>
    <row r="1302" spans="3:6" x14ac:dyDescent="0.35">
      <c r="C1302" t="str">
        <f>IFERROR(ROUNDUP(VLOOKUP(F1302,'30Days-Baseline'!C:D,2,FALSE),0),"NotExist")</f>
        <v>NotExist</v>
      </c>
      <c r="D1302" t="str">
        <f t="shared" si="44"/>
        <v>New</v>
      </c>
      <c r="E1302" t="e">
        <f>VLOOKUP(A:A,Reviewed!B:C,2,0)</f>
        <v>#N/A</v>
      </c>
      <c r="F1302" t="str">
        <f t="shared" si="45"/>
        <v/>
      </c>
    </row>
    <row r="1303" spans="3:6" x14ac:dyDescent="0.35">
      <c r="C1303" t="str">
        <f>IFERROR(ROUNDUP(VLOOKUP(F1303,'30Days-Baseline'!C:D,2,FALSE),0),"NotExist")</f>
        <v>NotExist</v>
      </c>
      <c r="D1303" t="str">
        <f t="shared" si="44"/>
        <v>New</v>
      </c>
      <c r="E1303" t="e">
        <f>VLOOKUP(A:A,Reviewed!B:C,2,0)</f>
        <v>#N/A</v>
      </c>
      <c r="F1303" t="str">
        <f t="shared" si="45"/>
        <v/>
      </c>
    </row>
    <row r="1304" spans="3:6" x14ac:dyDescent="0.35">
      <c r="C1304" t="str">
        <f>IFERROR(ROUNDUP(VLOOKUP(F1304,'30Days-Baseline'!C:D,2,FALSE),0),"NotExist")</f>
        <v>NotExist</v>
      </c>
      <c r="D1304" t="str">
        <f t="shared" si="44"/>
        <v>New</v>
      </c>
      <c r="E1304" t="e">
        <f>VLOOKUP(A:A,Reviewed!B:C,2,0)</f>
        <v>#N/A</v>
      </c>
      <c r="F1304" t="str">
        <f t="shared" si="45"/>
        <v/>
      </c>
    </row>
    <row r="1305" spans="3:6" x14ac:dyDescent="0.35">
      <c r="C1305" t="str">
        <f>IFERROR(ROUNDUP(VLOOKUP(F1305,'30Days-Baseline'!C:D,2,FALSE),0),"NotExist")</f>
        <v>NotExist</v>
      </c>
      <c r="D1305" t="str">
        <f t="shared" si="44"/>
        <v>New</v>
      </c>
      <c r="E1305" t="e">
        <f>VLOOKUP(A:A,Reviewed!B:C,2,0)</f>
        <v>#N/A</v>
      </c>
      <c r="F1305" t="str">
        <f t="shared" si="45"/>
        <v/>
      </c>
    </row>
    <row r="1306" spans="3:6" x14ac:dyDescent="0.35">
      <c r="C1306" t="str">
        <f>IFERROR(ROUNDUP(VLOOKUP(F1306,'30Days-Baseline'!C:D,2,FALSE),0),"NotExist")</f>
        <v>NotExist</v>
      </c>
      <c r="D1306" t="str">
        <f t="shared" si="44"/>
        <v>New</v>
      </c>
      <c r="E1306" t="e">
        <f>VLOOKUP(A:A,Reviewed!B:C,2,0)</f>
        <v>#N/A</v>
      </c>
      <c r="F1306" t="str">
        <f t="shared" si="45"/>
        <v/>
      </c>
    </row>
    <row r="1307" spans="3:6" x14ac:dyDescent="0.35">
      <c r="C1307" t="str">
        <f>IFERROR(ROUNDUP(VLOOKUP(F1307,'30Days-Baseline'!C:D,2,FALSE),0),"NotExist")</f>
        <v>NotExist</v>
      </c>
      <c r="D1307" t="str">
        <f t="shared" si="44"/>
        <v>New</v>
      </c>
      <c r="E1307" t="e">
        <f>VLOOKUP(A:A,Reviewed!B:C,2,0)</f>
        <v>#N/A</v>
      </c>
      <c r="F1307" t="str">
        <f t="shared" si="45"/>
        <v/>
      </c>
    </row>
    <row r="1308" spans="3:6" x14ac:dyDescent="0.35">
      <c r="C1308" t="str">
        <f>IFERROR(ROUNDUP(VLOOKUP(F1308,'30Days-Baseline'!C:D,2,FALSE),0),"NotExist")</f>
        <v>NotExist</v>
      </c>
      <c r="D1308" t="str">
        <f t="shared" si="44"/>
        <v>New</v>
      </c>
      <c r="E1308" t="e">
        <f>VLOOKUP(A:A,Reviewed!B:C,2,0)</f>
        <v>#N/A</v>
      </c>
      <c r="F1308" t="str">
        <f t="shared" si="45"/>
        <v/>
      </c>
    </row>
    <row r="1309" spans="3:6" x14ac:dyDescent="0.35">
      <c r="C1309" t="str">
        <f>IFERROR(ROUNDUP(VLOOKUP(F1309,'30Days-Baseline'!C:D,2,FALSE),0),"NotExist")</f>
        <v>NotExist</v>
      </c>
      <c r="D1309" t="str">
        <f t="shared" si="44"/>
        <v>New</v>
      </c>
      <c r="E1309" t="e">
        <f>VLOOKUP(A:A,Reviewed!B:C,2,0)</f>
        <v>#N/A</v>
      </c>
      <c r="F1309" t="str">
        <f t="shared" si="45"/>
        <v/>
      </c>
    </row>
    <row r="1310" spans="3:6" x14ac:dyDescent="0.35">
      <c r="C1310" t="str">
        <f>IFERROR(ROUNDUP(VLOOKUP(F1310,'30Days-Baseline'!C:D,2,FALSE),0),"NotExist")</f>
        <v>NotExist</v>
      </c>
      <c r="D1310" t="str">
        <f t="shared" si="44"/>
        <v>New</v>
      </c>
      <c r="E1310" t="e">
        <f>VLOOKUP(A:A,Reviewed!B:C,2,0)</f>
        <v>#N/A</v>
      </c>
      <c r="F1310" t="str">
        <f t="shared" si="45"/>
        <v/>
      </c>
    </row>
    <row r="1311" spans="3:6" x14ac:dyDescent="0.35">
      <c r="C1311" t="str">
        <f>IFERROR(ROUNDUP(VLOOKUP(F1311,'30Days-Baseline'!C:D,2,FALSE),0),"NotExist")</f>
        <v>NotExist</v>
      </c>
      <c r="D1311" t="str">
        <f t="shared" si="44"/>
        <v>New</v>
      </c>
      <c r="E1311" t="e">
        <f>VLOOKUP(A:A,Reviewed!B:C,2,0)</f>
        <v>#N/A</v>
      </c>
      <c r="F1311" t="str">
        <f t="shared" si="45"/>
        <v/>
      </c>
    </row>
    <row r="1312" spans="3:6" x14ac:dyDescent="0.35">
      <c r="C1312" t="str">
        <f>IFERROR(ROUNDUP(VLOOKUP(F1312,'30Days-Baseline'!C:D,2,FALSE),0),"NotExist")</f>
        <v>NotExist</v>
      </c>
      <c r="D1312" t="str">
        <f t="shared" si="44"/>
        <v>New</v>
      </c>
      <c r="E1312" t="e">
        <f>VLOOKUP(A:A,Reviewed!B:C,2,0)</f>
        <v>#N/A</v>
      </c>
      <c r="F1312" t="str">
        <f t="shared" si="45"/>
        <v/>
      </c>
    </row>
    <row r="1313" spans="3:6" x14ac:dyDescent="0.35">
      <c r="C1313" t="str">
        <f>IFERROR(ROUNDUP(VLOOKUP(F1313,'30Days-Baseline'!C:D,2,FALSE),0),"NotExist")</f>
        <v>NotExist</v>
      </c>
      <c r="D1313" t="str">
        <f t="shared" si="44"/>
        <v>New</v>
      </c>
      <c r="E1313" t="e">
        <f>VLOOKUP(A:A,Reviewed!B:C,2,0)</f>
        <v>#N/A</v>
      </c>
      <c r="F1313" t="str">
        <f t="shared" si="45"/>
        <v/>
      </c>
    </row>
    <row r="1314" spans="3:6" x14ac:dyDescent="0.35">
      <c r="C1314" t="str">
        <f>IFERROR(ROUNDUP(VLOOKUP(F1314,'30Days-Baseline'!C:D,2,FALSE),0),"NotExist")</f>
        <v>NotExist</v>
      </c>
      <c r="D1314" t="str">
        <f t="shared" si="44"/>
        <v>New</v>
      </c>
      <c r="E1314" t="e">
        <f>VLOOKUP(A:A,Reviewed!B:C,2,0)</f>
        <v>#N/A</v>
      </c>
      <c r="F1314" t="str">
        <f t="shared" si="45"/>
        <v/>
      </c>
    </row>
    <row r="1315" spans="3:6" x14ac:dyDescent="0.35">
      <c r="C1315" t="str">
        <f>IFERROR(ROUNDUP(VLOOKUP(F1315,'30Days-Baseline'!C:D,2,FALSE),0),"NotExist")</f>
        <v>NotExist</v>
      </c>
      <c r="D1315" t="str">
        <f t="shared" si="44"/>
        <v>New</v>
      </c>
      <c r="E1315" t="e">
        <f>VLOOKUP(A:A,Reviewed!B:C,2,0)</f>
        <v>#N/A</v>
      </c>
      <c r="F1315" t="str">
        <f t="shared" si="45"/>
        <v/>
      </c>
    </row>
    <row r="1316" spans="3:6" x14ac:dyDescent="0.35">
      <c r="C1316" t="str">
        <f>IFERROR(ROUNDUP(VLOOKUP(F1316,'30Days-Baseline'!C:D,2,FALSE),0),"NotExist")</f>
        <v>NotExist</v>
      </c>
      <c r="D1316" t="str">
        <f t="shared" si="44"/>
        <v>New</v>
      </c>
      <c r="E1316" t="e">
        <f>VLOOKUP(A:A,Reviewed!B:C,2,0)</f>
        <v>#N/A</v>
      </c>
      <c r="F1316" t="str">
        <f t="shared" si="45"/>
        <v/>
      </c>
    </row>
    <row r="1317" spans="3:6" x14ac:dyDescent="0.35">
      <c r="C1317" t="str">
        <f>IFERROR(ROUNDUP(VLOOKUP(F1317,'30Days-Baseline'!C:D,2,FALSE),0),"NotExist")</f>
        <v>NotExist</v>
      </c>
      <c r="D1317" t="str">
        <f t="shared" si="44"/>
        <v>New</v>
      </c>
      <c r="E1317" t="e">
        <f>VLOOKUP(A:A,Reviewed!B:C,2,0)</f>
        <v>#N/A</v>
      </c>
      <c r="F1317" t="str">
        <f t="shared" si="45"/>
        <v/>
      </c>
    </row>
    <row r="1318" spans="3:6" x14ac:dyDescent="0.35">
      <c r="C1318" t="str">
        <f>IFERROR(ROUNDUP(VLOOKUP(F1318,'30Days-Baseline'!C:D,2,FALSE),0),"NotExist")</f>
        <v>NotExist</v>
      </c>
      <c r="D1318" t="str">
        <f t="shared" si="44"/>
        <v>New</v>
      </c>
      <c r="E1318" t="e">
        <f>VLOOKUP(A:A,Reviewed!B:C,2,0)</f>
        <v>#N/A</v>
      </c>
      <c r="F1318" t="str">
        <f t="shared" si="45"/>
        <v/>
      </c>
    </row>
    <row r="1319" spans="3:6" x14ac:dyDescent="0.35">
      <c r="C1319" t="str">
        <f>IFERROR(ROUNDUP(VLOOKUP(F1319,'30Days-Baseline'!C:D,2,FALSE),0),"NotExist")</f>
        <v>NotExist</v>
      </c>
      <c r="D1319" t="str">
        <f t="shared" si="44"/>
        <v>New</v>
      </c>
      <c r="E1319" t="e">
        <f>VLOOKUP(A:A,Reviewed!B:C,2,0)</f>
        <v>#N/A</v>
      </c>
      <c r="F1319" t="str">
        <f t="shared" si="45"/>
        <v/>
      </c>
    </row>
    <row r="1320" spans="3:6" x14ac:dyDescent="0.35">
      <c r="C1320" t="str">
        <f>IFERROR(ROUNDUP(VLOOKUP(F1320,'30Days-Baseline'!C:D,2,FALSE),0),"NotExist")</f>
        <v>NotExist</v>
      </c>
      <c r="D1320" t="str">
        <f t="shared" si="44"/>
        <v>New</v>
      </c>
      <c r="E1320" t="e">
        <f>VLOOKUP(A:A,Reviewed!B:C,2,0)</f>
        <v>#N/A</v>
      </c>
      <c r="F1320" t="str">
        <f t="shared" si="45"/>
        <v/>
      </c>
    </row>
    <row r="1321" spans="3:6" x14ac:dyDescent="0.35">
      <c r="C1321" t="str">
        <f>IFERROR(ROUNDUP(VLOOKUP(F1321,'30Days-Baseline'!C:D,2,FALSE),0),"NotExist")</f>
        <v>NotExist</v>
      </c>
      <c r="D1321" t="str">
        <f t="shared" si="44"/>
        <v>New</v>
      </c>
      <c r="E1321" t="e">
        <f>VLOOKUP(A:A,Reviewed!B:C,2,0)</f>
        <v>#N/A</v>
      </c>
      <c r="F1321" t="str">
        <f t="shared" si="45"/>
        <v/>
      </c>
    </row>
    <row r="1322" spans="3:6" x14ac:dyDescent="0.35">
      <c r="C1322" t="str">
        <f>IFERROR(ROUNDUP(VLOOKUP(F1322,'30Days-Baseline'!C:D,2,FALSE),0),"NotExist")</f>
        <v>NotExist</v>
      </c>
      <c r="D1322" t="str">
        <f t="shared" si="44"/>
        <v>New</v>
      </c>
      <c r="E1322" t="e">
        <f>VLOOKUP(A:A,Reviewed!B:C,2,0)</f>
        <v>#N/A</v>
      </c>
      <c r="F1322" t="str">
        <f t="shared" si="45"/>
        <v/>
      </c>
    </row>
    <row r="1323" spans="3:6" x14ac:dyDescent="0.35">
      <c r="C1323" t="str">
        <f>IFERROR(ROUNDUP(VLOOKUP(F1323,'30Days-Baseline'!C:D,2,FALSE),0),"NotExist")</f>
        <v>NotExist</v>
      </c>
      <c r="D1323" t="str">
        <f t="shared" si="44"/>
        <v>New</v>
      </c>
      <c r="E1323" t="e">
        <f>VLOOKUP(A:A,Reviewed!B:C,2,0)</f>
        <v>#N/A</v>
      </c>
      <c r="F1323" t="str">
        <f t="shared" si="45"/>
        <v/>
      </c>
    </row>
    <row r="1324" spans="3:6" x14ac:dyDescent="0.35">
      <c r="C1324" t="str">
        <f>IFERROR(ROUNDUP(VLOOKUP(F1324,'30Days-Baseline'!C:D,2,FALSE),0),"NotExist")</f>
        <v>NotExist</v>
      </c>
      <c r="D1324" t="str">
        <f t="shared" si="44"/>
        <v>New</v>
      </c>
      <c r="E1324" t="e">
        <f>VLOOKUP(A:A,Reviewed!B:C,2,0)</f>
        <v>#N/A</v>
      </c>
      <c r="F1324" t="str">
        <f t="shared" si="45"/>
        <v/>
      </c>
    </row>
    <row r="1325" spans="3:6" x14ac:dyDescent="0.35">
      <c r="C1325" t="str">
        <f>IFERROR(ROUNDUP(VLOOKUP(F1325,'30Days-Baseline'!C:D,2,FALSE),0),"NotExist")</f>
        <v>NotExist</v>
      </c>
      <c r="D1325" t="str">
        <f t="shared" si="44"/>
        <v>New</v>
      </c>
      <c r="E1325" t="e">
        <f>VLOOKUP(A:A,Reviewed!B:C,2,0)</f>
        <v>#N/A</v>
      </c>
      <c r="F1325" t="str">
        <f t="shared" si="45"/>
        <v/>
      </c>
    </row>
    <row r="1326" spans="3:6" x14ac:dyDescent="0.35">
      <c r="C1326" t="str">
        <f>IFERROR(ROUNDUP(VLOOKUP(F1326,'30Days-Baseline'!C:D,2,FALSE),0),"NotExist")</f>
        <v>NotExist</v>
      </c>
      <c r="D1326" t="str">
        <f t="shared" si="44"/>
        <v>New</v>
      </c>
      <c r="E1326" t="e">
        <f>VLOOKUP(A:A,Reviewed!B:C,2,0)</f>
        <v>#N/A</v>
      </c>
      <c r="F1326" t="str">
        <f t="shared" si="45"/>
        <v/>
      </c>
    </row>
    <row r="1327" spans="3:6" x14ac:dyDescent="0.35">
      <c r="C1327" t="str">
        <f>IFERROR(ROUNDUP(VLOOKUP(F1327,'30Days-Baseline'!C:D,2,FALSE),0),"NotExist")</f>
        <v>NotExist</v>
      </c>
      <c r="D1327" t="str">
        <f t="shared" si="44"/>
        <v>New</v>
      </c>
      <c r="E1327" t="e">
        <f>VLOOKUP(A:A,Reviewed!B:C,2,0)</f>
        <v>#N/A</v>
      </c>
      <c r="F1327" t="str">
        <f t="shared" si="45"/>
        <v/>
      </c>
    </row>
    <row r="1328" spans="3:6" x14ac:dyDescent="0.35">
      <c r="C1328" t="str">
        <f>IFERROR(ROUNDUP(VLOOKUP(F1328,'30Days-Baseline'!C:D,2,FALSE),0),"NotExist")</f>
        <v>NotExist</v>
      </c>
      <c r="D1328" t="str">
        <f t="shared" si="44"/>
        <v>New</v>
      </c>
      <c r="E1328" t="e">
        <f>VLOOKUP(A:A,Reviewed!B:C,2,0)</f>
        <v>#N/A</v>
      </c>
      <c r="F1328" t="str">
        <f t="shared" si="45"/>
        <v/>
      </c>
    </row>
    <row r="1329" spans="3:6" x14ac:dyDescent="0.35">
      <c r="C1329" t="str">
        <f>IFERROR(ROUNDUP(VLOOKUP(F1329,'30Days-Baseline'!C:D,2,FALSE),0),"NotExist")</f>
        <v>NotExist</v>
      </c>
      <c r="D1329" t="str">
        <f t="shared" si="44"/>
        <v>New</v>
      </c>
      <c r="E1329" t="e">
        <f>VLOOKUP(A:A,Reviewed!B:C,2,0)</f>
        <v>#N/A</v>
      </c>
      <c r="F1329" t="str">
        <f t="shared" si="45"/>
        <v/>
      </c>
    </row>
    <row r="1330" spans="3:6" x14ac:dyDescent="0.35">
      <c r="C1330" t="str">
        <f>IFERROR(ROUNDUP(VLOOKUP(F1330,'30Days-Baseline'!C:D,2,FALSE),0),"NotExist")</f>
        <v>NotExist</v>
      </c>
      <c r="D1330" t="str">
        <f t="shared" si="44"/>
        <v>New</v>
      </c>
      <c r="E1330" t="e">
        <f>VLOOKUP(A:A,Reviewed!B:C,2,0)</f>
        <v>#N/A</v>
      </c>
      <c r="F1330" t="str">
        <f t="shared" si="45"/>
        <v/>
      </c>
    </row>
    <row r="1331" spans="3:6" x14ac:dyDescent="0.35">
      <c r="C1331" t="str">
        <f>IFERROR(ROUNDUP(VLOOKUP(F1331,'30Days-Baseline'!C:D,2,FALSE),0),"NotExist")</f>
        <v>NotExist</v>
      </c>
      <c r="D1331" t="str">
        <f t="shared" si="44"/>
        <v>New</v>
      </c>
      <c r="E1331" t="e">
        <f>VLOOKUP(A:A,Reviewed!B:C,2,0)</f>
        <v>#N/A</v>
      </c>
      <c r="F1331" t="str">
        <f t="shared" si="45"/>
        <v/>
      </c>
    </row>
    <row r="1332" spans="3:6" x14ac:dyDescent="0.35">
      <c r="C1332" t="str">
        <f>IFERROR(ROUNDUP(VLOOKUP(F1332,'30Days-Baseline'!C:D,2,FALSE),0),"NotExist")</f>
        <v>NotExist</v>
      </c>
      <c r="D1332" t="str">
        <f t="shared" si="44"/>
        <v>New</v>
      </c>
      <c r="E1332" t="e">
        <f>VLOOKUP(A:A,Reviewed!B:C,2,0)</f>
        <v>#N/A</v>
      </c>
      <c r="F1332" t="str">
        <f t="shared" si="45"/>
        <v/>
      </c>
    </row>
    <row r="1333" spans="3:6" x14ac:dyDescent="0.35">
      <c r="C1333" t="str">
        <f>IFERROR(ROUNDUP(VLOOKUP(F1333,'30Days-Baseline'!C:D,2,FALSE),0),"NotExist")</f>
        <v>NotExist</v>
      </c>
      <c r="D1333" t="str">
        <f t="shared" si="44"/>
        <v>New</v>
      </c>
      <c r="E1333" t="e">
        <f>VLOOKUP(A:A,Reviewed!B:C,2,0)</f>
        <v>#N/A</v>
      </c>
      <c r="F1333" t="str">
        <f t="shared" si="45"/>
        <v/>
      </c>
    </row>
    <row r="1334" spans="3:6" x14ac:dyDescent="0.35">
      <c r="C1334" t="str">
        <f>IFERROR(ROUNDUP(VLOOKUP(F1334,'30Days-Baseline'!C:D,2,FALSE),0),"NotExist")</f>
        <v>NotExist</v>
      </c>
      <c r="D1334" t="str">
        <f t="shared" si="44"/>
        <v>New</v>
      </c>
      <c r="E1334" t="e">
        <f>VLOOKUP(A:A,Reviewed!B:C,2,0)</f>
        <v>#N/A</v>
      </c>
      <c r="F1334" t="str">
        <f t="shared" si="45"/>
        <v/>
      </c>
    </row>
    <row r="1335" spans="3:6" x14ac:dyDescent="0.35">
      <c r="C1335" t="str">
        <f>IFERROR(ROUNDUP(VLOOKUP(F1335,'30Days-Baseline'!C:D,2,FALSE),0),"NotExist")</f>
        <v>NotExist</v>
      </c>
      <c r="D1335" t="str">
        <f t="shared" si="44"/>
        <v>New</v>
      </c>
      <c r="E1335" t="e">
        <f>VLOOKUP(A:A,Reviewed!B:C,2,0)</f>
        <v>#N/A</v>
      </c>
      <c r="F1335" t="str">
        <f t="shared" si="45"/>
        <v/>
      </c>
    </row>
    <row r="1336" spans="3:6" x14ac:dyDescent="0.35">
      <c r="C1336" t="str">
        <f>IFERROR(ROUNDUP(VLOOKUP(F1336,'30Days-Baseline'!C:D,2,FALSE),0),"NotExist")</f>
        <v>NotExist</v>
      </c>
      <c r="D1336" t="str">
        <f t="shared" si="44"/>
        <v>New</v>
      </c>
      <c r="E1336" t="e">
        <f>VLOOKUP(A:A,Reviewed!B:C,2,0)</f>
        <v>#N/A</v>
      </c>
      <c r="F1336" t="str">
        <f t="shared" si="45"/>
        <v/>
      </c>
    </row>
    <row r="1337" spans="3:6" x14ac:dyDescent="0.35">
      <c r="C1337" t="str">
        <f>IFERROR(ROUNDUP(VLOOKUP(F1337,'30Days-Baseline'!C:D,2,FALSE),0),"NotExist")</f>
        <v>NotExist</v>
      </c>
      <c r="D1337" t="str">
        <f t="shared" si="44"/>
        <v>New</v>
      </c>
      <c r="E1337" t="e">
        <f>VLOOKUP(A:A,Reviewed!B:C,2,0)</f>
        <v>#N/A</v>
      </c>
      <c r="F1337" t="str">
        <f t="shared" si="45"/>
        <v/>
      </c>
    </row>
    <row r="1338" spans="3:6" x14ac:dyDescent="0.35">
      <c r="C1338" t="str">
        <f>IFERROR(ROUNDUP(VLOOKUP(F1338,'30Days-Baseline'!C:D,2,FALSE),0),"NotExist")</f>
        <v>NotExist</v>
      </c>
      <c r="D1338" t="str">
        <f t="shared" si="44"/>
        <v>New</v>
      </c>
      <c r="E1338" t="e">
        <f>VLOOKUP(A:A,Reviewed!B:C,2,0)</f>
        <v>#N/A</v>
      </c>
      <c r="F1338" t="str">
        <f t="shared" si="45"/>
        <v/>
      </c>
    </row>
    <row r="1339" spans="3:6" x14ac:dyDescent="0.35">
      <c r="C1339" t="str">
        <f>IFERROR(ROUNDUP(VLOOKUP(F1339,'30Days-Baseline'!C:D,2,FALSE),0),"NotExist")</f>
        <v>NotExist</v>
      </c>
      <c r="D1339" t="str">
        <f t="shared" si="44"/>
        <v>New</v>
      </c>
      <c r="E1339" t="e">
        <f>VLOOKUP(A:A,Reviewed!B:C,2,0)</f>
        <v>#N/A</v>
      </c>
      <c r="F1339" t="str">
        <f t="shared" si="45"/>
        <v/>
      </c>
    </row>
    <row r="1340" spans="3:6" x14ac:dyDescent="0.35">
      <c r="C1340" t="str">
        <f>IFERROR(ROUNDUP(VLOOKUP(F1340,'30Days-Baseline'!C:D,2,FALSE),0),"NotExist")</f>
        <v>NotExist</v>
      </c>
      <c r="D1340" t="str">
        <f t="shared" si="44"/>
        <v>New</v>
      </c>
      <c r="E1340" t="e">
        <f>VLOOKUP(A:A,Reviewed!B:C,2,0)</f>
        <v>#N/A</v>
      </c>
      <c r="F1340" t="str">
        <f t="shared" si="45"/>
        <v/>
      </c>
    </row>
    <row r="1341" spans="3:6" x14ac:dyDescent="0.35">
      <c r="C1341" t="str">
        <f>IFERROR(ROUNDUP(VLOOKUP(F1341,'30Days-Baseline'!C:D,2,FALSE),0),"NotExist")</f>
        <v>NotExist</v>
      </c>
      <c r="D1341" t="str">
        <f t="shared" si="44"/>
        <v>New</v>
      </c>
      <c r="E1341" t="e">
        <f>VLOOKUP(A:A,Reviewed!B:C,2,0)</f>
        <v>#N/A</v>
      </c>
      <c r="F1341" t="str">
        <f t="shared" si="45"/>
        <v/>
      </c>
    </row>
    <row r="1342" spans="3:6" x14ac:dyDescent="0.35">
      <c r="C1342" t="str">
        <f>IFERROR(ROUNDUP(VLOOKUP(F1342,'30Days-Baseline'!C:D,2,FALSE),0),"NotExist")</f>
        <v>NotExist</v>
      </c>
      <c r="D1342" t="str">
        <f t="shared" si="44"/>
        <v>New</v>
      </c>
      <c r="E1342" t="e">
        <f>VLOOKUP(A:A,Reviewed!B:C,2,0)</f>
        <v>#N/A</v>
      </c>
      <c r="F1342" t="str">
        <f t="shared" si="45"/>
        <v/>
      </c>
    </row>
    <row r="1343" spans="3:6" x14ac:dyDescent="0.35">
      <c r="C1343" t="str">
        <f>IFERROR(ROUNDUP(VLOOKUP(F1343,'30Days-Baseline'!C:D,2,FALSE),0),"NotExist")</f>
        <v>NotExist</v>
      </c>
      <c r="D1343" t="str">
        <f t="shared" si="44"/>
        <v>New</v>
      </c>
      <c r="E1343" t="e">
        <f>VLOOKUP(A:A,Reviewed!B:C,2,0)</f>
        <v>#N/A</v>
      </c>
      <c r="F1343" t="str">
        <f t="shared" si="45"/>
        <v/>
      </c>
    </row>
    <row r="1344" spans="3:6" x14ac:dyDescent="0.35">
      <c r="C1344" t="str">
        <f>IFERROR(ROUNDUP(VLOOKUP(F1344,'30Days-Baseline'!C:D,2,FALSE),0),"NotExist")</f>
        <v>NotExist</v>
      </c>
      <c r="D1344" t="str">
        <f t="shared" si="44"/>
        <v>New</v>
      </c>
      <c r="E1344" t="e">
        <f>VLOOKUP(A:A,Reviewed!B:C,2,0)</f>
        <v>#N/A</v>
      </c>
      <c r="F1344" t="str">
        <f t="shared" si="45"/>
        <v/>
      </c>
    </row>
    <row r="1345" spans="3:6" x14ac:dyDescent="0.35">
      <c r="C1345" t="str">
        <f>IFERROR(ROUNDUP(VLOOKUP(F1345,'30Days-Baseline'!C:D,2,FALSE),0),"NotExist")</f>
        <v>NotExist</v>
      </c>
      <c r="D1345" t="str">
        <f t="shared" si="44"/>
        <v>New</v>
      </c>
      <c r="E1345" t="e">
        <f>VLOOKUP(A:A,Reviewed!B:C,2,0)</f>
        <v>#N/A</v>
      </c>
      <c r="F1345" t="str">
        <f t="shared" si="45"/>
        <v/>
      </c>
    </row>
    <row r="1346" spans="3:6" x14ac:dyDescent="0.35">
      <c r="C1346" t="str">
        <f>IFERROR(ROUNDUP(VLOOKUP(F1346,'30Days-Baseline'!C:D,2,FALSE),0),"NotExist")</f>
        <v>NotExist</v>
      </c>
      <c r="D1346" t="str">
        <f t="shared" si="44"/>
        <v>New</v>
      </c>
      <c r="E1346" t="e">
        <f>VLOOKUP(A:A,Reviewed!B:C,2,0)</f>
        <v>#N/A</v>
      </c>
      <c r="F1346" t="str">
        <f t="shared" si="45"/>
        <v/>
      </c>
    </row>
    <row r="1347" spans="3:6" x14ac:dyDescent="0.35">
      <c r="C1347" t="str">
        <f>IFERROR(ROUNDUP(VLOOKUP(F1347,'30Days-Baseline'!C:D,2,FALSE),0),"NotExist")</f>
        <v>NotExist</v>
      </c>
      <c r="D1347" t="str">
        <f t="shared" si="44"/>
        <v>New</v>
      </c>
      <c r="E1347" t="e">
        <f>VLOOKUP(A:A,Reviewed!B:C,2,0)</f>
        <v>#N/A</v>
      </c>
      <c r="F1347" t="str">
        <f t="shared" si="45"/>
        <v/>
      </c>
    </row>
    <row r="1348" spans="3:6" x14ac:dyDescent="0.35">
      <c r="C1348" t="str">
        <f>IFERROR(ROUNDUP(VLOOKUP(F1348,'30Days-Baseline'!C:D,2,FALSE),0),"NotExist")</f>
        <v>NotExist</v>
      </c>
      <c r="D1348" t="str">
        <f t="shared" si="44"/>
        <v>New</v>
      </c>
      <c r="E1348" t="e">
        <f>VLOOKUP(A:A,Reviewed!B:C,2,0)</f>
        <v>#N/A</v>
      </c>
      <c r="F1348" t="str">
        <f t="shared" si="45"/>
        <v/>
      </c>
    </row>
    <row r="1349" spans="3:6" x14ac:dyDescent="0.35">
      <c r="C1349" t="str">
        <f>IFERROR(ROUNDUP(VLOOKUP(F1349,'30Days-Baseline'!C:D,2,FALSE),0),"NotExist")</f>
        <v>NotExist</v>
      </c>
      <c r="D1349" t="str">
        <f t="shared" si="44"/>
        <v>New</v>
      </c>
      <c r="E1349" t="e">
        <f>VLOOKUP(A:A,Reviewed!B:C,2,0)</f>
        <v>#N/A</v>
      </c>
      <c r="F1349" t="str">
        <f t="shared" si="45"/>
        <v/>
      </c>
    </row>
    <row r="1350" spans="3:6" x14ac:dyDescent="0.35">
      <c r="C1350" t="str">
        <f>IFERROR(ROUNDUP(VLOOKUP(F1350,'30Days-Baseline'!C:D,2,FALSE),0),"NotExist")</f>
        <v>NotExist</v>
      </c>
      <c r="D1350" t="str">
        <f t="shared" si="44"/>
        <v>New</v>
      </c>
      <c r="E1350" t="e">
        <f>VLOOKUP(A:A,Reviewed!B:C,2,0)</f>
        <v>#N/A</v>
      </c>
      <c r="F1350" t="str">
        <f t="shared" si="45"/>
        <v/>
      </c>
    </row>
    <row r="1351" spans="3:6" x14ac:dyDescent="0.35">
      <c r="C1351" t="str">
        <f>IFERROR(ROUNDUP(VLOOKUP(F1351,'30Days-Baseline'!C:D,2,FALSE),0),"NotExist")</f>
        <v>NotExist</v>
      </c>
      <c r="D1351" t="str">
        <f t="shared" si="44"/>
        <v>New</v>
      </c>
      <c r="E1351" t="e">
        <f>VLOOKUP(A:A,Reviewed!B:C,2,0)</f>
        <v>#N/A</v>
      </c>
      <c r="F1351" t="str">
        <f t="shared" si="45"/>
        <v/>
      </c>
    </row>
    <row r="1352" spans="3:6" x14ac:dyDescent="0.35">
      <c r="C1352" t="str">
        <f>IFERROR(ROUNDUP(VLOOKUP(F1352,'30Days-Baseline'!C:D,2,FALSE),0),"NotExist")</f>
        <v>NotExist</v>
      </c>
      <c r="D1352" t="str">
        <f t="shared" si="44"/>
        <v>New</v>
      </c>
      <c r="E1352" t="e">
        <f>VLOOKUP(A:A,Reviewed!B:C,2,0)</f>
        <v>#N/A</v>
      </c>
      <c r="F1352" t="str">
        <f t="shared" si="45"/>
        <v/>
      </c>
    </row>
    <row r="1353" spans="3:6" x14ac:dyDescent="0.35">
      <c r="C1353" t="str">
        <f>IFERROR(ROUNDUP(VLOOKUP(F1353,'30Days-Baseline'!C:D,2,FALSE),0),"NotExist")</f>
        <v>NotExist</v>
      </c>
      <c r="D1353" t="str">
        <f t="shared" si="44"/>
        <v>New</v>
      </c>
      <c r="E1353" t="e">
        <f>VLOOKUP(A:A,Reviewed!B:C,2,0)</f>
        <v>#N/A</v>
      </c>
      <c r="F1353" t="str">
        <f t="shared" si="45"/>
        <v/>
      </c>
    </row>
    <row r="1354" spans="3:6" x14ac:dyDescent="0.35">
      <c r="C1354" t="str">
        <f>IFERROR(ROUNDUP(VLOOKUP(F1354,'30Days-Baseline'!C:D,2,FALSE),0),"NotExist")</f>
        <v>NotExist</v>
      </c>
      <c r="D1354" t="str">
        <f t="shared" si="44"/>
        <v>New</v>
      </c>
      <c r="E1354" t="e">
        <f>VLOOKUP(A:A,Reviewed!B:C,2,0)</f>
        <v>#N/A</v>
      </c>
      <c r="F1354" t="str">
        <f t="shared" si="45"/>
        <v/>
      </c>
    </row>
    <row r="1355" spans="3:6" x14ac:dyDescent="0.35">
      <c r="C1355" t="str">
        <f>IFERROR(ROUNDUP(VLOOKUP(F1355,'30Days-Baseline'!C:D,2,FALSE),0),"NotExist")</f>
        <v>NotExist</v>
      </c>
      <c r="D1355" t="str">
        <f t="shared" si="44"/>
        <v>New</v>
      </c>
      <c r="E1355" t="e">
        <f>VLOOKUP(A:A,Reviewed!B:C,2,0)</f>
        <v>#N/A</v>
      </c>
      <c r="F1355" t="str">
        <f t="shared" si="45"/>
        <v/>
      </c>
    </row>
    <row r="1356" spans="3:6" x14ac:dyDescent="0.35">
      <c r="C1356" t="str">
        <f>IFERROR(ROUNDUP(VLOOKUP(F1356,'30Days-Baseline'!C:D,2,FALSE),0),"NotExist")</f>
        <v>NotExist</v>
      </c>
      <c r="D1356" t="str">
        <f t="shared" si="44"/>
        <v>New</v>
      </c>
      <c r="E1356" t="e">
        <f>VLOOKUP(A:A,Reviewed!B:C,2,0)</f>
        <v>#N/A</v>
      </c>
      <c r="F1356" t="str">
        <f t="shared" si="45"/>
        <v/>
      </c>
    </row>
    <row r="1357" spans="3:6" x14ac:dyDescent="0.35">
      <c r="C1357" t="str">
        <f>IFERROR(ROUNDUP(VLOOKUP(F1357,'30Days-Baseline'!C:D,2,FALSE),0),"NotExist")</f>
        <v>NotExist</v>
      </c>
      <c r="D1357" t="str">
        <f t="shared" si="44"/>
        <v>New</v>
      </c>
      <c r="E1357" t="e">
        <f>VLOOKUP(A:A,Reviewed!B:C,2,0)</f>
        <v>#N/A</v>
      </c>
      <c r="F1357" t="str">
        <f t="shared" si="45"/>
        <v/>
      </c>
    </row>
    <row r="1358" spans="3:6" x14ac:dyDescent="0.35">
      <c r="C1358" t="str">
        <f>IFERROR(ROUNDUP(VLOOKUP(F1358,'30Days-Baseline'!C:D,2,FALSE),0),"NotExist")</f>
        <v>NotExist</v>
      </c>
      <c r="D1358" t="str">
        <f t="shared" si="44"/>
        <v>New</v>
      </c>
      <c r="E1358" t="e">
        <f>VLOOKUP(A:A,Reviewed!B:C,2,0)</f>
        <v>#N/A</v>
      </c>
      <c r="F1358" t="str">
        <f t="shared" si="45"/>
        <v/>
      </c>
    </row>
    <row r="1359" spans="3:6" x14ac:dyDescent="0.35">
      <c r="C1359" t="str">
        <f>IFERROR(ROUNDUP(VLOOKUP(F1359,'30Days-Baseline'!C:D,2,FALSE),0),"NotExist")</f>
        <v>NotExist</v>
      </c>
      <c r="D1359" t="str">
        <f t="shared" si="44"/>
        <v>New</v>
      </c>
      <c r="E1359" t="e">
        <f>VLOOKUP(A:A,Reviewed!B:C,2,0)</f>
        <v>#N/A</v>
      </c>
      <c r="F1359" t="str">
        <f t="shared" si="45"/>
        <v/>
      </c>
    </row>
    <row r="1360" spans="3:6" x14ac:dyDescent="0.35">
      <c r="C1360" t="str">
        <f>IFERROR(ROUNDUP(VLOOKUP(F1360,'30Days-Baseline'!C:D,2,FALSE),0),"NotExist")</f>
        <v>NotExist</v>
      </c>
      <c r="D1360" t="str">
        <f t="shared" si="44"/>
        <v>New</v>
      </c>
      <c r="E1360" t="e">
        <f>VLOOKUP(A:A,Reviewed!B:C,2,0)</f>
        <v>#N/A</v>
      </c>
      <c r="F1360" t="str">
        <f t="shared" si="45"/>
        <v/>
      </c>
    </row>
    <row r="1361" spans="3:6" x14ac:dyDescent="0.35">
      <c r="C1361" t="str">
        <f>IFERROR(ROUNDUP(VLOOKUP(F1361,'30Days-Baseline'!C:D,2,FALSE),0),"NotExist")</f>
        <v>NotExist</v>
      </c>
      <c r="D1361" t="str">
        <f t="shared" si="44"/>
        <v>New</v>
      </c>
      <c r="E1361" t="e">
        <f>VLOOKUP(A:A,Reviewed!B:C,2,0)</f>
        <v>#N/A</v>
      </c>
      <c r="F1361" t="str">
        <f t="shared" si="45"/>
        <v/>
      </c>
    </row>
    <row r="1362" spans="3:6" x14ac:dyDescent="0.35">
      <c r="C1362" t="str">
        <f>IFERROR(ROUNDUP(VLOOKUP(F1362,'30Days-Baseline'!C:D,2,FALSE),0),"NotExist")</f>
        <v>NotExist</v>
      </c>
      <c r="D1362" t="str">
        <f t="shared" si="44"/>
        <v>New</v>
      </c>
      <c r="E1362" t="e">
        <f>VLOOKUP(A:A,Reviewed!B:C,2,0)</f>
        <v>#N/A</v>
      </c>
      <c r="F1362" t="str">
        <f t="shared" si="45"/>
        <v/>
      </c>
    </row>
    <row r="1363" spans="3:6" x14ac:dyDescent="0.35">
      <c r="C1363" t="str">
        <f>IFERROR(ROUNDUP(VLOOKUP(F1363,'30Days-Baseline'!C:D,2,FALSE),0),"NotExist")</f>
        <v>NotExist</v>
      </c>
      <c r="D1363" t="str">
        <f t="shared" ref="D1363:D1426" si="46">IFERROR(IF(B1363&gt;ROUNDUP(C1363,0),"Elevated","Ok"),"New")</f>
        <v>New</v>
      </c>
      <c r="E1363" t="e">
        <f>VLOOKUP(A:A,Reviewed!B:C,2,0)</f>
        <v>#N/A</v>
      </c>
      <c r="F1363" t="str">
        <f t="shared" ref="F1363:F1426" si="47">LEFT(A1363,255)</f>
        <v/>
      </c>
    </row>
    <row r="1364" spans="3:6" x14ac:dyDescent="0.35">
      <c r="C1364" t="str">
        <f>IFERROR(ROUNDUP(VLOOKUP(F1364,'30Days-Baseline'!C:D,2,FALSE),0),"NotExist")</f>
        <v>NotExist</v>
      </c>
      <c r="D1364" t="str">
        <f t="shared" si="46"/>
        <v>New</v>
      </c>
      <c r="E1364" t="e">
        <f>VLOOKUP(A:A,Reviewed!B:C,2,0)</f>
        <v>#N/A</v>
      </c>
      <c r="F1364" t="str">
        <f t="shared" si="47"/>
        <v/>
      </c>
    </row>
    <row r="1365" spans="3:6" x14ac:dyDescent="0.35">
      <c r="C1365" t="str">
        <f>IFERROR(ROUNDUP(VLOOKUP(F1365,'30Days-Baseline'!C:D,2,FALSE),0),"NotExist")</f>
        <v>NotExist</v>
      </c>
      <c r="D1365" t="str">
        <f t="shared" si="46"/>
        <v>New</v>
      </c>
      <c r="E1365" t="e">
        <f>VLOOKUP(A:A,Reviewed!B:C,2,0)</f>
        <v>#N/A</v>
      </c>
      <c r="F1365" t="str">
        <f t="shared" si="47"/>
        <v/>
      </c>
    </row>
    <row r="1366" spans="3:6" x14ac:dyDescent="0.35">
      <c r="C1366" t="str">
        <f>IFERROR(ROUNDUP(VLOOKUP(F1366,'30Days-Baseline'!C:D,2,FALSE),0),"NotExist")</f>
        <v>NotExist</v>
      </c>
      <c r="D1366" t="str">
        <f t="shared" si="46"/>
        <v>New</v>
      </c>
      <c r="E1366" t="e">
        <f>VLOOKUP(A:A,Reviewed!B:C,2,0)</f>
        <v>#N/A</v>
      </c>
      <c r="F1366" t="str">
        <f t="shared" si="47"/>
        <v/>
      </c>
    </row>
    <row r="1367" spans="3:6" x14ac:dyDescent="0.35">
      <c r="C1367" t="str">
        <f>IFERROR(ROUNDUP(VLOOKUP(F1367,'30Days-Baseline'!C:D,2,FALSE),0),"NotExist")</f>
        <v>NotExist</v>
      </c>
      <c r="D1367" t="str">
        <f t="shared" si="46"/>
        <v>New</v>
      </c>
      <c r="E1367" t="e">
        <f>VLOOKUP(A:A,Reviewed!B:C,2,0)</f>
        <v>#N/A</v>
      </c>
      <c r="F1367" t="str">
        <f t="shared" si="47"/>
        <v/>
      </c>
    </row>
    <row r="1368" spans="3:6" x14ac:dyDescent="0.35">
      <c r="C1368" t="str">
        <f>IFERROR(ROUNDUP(VLOOKUP(F1368,'30Days-Baseline'!C:D,2,FALSE),0),"NotExist")</f>
        <v>NotExist</v>
      </c>
      <c r="D1368" t="str">
        <f t="shared" si="46"/>
        <v>New</v>
      </c>
      <c r="E1368" t="e">
        <f>VLOOKUP(A:A,Reviewed!B:C,2,0)</f>
        <v>#N/A</v>
      </c>
      <c r="F1368" t="str">
        <f t="shared" si="47"/>
        <v/>
      </c>
    </row>
    <row r="1369" spans="3:6" x14ac:dyDescent="0.35">
      <c r="C1369" t="str">
        <f>IFERROR(ROUNDUP(VLOOKUP(F1369,'30Days-Baseline'!C:D,2,FALSE),0),"NotExist")</f>
        <v>NotExist</v>
      </c>
      <c r="D1369" t="str">
        <f t="shared" si="46"/>
        <v>New</v>
      </c>
      <c r="E1369" t="e">
        <f>VLOOKUP(A:A,Reviewed!B:C,2,0)</f>
        <v>#N/A</v>
      </c>
      <c r="F1369" t="str">
        <f t="shared" si="47"/>
        <v/>
      </c>
    </row>
    <row r="1370" spans="3:6" x14ac:dyDescent="0.35">
      <c r="C1370" t="str">
        <f>IFERROR(ROUNDUP(VLOOKUP(F1370,'30Days-Baseline'!C:D,2,FALSE),0),"NotExist")</f>
        <v>NotExist</v>
      </c>
      <c r="D1370" t="str">
        <f t="shared" si="46"/>
        <v>New</v>
      </c>
      <c r="E1370" t="e">
        <f>VLOOKUP(A:A,Reviewed!B:C,2,0)</f>
        <v>#N/A</v>
      </c>
      <c r="F1370" t="str">
        <f t="shared" si="47"/>
        <v/>
      </c>
    </row>
    <row r="1371" spans="3:6" x14ac:dyDescent="0.35">
      <c r="C1371" t="str">
        <f>IFERROR(ROUNDUP(VLOOKUP(F1371,'30Days-Baseline'!C:D,2,FALSE),0),"NotExist")</f>
        <v>NotExist</v>
      </c>
      <c r="D1371" t="str">
        <f t="shared" si="46"/>
        <v>New</v>
      </c>
      <c r="E1371" t="e">
        <f>VLOOKUP(A:A,Reviewed!B:C,2,0)</f>
        <v>#N/A</v>
      </c>
      <c r="F1371" t="str">
        <f t="shared" si="47"/>
        <v/>
      </c>
    </row>
    <row r="1372" spans="3:6" x14ac:dyDescent="0.35">
      <c r="C1372" t="str">
        <f>IFERROR(ROUNDUP(VLOOKUP(F1372,'30Days-Baseline'!C:D,2,FALSE),0),"NotExist")</f>
        <v>NotExist</v>
      </c>
      <c r="D1372" t="str">
        <f t="shared" si="46"/>
        <v>New</v>
      </c>
      <c r="E1372" t="e">
        <f>VLOOKUP(A:A,Reviewed!B:C,2,0)</f>
        <v>#N/A</v>
      </c>
      <c r="F1372" t="str">
        <f t="shared" si="47"/>
        <v/>
      </c>
    </row>
    <row r="1373" spans="3:6" x14ac:dyDescent="0.35">
      <c r="C1373" t="str">
        <f>IFERROR(ROUNDUP(VLOOKUP(F1373,'30Days-Baseline'!C:D,2,FALSE),0),"NotExist")</f>
        <v>NotExist</v>
      </c>
      <c r="D1373" t="str">
        <f t="shared" si="46"/>
        <v>New</v>
      </c>
      <c r="E1373" t="e">
        <f>VLOOKUP(A:A,Reviewed!B:C,2,0)</f>
        <v>#N/A</v>
      </c>
      <c r="F1373" t="str">
        <f t="shared" si="47"/>
        <v/>
      </c>
    </row>
    <row r="1374" spans="3:6" x14ac:dyDescent="0.35">
      <c r="C1374" t="str">
        <f>IFERROR(ROUNDUP(VLOOKUP(F1374,'30Days-Baseline'!C:D,2,FALSE),0),"NotExist")</f>
        <v>NotExist</v>
      </c>
      <c r="D1374" t="str">
        <f t="shared" si="46"/>
        <v>New</v>
      </c>
      <c r="E1374" t="e">
        <f>VLOOKUP(A:A,Reviewed!B:C,2,0)</f>
        <v>#N/A</v>
      </c>
      <c r="F1374" t="str">
        <f t="shared" si="47"/>
        <v/>
      </c>
    </row>
    <row r="1375" spans="3:6" x14ac:dyDescent="0.35">
      <c r="C1375" t="str">
        <f>IFERROR(ROUNDUP(VLOOKUP(F1375,'30Days-Baseline'!C:D,2,FALSE),0),"NotExist")</f>
        <v>NotExist</v>
      </c>
      <c r="D1375" t="str">
        <f t="shared" si="46"/>
        <v>New</v>
      </c>
      <c r="E1375" t="e">
        <f>VLOOKUP(A:A,Reviewed!B:C,2,0)</f>
        <v>#N/A</v>
      </c>
      <c r="F1375" t="str">
        <f t="shared" si="47"/>
        <v/>
      </c>
    </row>
    <row r="1376" spans="3:6" x14ac:dyDescent="0.35">
      <c r="C1376" t="str">
        <f>IFERROR(ROUNDUP(VLOOKUP(F1376,'30Days-Baseline'!C:D,2,FALSE),0),"NotExist")</f>
        <v>NotExist</v>
      </c>
      <c r="D1376" t="str">
        <f t="shared" si="46"/>
        <v>New</v>
      </c>
      <c r="E1376" t="e">
        <f>VLOOKUP(A:A,Reviewed!B:C,2,0)</f>
        <v>#N/A</v>
      </c>
      <c r="F1376" t="str">
        <f t="shared" si="47"/>
        <v/>
      </c>
    </row>
    <row r="1377" spans="3:6" x14ac:dyDescent="0.35">
      <c r="C1377" t="str">
        <f>IFERROR(ROUNDUP(VLOOKUP(F1377,'30Days-Baseline'!C:D,2,FALSE),0),"NotExist")</f>
        <v>NotExist</v>
      </c>
      <c r="D1377" t="str">
        <f t="shared" si="46"/>
        <v>New</v>
      </c>
      <c r="E1377" t="e">
        <f>VLOOKUP(A:A,Reviewed!B:C,2,0)</f>
        <v>#N/A</v>
      </c>
      <c r="F1377" t="str">
        <f t="shared" si="47"/>
        <v/>
      </c>
    </row>
    <row r="1378" spans="3:6" x14ac:dyDescent="0.35">
      <c r="C1378" t="str">
        <f>IFERROR(ROUNDUP(VLOOKUP(F1378,'30Days-Baseline'!C:D,2,FALSE),0),"NotExist")</f>
        <v>NotExist</v>
      </c>
      <c r="D1378" t="str">
        <f t="shared" si="46"/>
        <v>New</v>
      </c>
      <c r="E1378" t="e">
        <f>VLOOKUP(A:A,Reviewed!B:C,2,0)</f>
        <v>#N/A</v>
      </c>
      <c r="F1378" t="str">
        <f t="shared" si="47"/>
        <v/>
      </c>
    </row>
    <row r="1379" spans="3:6" x14ac:dyDescent="0.35">
      <c r="C1379" t="str">
        <f>IFERROR(ROUNDUP(VLOOKUP(F1379,'30Days-Baseline'!C:D,2,FALSE),0),"NotExist")</f>
        <v>NotExist</v>
      </c>
      <c r="D1379" t="str">
        <f t="shared" si="46"/>
        <v>New</v>
      </c>
      <c r="E1379" t="e">
        <f>VLOOKUP(A:A,Reviewed!B:C,2,0)</f>
        <v>#N/A</v>
      </c>
      <c r="F1379" t="str">
        <f t="shared" si="47"/>
        <v/>
      </c>
    </row>
    <row r="1380" spans="3:6" x14ac:dyDescent="0.35">
      <c r="C1380" t="str">
        <f>IFERROR(ROUNDUP(VLOOKUP(F1380,'30Days-Baseline'!C:D,2,FALSE),0),"NotExist")</f>
        <v>NotExist</v>
      </c>
      <c r="D1380" t="str">
        <f t="shared" si="46"/>
        <v>New</v>
      </c>
      <c r="E1380" t="e">
        <f>VLOOKUP(A:A,Reviewed!B:C,2,0)</f>
        <v>#N/A</v>
      </c>
      <c r="F1380" t="str">
        <f t="shared" si="47"/>
        <v/>
      </c>
    </row>
    <row r="1381" spans="3:6" x14ac:dyDescent="0.35">
      <c r="C1381" t="str">
        <f>IFERROR(ROUNDUP(VLOOKUP(F1381,'30Days-Baseline'!C:D,2,FALSE),0),"NotExist")</f>
        <v>NotExist</v>
      </c>
      <c r="D1381" t="str">
        <f t="shared" si="46"/>
        <v>New</v>
      </c>
      <c r="E1381" t="e">
        <f>VLOOKUP(A:A,Reviewed!B:C,2,0)</f>
        <v>#N/A</v>
      </c>
      <c r="F1381" t="str">
        <f t="shared" si="47"/>
        <v/>
      </c>
    </row>
    <row r="1382" spans="3:6" x14ac:dyDescent="0.35">
      <c r="C1382" t="str">
        <f>IFERROR(ROUNDUP(VLOOKUP(F1382,'30Days-Baseline'!C:D,2,FALSE),0),"NotExist")</f>
        <v>NotExist</v>
      </c>
      <c r="D1382" t="str">
        <f t="shared" si="46"/>
        <v>New</v>
      </c>
      <c r="E1382" t="e">
        <f>VLOOKUP(A:A,Reviewed!B:C,2,0)</f>
        <v>#N/A</v>
      </c>
      <c r="F1382" t="str">
        <f t="shared" si="47"/>
        <v/>
      </c>
    </row>
    <row r="1383" spans="3:6" x14ac:dyDescent="0.35">
      <c r="C1383" t="str">
        <f>IFERROR(ROUNDUP(VLOOKUP(F1383,'30Days-Baseline'!C:D,2,FALSE),0),"NotExist")</f>
        <v>NotExist</v>
      </c>
      <c r="D1383" t="str">
        <f t="shared" si="46"/>
        <v>New</v>
      </c>
      <c r="E1383" t="e">
        <f>VLOOKUP(A:A,Reviewed!B:C,2,0)</f>
        <v>#N/A</v>
      </c>
      <c r="F1383" t="str">
        <f t="shared" si="47"/>
        <v/>
      </c>
    </row>
    <row r="1384" spans="3:6" x14ac:dyDescent="0.35">
      <c r="C1384" t="str">
        <f>IFERROR(ROUNDUP(VLOOKUP(F1384,'30Days-Baseline'!C:D,2,FALSE),0),"NotExist")</f>
        <v>NotExist</v>
      </c>
      <c r="D1384" t="str">
        <f t="shared" si="46"/>
        <v>New</v>
      </c>
      <c r="E1384" t="e">
        <f>VLOOKUP(A:A,Reviewed!B:C,2,0)</f>
        <v>#N/A</v>
      </c>
      <c r="F1384" t="str">
        <f t="shared" si="47"/>
        <v/>
      </c>
    </row>
    <row r="1385" spans="3:6" x14ac:dyDescent="0.35">
      <c r="C1385" t="str">
        <f>IFERROR(ROUNDUP(VLOOKUP(F1385,'30Days-Baseline'!C:D,2,FALSE),0),"NotExist")</f>
        <v>NotExist</v>
      </c>
      <c r="D1385" t="str">
        <f t="shared" si="46"/>
        <v>New</v>
      </c>
      <c r="E1385" t="e">
        <f>VLOOKUP(A:A,Reviewed!B:C,2,0)</f>
        <v>#N/A</v>
      </c>
      <c r="F1385" t="str">
        <f t="shared" si="47"/>
        <v/>
      </c>
    </row>
    <row r="1386" spans="3:6" x14ac:dyDescent="0.35">
      <c r="C1386" t="str">
        <f>IFERROR(ROUNDUP(VLOOKUP(F1386,'30Days-Baseline'!C:D,2,FALSE),0),"NotExist")</f>
        <v>NotExist</v>
      </c>
      <c r="D1386" t="str">
        <f t="shared" si="46"/>
        <v>New</v>
      </c>
      <c r="E1386" t="e">
        <f>VLOOKUP(A:A,Reviewed!B:C,2,0)</f>
        <v>#N/A</v>
      </c>
      <c r="F1386" t="str">
        <f t="shared" si="47"/>
        <v/>
      </c>
    </row>
    <row r="1387" spans="3:6" x14ac:dyDescent="0.35">
      <c r="C1387" t="str">
        <f>IFERROR(ROUNDUP(VLOOKUP(F1387,'30Days-Baseline'!C:D,2,FALSE),0),"NotExist")</f>
        <v>NotExist</v>
      </c>
      <c r="D1387" t="str">
        <f t="shared" si="46"/>
        <v>New</v>
      </c>
      <c r="E1387" t="e">
        <f>VLOOKUP(A:A,Reviewed!B:C,2,0)</f>
        <v>#N/A</v>
      </c>
      <c r="F1387" t="str">
        <f t="shared" si="47"/>
        <v/>
      </c>
    </row>
    <row r="1388" spans="3:6" x14ac:dyDescent="0.35">
      <c r="C1388" t="str">
        <f>IFERROR(ROUNDUP(VLOOKUP(F1388,'30Days-Baseline'!C:D,2,FALSE),0),"NotExist")</f>
        <v>NotExist</v>
      </c>
      <c r="D1388" t="str">
        <f t="shared" si="46"/>
        <v>New</v>
      </c>
      <c r="E1388" t="e">
        <f>VLOOKUP(A:A,Reviewed!B:C,2,0)</f>
        <v>#N/A</v>
      </c>
      <c r="F1388" t="str">
        <f t="shared" si="47"/>
        <v/>
      </c>
    </row>
    <row r="1389" spans="3:6" x14ac:dyDescent="0.35">
      <c r="C1389" t="str">
        <f>IFERROR(ROUNDUP(VLOOKUP(F1389,'30Days-Baseline'!C:D,2,FALSE),0),"NotExist")</f>
        <v>NotExist</v>
      </c>
      <c r="D1389" t="str">
        <f t="shared" si="46"/>
        <v>New</v>
      </c>
      <c r="E1389" t="e">
        <f>VLOOKUP(A:A,Reviewed!B:C,2,0)</f>
        <v>#N/A</v>
      </c>
      <c r="F1389" t="str">
        <f t="shared" si="47"/>
        <v/>
      </c>
    </row>
    <row r="1390" spans="3:6" x14ac:dyDescent="0.35">
      <c r="C1390" t="str">
        <f>IFERROR(ROUNDUP(VLOOKUP(F1390,'30Days-Baseline'!C:D,2,FALSE),0),"NotExist")</f>
        <v>NotExist</v>
      </c>
      <c r="D1390" t="str">
        <f t="shared" si="46"/>
        <v>New</v>
      </c>
      <c r="E1390" t="e">
        <f>VLOOKUP(A:A,Reviewed!B:C,2,0)</f>
        <v>#N/A</v>
      </c>
      <c r="F1390" t="str">
        <f t="shared" si="47"/>
        <v/>
      </c>
    </row>
    <row r="1391" spans="3:6" x14ac:dyDescent="0.35">
      <c r="C1391" t="str">
        <f>IFERROR(ROUNDUP(VLOOKUP(F1391,'30Days-Baseline'!C:D,2,FALSE),0),"NotExist")</f>
        <v>NotExist</v>
      </c>
      <c r="D1391" t="str">
        <f t="shared" si="46"/>
        <v>New</v>
      </c>
      <c r="E1391" t="e">
        <f>VLOOKUP(A:A,Reviewed!B:C,2,0)</f>
        <v>#N/A</v>
      </c>
      <c r="F1391" t="str">
        <f t="shared" si="47"/>
        <v/>
      </c>
    </row>
    <row r="1392" spans="3:6" x14ac:dyDescent="0.35">
      <c r="C1392" t="str">
        <f>IFERROR(ROUNDUP(VLOOKUP(F1392,'30Days-Baseline'!C:D,2,FALSE),0),"NotExist")</f>
        <v>NotExist</v>
      </c>
      <c r="D1392" t="str">
        <f t="shared" si="46"/>
        <v>New</v>
      </c>
      <c r="E1392" t="e">
        <f>VLOOKUP(A:A,Reviewed!B:C,2,0)</f>
        <v>#N/A</v>
      </c>
      <c r="F1392" t="str">
        <f t="shared" si="47"/>
        <v/>
      </c>
    </row>
    <row r="1393" spans="3:6" x14ac:dyDescent="0.35">
      <c r="C1393" t="str">
        <f>IFERROR(ROUNDUP(VLOOKUP(F1393,'30Days-Baseline'!C:D,2,FALSE),0),"NotExist")</f>
        <v>NotExist</v>
      </c>
      <c r="D1393" t="str">
        <f t="shared" si="46"/>
        <v>New</v>
      </c>
      <c r="E1393" t="e">
        <f>VLOOKUP(A:A,Reviewed!B:C,2,0)</f>
        <v>#N/A</v>
      </c>
      <c r="F1393" t="str">
        <f t="shared" si="47"/>
        <v/>
      </c>
    </row>
    <row r="1394" spans="3:6" x14ac:dyDescent="0.35">
      <c r="C1394" t="str">
        <f>IFERROR(ROUNDUP(VLOOKUP(F1394,'30Days-Baseline'!C:D,2,FALSE),0),"NotExist")</f>
        <v>NotExist</v>
      </c>
      <c r="D1394" t="str">
        <f t="shared" si="46"/>
        <v>New</v>
      </c>
      <c r="E1394" t="e">
        <f>VLOOKUP(A:A,Reviewed!B:C,2,0)</f>
        <v>#N/A</v>
      </c>
      <c r="F1394" t="str">
        <f t="shared" si="47"/>
        <v/>
      </c>
    </row>
    <row r="1395" spans="3:6" x14ac:dyDescent="0.35">
      <c r="C1395" t="str">
        <f>IFERROR(ROUNDUP(VLOOKUP(F1395,'30Days-Baseline'!C:D,2,FALSE),0),"NotExist")</f>
        <v>NotExist</v>
      </c>
      <c r="D1395" t="str">
        <f t="shared" si="46"/>
        <v>New</v>
      </c>
      <c r="E1395" t="e">
        <f>VLOOKUP(A:A,Reviewed!B:C,2,0)</f>
        <v>#N/A</v>
      </c>
      <c r="F1395" t="str">
        <f t="shared" si="47"/>
        <v/>
      </c>
    </row>
    <row r="1396" spans="3:6" x14ac:dyDescent="0.35">
      <c r="C1396" t="str">
        <f>IFERROR(ROUNDUP(VLOOKUP(F1396,'30Days-Baseline'!C:D,2,FALSE),0),"NotExist")</f>
        <v>NotExist</v>
      </c>
      <c r="D1396" t="str">
        <f t="shared" si="46"/>
        <v>New</v>
      </c>
      <c r="E1396" t="e">
        <f>VLOOKUP(A:A,Reviewed!B:C,2,0)</f>
        <v>#N/A</v>
      </c>
      <c r="F1396" t="str">
        <f t="shared" si="47"/>
        <v/>
      </c>
    </row>
    <row r="1397" spans="3:6" x14ac:dyDescent="0.35">
      <c r="C1397" t="str">
        <f>IFERROR(ROUNDUP(VLOOKUP(F1397,'30Days-Baseline'!C:D,2,FALSE),0),"NotExist")</f>
        <v>NotExist</v>
      </c>
      <c r="D1397" t="str">
        <f t="shared" si="46"/>
        <v>New</v>
      </c>
      <c r="E1397" t="e">
        <f>VLOOKUP(A:A,Reviewed!B:C,2,0)</f>
        <v>#N/A</v>
      </c>
      <c r="F1397" t="str">
        <f t="shared" si="47"/>
        <v/>
      </c>
    </row>
    <row r="1398" spans="3:6" x14ac:dyDescent="0.35">
      <c r="C1398" t="str">
        <f>IFERROR(ROUNDUP(VLOOKUP(F1398,'30Days-Baseline'!C:D,2,FALSE),0),"NotExist")</f>
        <v>NotExist</v>
      </c>
      <c r="D1398" t="str">
        <f t="shared" si="46"/>
        <v>New</v>
      </c>
      <c r="E1398" t="e">
        <f>VLOOKUP(A:A,Reviewed!B:C,2,0)</f>
        <v>#N/A</v>
      </c>
      <c r="F1398" t="str">
        <f t="shared" si="47"/>
        <v/>
      </c>
    </row>
    <row r="1399" spans="3:6" x14ac:dyDescent="0.35">
      <c r="C1399" t="str">
        <f>IFERROR(ROUNDUP(VLOOKUP(F1399,'30Days-Baseline'!C:D,2,FALSE),0),"NotExist")</f>
        <v>NotExist</v>
      </c>
      <c r="D1399" t="str">
        <f t="shared" si="46"/>
        <v>New</v>
      </c>
      <c r="E1399" t="e">
        <f>VLOOKUP(A:A,Reviewed!B:C,2,0)</f>
        <v>#N/A</v>
      </c>
      <c r="F1399" t="str">
        <f t="shared" si="47"/>
        <v/>
      </c>
    </row>
    <row r="1400" spans="3:6" x14ac:dyDescent="0.35">
      <c r="C1400" t="str">
        <f>IFERROR(ROUNDUP(VLOOKUP(F1400,'30Days-Baseline'!C:D,2,FALSE),0),"NotExist")</f>
        <v>NotExist</v>
      </c>
      <c r="D1400" t="str">
        <f t="shared" si="46"/>
        <v>New</v>
      </c>
      <c r="E1400" t="e">
        <f>VLOOKUP(A:A,Reviewed!B:C,2,0)</f>
        <v>#N/A</v>
      </c>
      <c r="F1400" t="str">
        <f t="shared" si="47"/>
        <v/>
      </c>
    </row>
    <row r="1401" spans="3:6" x14ac:dyDescent="0.35">
      <c r="C1401" t="str">
        <f>IFERROR(ROUNDUP(VLOOKUP(F1401,'30Days-Baseline'!C:D,2,FALSE),0),"NotExist")</f>
        <v>NotExist</v>
      </c>
      <c r="D1401" t="str">
        <f t="shared" si="46"/>
        <v>New</v>
      </c>
      <c r="E1401" t="e">
        <f>VLOOKUP(A:A,Reviewed!B:C,2,0)</f>
        <v>#N/A</v>
      </c>
      <c r="F1401" t="str">
        <f t="shared" si="47"/>
        <v/>
      </c>
    </row>
    <row r="1402" spans="3:6" x14ac:dyDescent="0.35">
      <c r="C1402" t="str">
        <f>IFERROR(ROUNDUP(VLOOKUP(F1402,'30Days-Baseline'!C:D,2,FALSE),0),"NotExist")</f>
        <v>NotExist</v>
      </c>
      <c r="D1402" t="str">
        <f t="shared" si="46"/>
        <v>New</v>
      </c>
      <c r="E1402" t="e">
        <f>VLOOKUP(A:A,Reviewed!B:C,2,0)</f>
        <v>#N/A</v>
      </c>
      <c r="F1402" t="str">
        <f t="shared" si="47"/>
        <v/>
      </c>
    </row>
    <row r="1403" spans="3:6" x14ac:dyDescent="0.35">
      <c r="C1403" t="str">
        <f>IFERROR(ROUNDUP(VLOOKUP(F1403,'30Days-Baseline'!C:D,2,FALSE),0),"NotExist")</f>
        <v>NotExist</v>
      </c>
      <c r="D1403" t="str">
        <f t="shared" si="46"/>
        <v>New</v>
      </c>
      <c r="E1403" t="e">
        <f>VLOOKUP(A:A,Reviewed!B:C,2,0)</f>
        <v>#N/A</v>
      </c>
      <c r="F1403" t="str">
        <f t="shared" si="47"/>
        <v/>
      </c>
    </row>
    <row r="1404" spans="3:6" x14ac:dyDescent="0.35">
      <c r="C1404" t="str">
        <f>IFERROR(ROUNDUP(VLOOKUP(F1404,'30Days-Baseline'!C:D,2,FALSE),0),"NotExist")</f>
        <v>NotExist</v>
      </c>
      <c r="D1404" t="str">
        <f t="shared" si="46"/>
        <v>New</v>
      </c>
      <c r="E1404" t="e">
        <f>VLOOKUP(A:A,Reviewed!B:C,2,0)</f>
        <v>#N/A</v>
      </c>
      <c r="F1404" t="str">
        <f t="shared" si="47"/>
        <v/>
      </c>
    </row>
    <row r="1405" spans="3:6" x14ac:dyDescent="0.35">
      <c r="C1405" t="str">
        <f>IFERROR(ROUNDUP(VLOOKUP(F1405,'30Days-Baseline'!C:D,2,FALSE),0),"NotExist")</f>
        <v>NotExist</v>
      </c>
      <c r="D1405" t="str">
        <f t="shared" si="46"/>
        <v>New</v>
      </c>
      <c r="E1405" t="e">
        <f>VLOOKUP(A:A,Reviewed!B:C,2,0)</f>
        <v>#N/A</v>
      </c>
      <c r="F1405" t="str">
        <f t="shared" si="47"/>
        <v/>
      </c>
    </row>
    <row r="1406" spans="3:6" x14ac:dyDescent="0.35">
      <c r="C1406" t="str">
        <f>IFERROR(ROUNDUP(VLOOKUP(F1406,'30Days-Baseline'!C:D,2,FALSE),0),"NotExist")</f>
        <v>NotExist</v>
      </c>
      <c r="D1406" t="str">
        <f t="shared" si="46"/>
        <v>New</v>
      </c>
      <c r="E1406" t="e">
        <f>VLOOKUP(A:A,Reviewed!B:C,2,0)</f>
        <v>#N/A</v>
      </c>
      <c r="F1406" t="str">
        <f t="shared" si="47"/>
        <v/>
      </c>
    </row>
    <row r="1407" spans="3:6" x14ac:dyDescent="0.35">
      <c r="C1407" t="str">
        <f>IFERROR(ROUNDUP(VLOOKUP(F1407,'30Days-Baseline'!C:D,2,FALSE),0),"NotExist")</f>
        <v>NotExist</v>
      </c>
      <c r="D1407" t="str">
        <f t="shared" si="46"/>
        <v>New</v>
      </c>
      <c r="E1407" t="e">
        <f>VLOOKUP(A:A,Reviewed!B:C,2,0)</f>
        <v>#N/A</v>
      </c>
      <c r="F1407" t="str">
        <f t="shared" si="47"/>
        <v/>
      </c>
    </row>
    <row r="1408" spans="3:6" x14ac:dyDescent="0.35">
      <c r="C1408" t="str">
        <f>IFERROR(ROUNDUP(VLOOKUP(F1408,'30Days-Baseline'!C:D,2,FALSE),0),"NotExist")</f>
        <v>NotExist</v>
      </c>
      <c r="D1408" t="str">
        <f t="shared" si="46"/>
        <v>New</v>
      </c>
      <c r="E1408" t="e">
        <f>VLOOKUP(A:A,Reviewed!B:C,2,0)</f>
        <v>#N/A</v>
      </c>
      <c r="F1408" t="str">
        <f t="shared" si="47"/>
        <v/>
      </c>
    </row>
    <row r="1409" spans="3:6" x14ac:dyDescent="0.35">
      <c r="C1409" t="str">
        <f>IFERROR(ROUNDUP(VLOOKUP(F1409,'30Days-Baseline'!C:D,2,FALSE),0),"NotExist")</f>
        <v>NotExist</v>
      </c>
      <c r="D1409" t="str">
        <f t="shared" si="46"/>
        <v>New</v>
      </c>
      <c r="E1409" t="e">
        <f>VLOOKUP(A:A,Reviewed!B:C,2,0)</f>
        <v>#N/A</v>
      </c>
      <c r="F1409" t="str">
        <f t="shared" si="47"/>
        <v/>
      </c>
    </row>
    <row r="1410" spans="3:6" x14ac:dyDescent="0.35">
      <c r="C1410" t="str">
        <f>IFERROR(ROUNDUP(VLOOKUP(F1410,'30Days-Baseline'!C:D,2,FALSE),0),"NotExist")</f>
        <v>NotExist</v>
      </c>
      <c r="D1410" t="str">
        <f t="shared" si="46"/>
        <v>New</v>
      </c>
      <c r="E1410" t="e">
        <f>VLOOKUP(A:A,Reviewed!B:C,2,0)</f>
        <v>#N/A</v>
      </c>
      <c r="F1410" t="str">
        <f t="shared" si="47"/>
        <v/>
      </c>
    </row>
    <row r="1411" spans="3:6" x14ac:dyDescent="0.35">
      <c r="C1411" t="str">
        <f>IFERROR(ROUNDUP(VLOOKUP(F1411,'30Days-Baseline'!C:D,2,FALSE),0),"NotExist")</f>
        <v>NotExist</v>
      </c>
      <c r="D1411" t="str">
        <f t="shared" si="46"/>
        <v>New</v>
      </c>
      <c r="E1411" t="e">
        <f>VLOOKUP(A:A,Reviewed!B:C,2,0)</f>
        <v>#N/A</v>
      </c>
      <c r="F1411" t="str">
        <f t="shared" si="47"/>
        <v/>
      </c>
    </row>
    <row r="1412" spans="3:6" x14ac:dyDescent="0.35">
      <c r="C1412" t="str">
        <f>IFERROR(ROUNDUP(VLOOKUP(F1412,'30Days-Baseline'!C:D,2,FALSE),0),"NotExist")</f>
        <v>NotExist</v>
      </c>
      <c r="D1412" t="str">
        <f t="shared" si="46"/>
        <v>New</v>
      </c>
      <c r="E1412" t="e">
        <f>VLOOKUP(A:A,Reviewed!B:C,2,0)</f>
        <v>#N/A</v>
      </c>
      <c r="F1412" t="str">
        <f t="shared" si="47"/>
        <v/>
      </c>
    </row>
    <row r="1413" spans="3:6" x14ac:dyDescent="0.35">
      <c r="C1413" t="str">
        <f>IFERROR(ROUNDUP(VLOOKUP(F1413,'30Days-Baseline'!C:D,2,FALSE),0),"NotExist")</f>
        <v>NotExist</v>
      </c>
      <c r="D1413" t="str">
        <f t="shared" si="46"/>
        <v>New</v>
      </c>
      <c r="E1413" t="e">
        <f>VLOOKUP(A:A,Reviewed!B:C,2,0)</f>
        <v>#N/A</v>
      </c>
      <c r="F1413" t="str">
        <f t="shared" si="47"/>
        <v/>
      </c>
    </row>
    <row r="1414" spans="3:6" x14ac:dyDescent="0.35">
      <c r="C1414" t="str">
        <f>IFERROR(ROUNDUP(VLOOKUP(F1414,'30Days-Baseline'!C:D,2,FALSE),0),"NotExist")</f>
        <v>NotExist</v>
      </c>
      <c r="D1414" t="str">
        <f t="shared" si="46"/>
        <v>New</v>
      </c>
      <c r="E1414" t="e">
        <f>VLOOKUP(A:A,Reviewed!B:C,2,0)</f>
        <v>#N/A</v>
      </c>
      <c r="F1414" t="str">
        <f t="shared" si="47"/>
        <v/>
      </c>
    </row>
    <row r="1415" spans="3:6" x14ac:dyDescent="0.35">
      <c r="C1415" t="str">
        <f>IFERROR(ROUNDUP(VLOOKUP(F1415,'30Days-Baseline'!C:D,2,FALSE),0),"NotExist")</f>
        <v>NotExist</v>
      </c>
      <c r="D1415" t="str">
        <f t="shared" si="46"/>
        <v>New</v>
      </c>
      <c r="E1415" t="e">
        <f>VLOOKUP(A:A,Reviewed!B:C,2,0)</f>
        <v>#N/A</v>
      </c>
      <c r="F1415" t="str">
        <f t="shared" si="47"/>
        <v/>
      </c>
    </row>
    <row r="1416" spans="3:6" x14ac:dyDescent="0.35">
      <c r="C1416" t="str">
        <f>IFERROR(ROUNDUP(VLOOKUP(F1416,'30Days-Baseline'!C:D,2,FALSE),0),"NotExist")</f>
        <v>NotExist</v>
      </c>
      <c r="D1416" t="str">
        <f t="shared" si="46"/>
        <v>New</v>
      </c>
      <c r="E1416" t="e">
        <f>VLOOKUP(A:A,Reviewed!B:C,2,0)</f>
        <v>#N/A</v>
      </c>
      <c r="F1416" t="str">
        <f t="shared" si="47"/>
        <v/>
      </c>
    </row>
    <row r="1417" spans="3:6" x14ac:dyDescent="0.35">
      <c r="C1417" t="str">
        <f>IFERROR(ROUNDUP(VLOOKUP(F1417,'30Days-Baseline'!C:D,2,FALSE),0),"NotExist")</f>
        <v>NotExist</v>
      </c>
      <c r="D1417" t="str">
        <f t="shared" si="46"/>
        <v>New</v>
      </c>
      <c r="E1417" t="e">
        <f>VLOOKUP(A:A,Reviewed!B:C,2,0)</f>
        <v>#N/A</v>
      </c>
      <c r="F1417" t="str">
        <f t="shared" si="47"/>
        <v/>
      </c>
    </row>
    <row r="1418" spans="3:6" x14ac:dyDescent="0.35">
      <c r="C1418" t="str">
        <f>IFERROR(ROUNDUP(VLOOKUP(F1418,'30Days-Baseline'!C:D,2,FALSE),0),"NotExist")</f>
        <v>NotExist</v>
      </c>
      <c r="D1418" t="str">
        <f t="shared" si="46"/>
        <v>New</v>
      </c>
      <c r="E1418" t="e">
        <f>VLOOKUP(A:A,Reviewed!B:C,2,0)</f>
        <v>#N/A</v>
      </c>
      <c r="F1418" t="str">
        <f t="shared" si="47"/>
        <v/>
      </c>
    </row>
    <row r="1419" spans="3:6" x14ac:dyDescent="0.35">
      <c r="C1419" t="str">
        <f>IFERROR(ROUNDUP(VLOOKUP(F1419,'30Days-Baseline'!C:D,2,FALSE),0),"NotExist")</f>
        <v>NotExist</v>
      </c>
      <c r="D1419" t="str">
        <f t="shared" si="46"/>
        <v>New</v>
      </c>
      <c r="E1419" t="e">
        <f>VLOOKUP(A:A,Reviewed!B:C,2,0)</f>
        <v>#N/A</v>
      </c>
      <c r="F1419" t="str">
        <f t="shared" si="47"/>
        <v/>
      </c>
    </row>
    <row r="1420" spans="3:6" x14ac:dyDescent="0.35">
      <c r="C1420" t="str">
        <f>IFERROR(ROUNDUP(VLOOKUP(F1420,'30Days-Baseline'!C:D,2,FALSE),0),"NotExist")</f>
        <v>NotExist</v>
      </c>
      <c r="D1420" t="str">
        <f t="shared" si="46"/>
        <v>New</v>
      </c>
      <c r="E1420" t="e">
        <f>VLOOKUP(A:A,Reviewed!B:C,2,0)</f>
        <v>#N/A</v>
      </c>
      <c r="F1420" t="str">
        <f t="shared" si="47"/>
        <v/>
      </c>
    </row>
    <row r="1421" spans="3:6" x14ac:dyDescent="0.35">
      <c r="C1421" t="str">
        <f>IFERROR(ROUNDUP(VLOOKUP(F1421,'30Days-Baseline'!C:D,2,FALSE),0),"NotExist")</f>
        <v>NotExist</v>
      </c>
      <c r="D1421" t="str">
        <f t="shared" si="46"/>
        <v>New</v>
      </c>
      <c r="E1421" t="e">
        <f>VLOOKUP(A:A,Reviewed!B:C,2,0)</f>
        <v>#N/A</v>
      </c>
      <c r="F1421" t="str">
        <f t="shared" si="47"/>
        <v/>
      </c>
    </row>
    <row r="1422" spans="3:6" x14ac:dyDescent="0.35">
      <c r="C1422" t="str">
        <f>IFERROR(ROUNDUP(VLOOKUP(F1422,'30Days-Baseline'!C:D,2,FALSE),0),"NotExist")</f>
        <v>NotExist</v>
      </c>
      <c r="D1422" t="str">
        <f t="shared" si="46"/>
        <v>New</v>
      </c>
      <c r="E1422" t="e">
        <f>VLOOKUP(A:A,Reviewed!B:C,2,0)</f>
        <v>#N/A</v>
      </c>
      <c r="F1422" t="str">
        <f t="shared" si="47"/>
        <v/>
      </c>
    </row>
    <row r="1423" spans="3:6" x14ac:dyDescent="0.35">
      <c r="C1423" t="str">
        <f>IFERROR(ROUNDUP(VLOOKUP(F1423,'30Days-Baseline'!C:D,2,FALSE),0),"NotExist")</f>
        <v>NotExist</v>
      </c>
      <c r="D1423" t="str">
        <f t="shared" si="46"/>
        <v>New</v>
      </c>
      <c r="E1423" t="e">
        <f>VLOOKUP(A:A,Reviewed!B:C,2,0)</f>
        <v>#N/A</v>
      </c>
      <c r="F1423" t="str">
        <f t="shared" si="47"/>
        <v/>
      </c>
    </row>
    <row r="1424" spans="3:6" x14ac:dyDescent="0.35">
      <c r="C1424" t="str">
        <f>IFERROR(ROUNDUP(VLOOKUP(F1424,'30Days-Baseline'!C:D,2,FALSE),0),"NotExist")</f>
        <v>NotExist</v>
      </c>
      <c r="D1424" t="str">
        <f t="shared" si="46"/>
        <v>New</v>
      </c>
      <c r="E1424" t="e">
        <f>VLOOKUP(A:A,Reviewed!B:C,2,0)</f>
        <v>#N/A</v>
      </c>
      <c r="F1424" t="str">
        <f t="shared" si="47"/>
        <v/>
      </c>
    </row>
    <row r="1425" spans="3:6" x14ac:dyDescent="0.35">
      <c r="C1425" t="str">
        <f>IFERROR(ROUNDUP(VLOOKUP(F1425,'30Days-Baseline'!C:D,2,FALSE),0),"NotExist")</f>
        <v>NotExist</v>
      </c>
      <c r="D1425" t="str">
        <f t="shared" si="46"/>
        <v>New</v>
      </c>
      <c r="E1425" t="e">
        <f>VLOOKUP(A:A,Reviewed!B:C,2,0)</f>
        <v>#N/A</v>
      </c>
      <c r="F1425" t="str">
        <f t="shared" si="47"/>
        <v/>
      </c>
    </row>
    <row r="1426" spans="3:6" x14ac:dyDescent="0.35">
      <c r="C1426" t="str">
        <f>IFERROR(ROUNDUP(VLOOKUP(F1426,'30Days-Baseline'!C:D,2,FALSE),0),"NotExist")</f>
        <v>NotExist</v>
      </c>
      <c r="D1426" t="str">
        <f t="shared" si="46"/>
        <v>New</v>
      </c>
      <c r="E1426" t="e">
        <f>VLOOKUP(A:A,Reviewed!B:C,2,0)</f>
        <v>#N/A</v>
      </c>
      <c r="F1426" t="str">
        <f t="shared" si="47"/>
        <v/>
      </c>
    </row>
    <row r="1427" spans="3:6" x14ac:dyDescent="0.35">
      <c r="C1427" t="str">
        <f>IFERROR(ROUNDUP(VLOOKUP(F1427,'30Days-Baseline'!C:D,2,FALSE),0),"NotExist")</f>
        <v>NotExist</v>
      </c>
      <c r="D1427" t="str">
        <f t="shared" ref="D1427:D1490" si="48">IFERROR(IF(B1427&gt;ROUNDUP(C1427,0),"Elevated","Ok"),"New")</f>
        <v>New</v>
      </c>
      <c r="E1427" t="e">
        <f>VLOOKUP(A:A,Reviewed!B:C,2,0)</f>
        <v>#N/A</v>
      </c>
      <c r="F1427" t="str">
        <f t="shared" ref="F1427:F1490" si="49">LEFT(A1427,255)</f>
        <v/>
      </c>
    </row>
    <row r="1428" spans="3:6" x14ac:dyDescent="0.35">
      <c r="C1428" t="str">
        <f>IFERROR(ROUNDUP(VLOOKUP(F1428,'30Days-Baseline'!C:D,2,FALSE),0),"NotExist")</f>
        <v>NotExist</v>
      </c>
      <c r="D1428" t="str">
        <f t="shared" si="48"/>
        <v>New</v>
      </c>
      <c r="E1428" t="e">
        <f>VLOOKUP(A:A,Reviewed!B:C,2,0)</f>
        <v>#N/A</v>
      </c>
      <c r="F1428" t="str">
        <f t="shared" si="49"/>
        <v/>
      </c>
    </row>
    <row r="1429" spans="3:6" x14ac:dyDescent="0.35">
      <c r="C1429" t="str">
        <f>IFERROR(ROUNDUP(VLOOKUP(F1429,'30Days-Baseline'!C:D,2,FALSE),0),"NotExist")</f>
        <v>NotExist</v>
      </c>
      <c r="D1429" t="str">
        <f t="shared" si="48"/>
        <v>New</v>
      </c>
      <c r="E1429" t="e">
        <f>VLOOKUP(A:A,Reviewed!B:C,2,0)</f>
        <v>#N/A</v>
      </c>
      <c r="F1429" t="str">
        <f t="shared" si="49"/>
        <v/>
      </c>
    </row>
    <row r="1430" spans="3:6" x14ac:dyDescent="0.35">
      <c r="C1430" t="str">
        <f>IFERROR(ROUNDUP(VLOOKUP(F1430,'30Days-Baseline'!C:D,2,FALSE),0),"NotExist")</f>
        <v>NotExist</v>
      </c>
      <c r="D1430" t="str">
        <f t="shared" si="48"/>
        <v>New</v>
      </c>
      <c r="E1430" t="e">
        <f>VLOOKUP(A:A,Reviewed!B:C,2,0)</f>
        <v>#N/A</v>
      </c>
      <c r="F1430" t="str">
        <f t="shared" si="49"/>
        <v/>
      </c>
    </row>
    <row r="1431" spans="3:6" x14ac:dyDescent="0.35">
      <c r="C1431" t="str">
        <f>IFERROR(ROUNDUP(VLOOKUP(F1431,'30Days-Baseline'!C:D,2,FALSE),0),"NotExist")</f>
        <v>NotExist</v>
      </c>
      <c r="D1431" t="str">
        <f t="shared" si="48"/>
        <v>New</v>
      </c>
      <c r="E1431" t="e">
        <f>VLOOKUP(A:A,Reviewed!B:C,2,0)</f>
        <v>#N/A</v>
      </c>
      <c r="F1431" t="str">
        <f t="shared" si="49"/>
        <v/>
      </c>
    </row>
    <row r="1432" spans="3:6" x14ac:dyDescent="0.35">
      <c r="C1432" t="str">
        <f>IFERROR(ROUNDUP(VLOOKUP(F1432,'30Days-Baseline'!C:D,2,FALSE),0),"NotExist")</f>
        <v>NotExist</v>
      </c>
      <c r="D1432" t="str">
        <f t="shared" si="48"/>
        <v>New</v>
      </c>
      <c r="E1432" t="e">
        <f>VLOOKUP(A:A,Reviewed!B:C,2,0)</f>
        <v>#N/A</v>
      </c>
      <c r="F1432" t="str">
        <f t="shared" si="49"/>
        <v/>
      </c>
    </row>
    <row r="1433" spans="3:6" x14ac:dyDescent="0.35">
      <c r="C1433" t="str">
        <f>IFERROR(ROUNDUP(VLOOKUP(F1433,'30Days-Baseline'!C:D,2,FALSE),0),"NotExist")</f>
        <v>NotExist</v>
      </c>
      <c r="D1433" t="str">
        <f t="shared" si="48"/>
        <v>New</v>
      </c>
      <c r="E1433" t="e">
        <f>VLOOKUP(A:A,Reviewed!B:C,2,0)</f>
        <v>#N/A</v>
      </c>
      <c r="F1433" t="str">
        <f t="shared" si="49"/>
        <v/>
      </c>
    </row>
    <row r="1434" spans="3:6" x14ac:dyDescent="0.35">
      <c r="C1434" t="str">
        <f>IFERROR(ROUNDUP(VLOOKUP(F1434,'30Days-Baseline'!C:D,2,FALSE),0),"NotExist")</f>
        <v>NotExist</v>
      </c>
      <c r="D1434" t="str">
        <f t="shared" si="48"/>
        <v>New</v>
      </c>
      <c r="E1434" t="e">
        <f>VLOOKUP(A:A,Reviewed!B:C,2,0)</f>
        <v>#N/A</v>
      </c>
      <c r="F1434" t="str">
        <f t="shared" si="49"/>
        <v/>
      </c>
    </row>
    <row r="1435" spans="3:6" x14ac:dyDescent="0.35">
      <c r="C1435" t="str">
        <f>IFERROR(ROUNDUP(VLOOKUP(F1435,'30Days-Baseline'!C:D,2,FALSE),0),"NotExist")</f>
        <v>NotExist</v>
      </c>
      <c r="D1435" t="str">
        <f t="shared" si="48"/>
        <v>New</v>
      </c>
      <c r="E1435" t="e">
        <f>VLOOKUP(A:A,Reviewed!B:C,2,0)</f>
        <v>#N/A</v>
      </c>
      <c r="F1435" t="str">
        <f t="shared" si="49"/>
        <v/>
      </c>
    </row>
    <row r="1436" spans="3:6" x14ac:dyDescent="0.35">
      <c r="C1436" t="str">
        <f>IFERROR(ROUNDUP(VLOOKUP(F1436,'30Days-Baseline'!C:D,2,FALSE),0),"NotExist")</f>
        <v>NotExist</v>
      </c>
      <c r="D1436" t="str">
        <f t="shared" si="48"/>
        <v>New</v>
      </c>
      <c r="E1436" t="e">
        <f>VLOOKUP(A:A,Reviewed!B:C,2,0)</f>
        <v>#N/A</v>
      </c>
      <c r="F1436" t="str">
        <f t="shared" si="49"/>
        <v/>
      </c>
    </row>
    <row r="1437" spans="3:6" x14ac:dyDescent="0.35">
      <c r="C1437" t="str">
        <f>IFERROR(ROUNDUP(VLOOKUP(F1437,'30Days-Baseline'!C:D,2,FALSE),0),"NotExist")</f>
        <v>NotExist</v>
      </c>
      <c r="D1437" t="str">
        <f t="shared" si="48"/>
        <v>New</v>
      </c>
      <c r="E1437" t="e">
        <f>VLOOKUP(A:A,Reviewed!B:C,2,0)</f>
        <v>#N/A</v>
      </c>
      <c r="F1437" t="str">
        <f t="shared" si="49"/>
        <v/>
      </c>
    </row>
    <row r="1438" spans="3:6" x14ac:dyDescent="0.35">
      <c r="C1438" t="str">
        <f>IFERROR(ROUNDUP(VLOOKUP(F1438,'30Days-Baseline'!C:D,2,FALSE),0),"NotExist")</f>
        <v>NotExist</v>
      </c>
      <c r="D1438" t="str">
        <f t="shared" si="48"/>
        <v>New</v>
      </c>
      <c r="E1438" t="e">
        <f>VLOOKUP(A:A,Reviewed!B:C,2,0)</f>
        <v>#N/A</v>
      </c>
      <c r="F1438" t="str">
        <f t="shared" si="49"/>
        <v/>
      </c>
    </row>
    <row r="1439" spans="3:6" x14ac:dyDescent="0.35">
      <c r="C1439" t="str">
        <f>IFERROR(ROUNDUP(VLOOKUP(F1439,'30Days-Baseline'!C:D,2,FALSE),0),"NotExist")</f>
        <v>NotExist</v>
      </c>
      <c r="D1439" t="str">
        <f t="shared" si="48"/>
        <v>New</v>
      </c>
      <c r="E1439" t="e">
        <f>VLOOKUP(A:A,Reviewed!B:C,2,0)</f>
        <v>#N/A</v>
      </c>
      <c r="F1439" t="str">
        <f t="shared" si="49"/>
        <v/>
      </c>
    </row>
    <row r="1440" spans="3:6" x14ac:dyDescent="0.35">
      <c r="C1440" t="str">
        <f>IFERROR(ROUNDUP(VLOOKUP(F1440,'30Days-Baseline'!C:D,2,FALSE),0),"NotExist")</f>
        <v>NotExist</v>
      </c>
      <c r="D1440" t="str">
        <f t="shared" si="48"/>
        <v>New</v>
      </c>
      <c r="E1440" t="e">
        <f>VLOOKUP(A:A,Reviewed!B:C,2,0)</f>
        <v>#N/A</v>
      </c>
      <c r="F1440" t="str">
        <f t="shared" si="49"/>
        <v/>
      </c>
    </row>
    <row r="1441" spans="3:6" x14ac:dyDescent="0.35">
      <c r="C1441" t="str">
        <f>IFERROR(ROUNDUP(VLOOKUP(F1441,'30Days-Baseline'!C:D,2,FALSE),0),"NotExist")</f>
        <v>NotExist</v>
      </c>
      <c r="D1441" t="str">
        <f t="shared" si="48"/>
        <v>New</v>
      </c>
      <c r="E1441" t="e">
        <f>VLOOKUP(A:A,Reviewed!B:C,2,0)</f>
        <v>#N/A</v>
      </c>
      <c r="F1441" t="str">
        <f t="shared" si="49"/>
        <v/>
      </c>
    </row>
    <row r="1442" spans="3:6" x14ac:dyDescent="0.35">
      <c r="C1442" t="str">
        <f>IFERROR(ROUNDUP(VLOOKUP(F1442,'30Days-Baseline'!C:D,2,FALSE),0),"NotExist")</f>
        <v>NotExist</v>
      </c>
      <c r="D1442" t="str">
        <f t="shared" si="48"/>
        <v>New</v>
      </c>
      <c r="E1442" t="e">
        <f>VLOOKUP(A:A,Reviewed!B:C,2,0)</f>
        <v>#N/A</v>
      </c>
      <c r="F1442" t="str">
        <f t="shared" si="49"/>
        <v/>
      </c>
    </row>
    <row r="1443" spans="3:6" x14ac:dyDescent="0.35">
      <c r="C1443" t="str">
        <f>IFERROR(ROUNDUP(VLOOKUP(F1443,'30Days-Baseline'!C:D,2,FALSE),0),"NotExist")</f>
        <v>NotExist</v>
      </c>
      <c r="D1443" t="str">
        <f t="shared" si="48"/>
        <v>New</v>
      </c>
      <c r="E1443" t="e">
        <f>VLOOKUP(A:A,Reviewed!B:C,2,0)</f>
        <v>#N/A</v>
      </c>
      <c r="F1443" t="str">
        <f t="shared" si="49"/>
        <v/>
      </c>
    </row>
    <row r="1444" spans="3:6" x14ac:dyDescent="0.35">
      <c r="C1444" t="str">
        <f>IFERROR(ROUNDUP(VLOOKUP(F1444,'30Days-Baseline'!C:D,2,FALSE),0),"NotExist")</f>
        <v>NotExist</v>
      </c>
      <c r="D1444" t="str">
        <f t="shared" si="48"/>
        <v>New</v>
      </c>
      <c r="E1444" t="e">
        <f>VLOOKUP(A:A,Reviewed!B:C,2,0)</f>
        <v>#N/A</v>
      </c>
      <c r="F1444" t="str">
        <f t="shared" si="49"/>
        <v/>
      </c>
    </row>
    <row r="1445" spans="3:6" x14ac:dyDescent="0.35">
      <c r="C1445" t="str">
        <f>IFERROR(ROUNDUP(VLOOKUP(F1445,'30Days-Baseline'!C:D,2,FALSE),0),"NotExist")</f>
        <v>NotExist</v>
      </c>
      <c r="D1445" t="str">
        <f t="shared" si="48"/>
        <v>New</v>
      </c>
      <c r="E1445" t="e">
        <f>VLOOKUP(A:A,Reviewed!B:C,2,0)</f>
        <v>#N/A</v>
      </c>
      <c r="F1445" t="str">
        <f t="shared" si="49"/>
        <v/>
      </c>
    </row>
    <row r="1446" spans="3:6" x14ac:dyDescent="0.35">
      <c r="C1446" t="str">
        <f>IFERROR(ROUNDUP(VLOOKUP(F1446,'30Days-Baseline'!C:D,2,FALSE),0),"NotExist")</f>
        <v>NotExist</v>
      </c>
      <c r="D1446" t="str">
        <f t="shared" si="48"/>
        <v>New</v>
      </c>
      <c r="E1446" t="e">
        <f>VLOOKUP(A:A,Reviewed!B:C,2,0)</f>
        <v>#N/A</v>
      </c>
      <c r="F1446" t="str">
        <f t="shared" si="49"/>
        <v/>
      </c>
    </row>
    <row r="1447" spans="3:6" x14ac:dyDescent="0.35">
      <c r="C1447" t="str">
        <f>IFERROR(ROUNDUP(VLOOKUP(F1447,'30Days-Baseline'!C:D,2,FALSE),0),"NotExist")</f>
        <v>NotExist</v>
      </c>
      <c r="D1447" t="str">
        <f t="shared" si="48"/>
        <v>New</v>
      </c>
      <c r="E1447" t="e">
        <f>VLOOKUP(A:A,Reviewed!B:C,2,0)</f>
        <v>#N/A</v>
      </c>
      <c r="F1447" t="str">
        <f t="shared" si="49"/>
        <v/>
      </c>
    </row>
    <row r="1448" spans="3:6" x14ac:dyDescent="0.35">
      <c r="C1448" t="str">
        <f>IFERROR(ROUNDUP(VLOOKUP(F1448,'30Days-Baseline'!C:D,2,FALSE),0),"NotExist")</f>
        <v>NotExist</v>
      </c>
      <c r="D1448" t="str">
        <f t="shared" si="48"/>
        <v>New</v>
      </c>
      <c r="E1448" t="e">
        <f>VLOOKUP(A:A,Reviewed!B:C,2,0)</f>
        <v>#N/A</v>
      </c>
      <c r="F1448" t="str">
        <f t="shared" si="49"/>
        <v/>
      </c>
    </row>
    <row r="1449" spans="3:6" x14ac:dyDescent="0.35">
      <c r="C1449" t="str">
        <f>IFERROR(ROUNDUP(VLOOKUP(F1449,'30Days-Baseline'!C:D,2,FALSE),0),"NotExist")</f>
        <v>NotExist</v>
      </c>
      <c r="D1449" t="str">
        <f t="shared" si="48"/>
        <v>New</v>
      </c>
      <c r="E1449" t="e">
        <f>VLOOKUP(A:A,Reviewed!B:C,2,0)</f>
        <v>#N/A</v>
      </c>
      <c r="F1449" t="str">
        <f t="shared" si="49"/>
        <v/>
      </c>
    </row>
    <row r="1450" spans="3:6" x14ac:dyDescent="0.35">
      <c r="C1450" t="str">
        <f>IFERROR(ROUNDUP(VLOOKUP(F1450,'30Days-Baseline'!C:D,2,FALSE),0),"NotExist")</f>
        <v>NotExist</v>
      </c>
      <c r="D1450" t="str">
        <f t="shared" si="48"/>
        <v>New</v>
      </c>
      <c r="E1450" t="e">
        <f>VLOOKUP(A:A,Reviewed!B:C,2,0)</f>
        <v>#N/A</v>
      </c>
      <c r="F1450" t="str">
        <f t="shared" si="49"/>
        <v/>
      </c>
    </row>
    <row r="1451" spans="3:6" x14ac:dyDescent="0.35">
      <c r="C1451" t="str">
        <f>IFERROR(ROUNDUP(VLOOKUP(F1451,'30Days-Baseline'!C:D,2,FALSE),0),"NotExist")</f>
        <v>NotExist</v>
      </c>
      <c r="D1451" t="str">
        <f t="shared" si="48"/>
        <v>New</v>
      </c>
      <c r="E1451" t="e">
        <f>VLOOKUP(A:A,Reviewed!B:C,2,0)</f>
        <v>#N/A</v>
      </c>
      <c r="F1451" t="str">
        <f t="shared" si="49"/>
        <v/>
      </c>
    </row>
    <row r="1452" spans="3:6" x14ac:dyDescent="0.35">
      <c r="C1452" t="str">
        <f>IFERROR(ROUNDUP(VLOOKUP(F1452,'30Days-Baseline'!C:D,2,FALSE),0),"NotExist")</f>
        <v>NotExist</v>
      </c>
      <c r="D1452" t="str">
        <f t="shared" si="48"/>
        <v>New</v>
      </c>
      <c r="E1452" t="e">
        <f>VLOOKUP(A:A,Reviewed!B:C,2,0)</f>
        <v>#N/A</v>
      </c>
      <c r="F1452" t="str">
        <f t="shared" si="49"/>
        <v/>
      </c>
    </row>
    <row r="1453" spans="3:6" x14ac:dyDescent="0.35">
      <c r="C1453" t="str">
        <f>IFERROR(ROUNDUP(VLOOKUP(F1453,'30Days-Baseline'!C:D,2,FALSE),0),"NotExist")</f>
        <v>NotExist</v>
      </c>
      <c r="D1453" t="str">
        <f t="shared" si="48"/>
        <v>New</v>
      </c>
      <c r="E1453" t="e">
        <f>VLOOKUP(A:A,Reviewed!B:C,2,0)</f>
        <v>#N/A</v>
      </c>
      <c r="F1453" t="str">
        <f t="shared" si="49"/>
        <v/>
      </c>
    </row>
    <row r="1454" spans="3:6" x14ac:dyDescent="0.35">
      <c r="C1454" t="str">
        <f>IFERROR(ROUNDUP(VLOOKUP(F1454,'30Days-Baseline'!C:D,2,FALSE),0),"NotExist")</f>
        <v>NotExist</v>
      </c>
      <c r="D1454" t="str">
        <f t="shared" si="48"/>
        <v>New</v>
      </c>
      <c r="E1454" t="e">
        <f>VLOOKUP(A:A,Reviewed!B:C,2,0)</f>
        <v>#N/A</v>
      </c>
      <c r="F1454" t="str">
        <f t="shared" si="49"/>
        <v/>
      </c>
    </row>
    <row r="1455" spans="3:6" x14ac:dyDescent="0.35">
      <c r="C1455" t="str">
        <f>IFERROR(ROUNDUP(VLOOKUP(F1455,'30Days-Baseline'!C:D,2,FALSE),0),"NotExist")</f>
        <v>NotExist</v>
      </c>
      <c r="D1455" t="str">
        <f t="shared" si="48"/>
        <v>New</v>
      </c>
      <c r="E1455" t="e">
        <f>VLOOKUP(A:A,Reviewed!B:C,2,0)</f>
        <v>#N/A</v>
      </c>
      <c r="F1455" t="str">
        <f t="shared" si="49"/>
        <v/>
      </c>
    </row>
    <row r="1456" spans="3:6" x14ac:dyDescent="0.35">
      <c r="C1456" t="str">
        <f>IFERROR(ROUNDUP(VLOOKUP(F1456,'30Days-Baseline'!C:D,2,FALSE),0),"NotExist")</f>
        <v>NotExist</v>
      </c>
      <c r="D1456" t="str">
        <f t="shared" si="48"/>
        <v>New</v>
      </c>
      <c r="E1456" t="e">
        <f>VLOOKUP(A:A,Reviewed!B:C,2,0)</f>
        <v>#N/A</v>
      </c>
      <c r="F1456" t="str">
        <f t="shared" si="49"/>
        <v/>
      </c>
    </row>
    <row r="1457" spans="3:6" x14ac:dyDescent="0.35">
      <c r="C1457" t="str">
        <f>IFERROR(ROUNDUP(VLOOKUP(F1457,'30Days-Baseline'!C:D,2,FALSE),0),"NotExist")</f>
        <v>NotExist</v>
      </c>
      <c r="D1457" t="str">
        <f t="shared" si="48"/>
        <v>New</v>
      </c>
      <c r="E1457" t="e">
        <f>VLOOKUP(A:A,Reviewed!B:C,2,0)</f>
        <v>#N/A</v>
      </c>
      <c r="F1457" t="str">
        <f t="shared" si="49"/>
        <v/>
      </c>
    </row>
    <row r="1458" spans="3:6" x14ac:dyDescent="0.35">
      <c r="C1458" t="str">
        <f>IFERROR(ROUNDUP(VLOOKUP(F1458,'30Days-Baseline'!C:D,2,FALSE),0),"NotExist")</f>
        <v>NotExist</v>
      </c>
      <c r="D1458" t="str">
        <f t="shared" si="48"/>
        <v>New</v>
      </c>
      <c r="E1458" t="e">
        <f>VLOOKUP(A:A,Reviewed!B:C,2,0)</f>
        <v>#N/A</v>
      </c>
      <c r="F1458" t="str">
        <f t="shared" si="49"/>
        <v/>
      </c>
    </row>
    <row r="1459" spans="3:6" x14ac:dyDescent="0.35">
      <c r="C1459" t="str">
        <f>IFERROR(ROUNDUP(VLOOKUP(F1459,'30Days-Baseline'!C:D,2,FALSE),0),"NotExist")</f>
        <v>NotExist</v>
      </c>
      <c r="D1459" t="str">
        <f t="shared" si="48"/>
        <v>New</v>
      </c>
      <c r="E1459" t="e">
        <f>VLOOKUP(A:A,Reviewed!B:C,2,0)</f>
        <v>#N/A</v>
      </c>
      <c r="F1459" t="str">
        <f t="shared" si="49"/>
        <v/>
      </c>
    </row>
    <row r="1460" spans="3:6" x14ac:dyDescent="0.35">
      <c r="C1460" t="str">
        <f>IFERROR(ROUNDUP(VLOOKUP(F1460,'30Days-Baseline'!C:D,2,FALSE),0),"NotExist")</f>
        <v>NotExist</v>
      </c>
      <c r="D1460" t="str">
        <f t="shared" si="48"/>
        <v>New</v>
      </c>
      <c r="E1460" t="e">
        <f>VLOOKUP(A:A,Reviewed!B:C,2,0)</f>
        <v>#N/A</v>
      </c>
      <c r="F1460" t="str">
        <f t="shared" si="49"/>
        <v/>
      </c>
    </row>
    <row r="1461" spans="3:6" x14ac:dyDescent="0.35">
      <c r="C1461" t="str">
        <f>IFERROR(ROUNDUP(VLOOKUP(F1461,'30Days-Baseline'!C:D,2,FALSE),0),"NotExist")</f>
        <v>NotExist</v>
      </c>
      <c r="D1461" t="str">
        <f t="shared" si="48"/>
        <v>New</v>
      </c>
      <c r="E1461" t="e">
        <f>VLOOKUP(A:A,Reviewed!B:C,2,0)</f>
        <v>#N/A</v>
      </c>
      <c r="F1461" t="str">
        <f t="shared" si="49"/>
        <v/>
      </c>
    </row>
    <row r="1462" spans="3:6" x14ac:dyDescent="0.35">
      <c r="C1462" t="str">
        <f>IFERROR(ROUNDUP(VLOOKUP(F1462,'30Days-Baseline'!C:D,2,FALSE),0),"NotExist")</f>
        <v>NotExist</v>
      </c>
      <c r="D1462" t="str">
        <f t="shared" si="48"/>
        <v>New</v>
      </c>
      <c r="E1462" t="e">
        <f>VLOOKUP(A:A,Reviewed!B:C,2,0)</f>
        <v>#N/A</v>
      </c>
      <c r="F1462" t="str">
        <f t="shared" si="49"/>
        <v/>
      </c>
    </row>
    <row r="1463" spans="3:6" x14ac:dyDescent="0.35">
      <c r="C1463" t="str">
        <f>IFERROR(ROUNDUP(VLOOKUP(F1463,'30Days-Baseline'!C:D,2,FALSE),0),"NotExist")</f>
        <v>NotExist</v>
      </c>
      <c r="D1463" t="str">
        <f t="shared" si="48"/>
        <v>New</v>
      </c>
      <c r="E1463" t="e">
        <f>VLOOKUP(A:A,Reviewed!B:C,2,0)</f>
        <v>#N/A</v>
      </c>
      <c r="F1463" t="str">
        <f t="shared" si="49"/>
        <v/>
      </c>
    </row>
    <row r="1464" spans="3:6" x14ac:dyDescent="0.35">
      <c r="C1464" t="str">
        <f>IFERROR(ROUNDUP(VLOOKUP(F1464,'30Days-Baseline'!C:D,2,FALSE),0),"NotExist")</f>
        <v>NotExist</v>
      </c>
      <c r="D1464" t="str">
        <f t="shared" si="48"/>
        <v>New</v>
      </c>
      <c r="E1464" t="e">
        <f>VLOOKUP(A:A,Reviewed!B:C,2,0)</f>
        <v>#N/A</v>
      </c>
      <c r="F1464" t="str">
        <f t="shared" si="49"/>
        <v/>
      </c>
    </row>
    <row r="1465" spans="3:6" x14ac:dyDescent="0.35">
      <c r="C1465" t="str">
        <f>IFERROR(ROUNDUP(VLOOKUP(F1465,'30Days-Baseline'!C:D,2,FALSE),0),"NotExist")</f>
        <v>NotExist</v>
      </c>
      <c r="D1465" t="str">
        <f t="shared" si="48"/>
        <v>New</v>
      </c>
      <c r="E1465" t="e">
        <f>VLOOKUP(A:A,Reviewed!B:C,2,0)</f>
        <v>#N/A</v>
      </c>
      <c r="F1465" t="str">
        <f t="shared" si="49"/>
        <v/>
      </c>
    </row>
    <row r="1466" spans="3:6" x14ac:dyDescent="0.35">
      <c r="C1466" t="str">
        <f>IFERROR(ROUNDUP(VLOOKUP(F1466,'30Days-Baseline'!C:D,2,FALSE),0),"NotExist")</f>
        <v>NotExist</v>
      </c>
      <c r="D1466" t="str">
        <f t="shared" si="48"/>
        <v>New</v>
      </c>
      <c r="E1466" t="e">
        <f>VLOOKUP(A:A,Reviewed!B:C,2,0)</f>
        <v>#N/A</v>
      </c>
      <c r="F1466" t="str">
        <f t="shared" si="49"/>
        <v/>
      </c>
    </row>
    <row r="1467" spans="3:6" x14ac:dyDescent="0.35">
      <c r="C1467" t="str">
        <f>IFERROR(ROUNDUP(VLOOKUP(F1467,'30Days-Baseline'!C:D,2,FALSE),0),"NotExist")</f>
        <v>NotExist</v>
      </c>
      <c r="D1467" t="str">
        <f t="shared" si="48"/>
        <v>New</v>
      </c>
      <c r="E1467" t="e">
        <f>VLOOKUP(A:A,Reviewed!B:C,2,0)</f>
        <v>#N/A</v>
      </c>
      <c r="F1467" t="str">
        <f t="shared" si="49"/>
        <v/>
      </c>
    </row>
    <row r="1468" spans="3:6" x14ac:dyDescent="0.35">
      <c r="C1468" t="str">
        <f>IFERROR(ROUNDUP(VLOOKUP(F1468,'30Days-Baseline'!C:D,2,FALSE),0),"NotExist")</f>
        <v>NotExist</v>
      </c>
      <c r="D1468" t="str">
        <f t="shared" si="48"/>
        <v>New</v>
      </c>
      <c r="E1468" t="e">
        <f>VLOOKUP(A:A,Reviewed!B:C,2,0)</f>
        <v>#N/A</v>
      </c>
      <c r="F1468" t="str">
        <f t="shared" si="49"/>
        <v/>
      </c>
    </row>
    <row r="1469" spans="3:6" x14ac:dyDescent="0.35">
      <c r="C1469" t="str">
        <f>IFERROR(ROUNDUP(VLOOKUP(F1469,'30Days-Baseline'!C:D,2,FALSE),0),"NotExist")</f>
        <v>NotExist</v>
      </c>
      <c r="D1469" t="str">
        <f t="shared" si="48"/>
        <v>New</v>
      </c>
      <c r="E1469" t="e">
        <f>VLOOKUP(A:A,Reviewed!B:C,2,0)</f>
        <v>#N/A</v>
      </c>
      <c r="F1469" t="str">
        <f t="shared" si="49"/>
        <v/>
      </c>
    </row>
    <row r="1470" spans="3:6" x14ac:dyDescent="0.35">
      <c r="C1470" t="str">
        <f>IFERROR(ROUNDUP(VLOOKUP(F1470,'30Days-Baseline'!C:D,2,FALSE),0),"NotExist")</f>
        <v>NotExist</v>
      </c>
      <c r="D1470" t="str">
        <f t="shared" si="48"/>
        <v>New</v>
      </c>
      <c r="E1470" t="e">
        <f>VLOOKUP(A:A,Reviewed!B:C,2,0)</f>
        <v>#N/A</v>
      </c>
      <c r="F1470" t="str">
        <f t="shared" si="49"/>
        <v/>
      </c>
    </row>
    <row r="1471" spans="3:6" x14ac:dyDescent="0.35">
      <c r="C1471" t="str">
        <f>IFERROR(ROUNDUP(VLOOKUP(F1471,'30Days-Baseline'!C:D,2,FALSE),0),"NotExist")</f>
        <v>NotExist</v>
      </c>
      <c r="D1471" t="str">
        <f t="shared" si="48"/>
        <v>New</v>
      </c>
      <c r="E1471" t="e">
        <f>VLOOKUP(A:A,Reviewed!B:C,2,0)</f>
        <v>#N/A</v>
      </c>
      <c r="F1471" t="str">
        <f t="shared" si="49"/>
        <v/>
      </c>
    </row>
    <row r="1472" spans="3:6" x14ac:dyDescent="0.35">
      <c r="C1472" t="str">
        <f>IFERROR(ROUNDUP(VLOOKUP(F1472,'30Days-Baseline'!C:D,2,FALSE),0),"NotExist")</f>
        <v>NotExist</v>
      </c>
      <c r="D1472" t="str">
        <f t="shared" si="48"/>
        <v>New</v>
      </c>
      <c r="E1472" t="e">
        <f>VLOOKUP(A:A,Reviewed!B:C,2,0)</f>
        <v>#N/A</v>
      </c>
      <c r="F1472" t="str">
        <f t="shared" si="49"/>
        <v/>
      </c>
    </row>
    <row r="1473" spans="3:6" x14ac:dyDescent="0.35">
      <c r="C1473" t="str">
        <f>IFERROR(ROUNDUP(VLOOKUP(F1473,'30Days-Baseline'!C:D,2,FALSE),0),"NotExist")</f>
        <v>NotExist</v>
      </c>
      <c r="D1473" t="str">
        <f t="shared" si="48"/>
        <v>New</v>
      </c>
      <c r="E1473" t="e">
        <f>VLOOKUP(A:A,Reviewed!B:C,2,0)</f>
        <v>#N/A</v>
      </c>
      <c r="F1473" t="str">
        <f t="shared" si="49"/>
        <v/>
      </c>
    </row>
    <row r="1474" spans="3:6" x14ac:dyDescent="0.35">
      <c r="C1474" t="str">
        <f>IFERROR(ROUNDUP(VLOOKUP(F1474,'30Days-Baseline'!C:D,2,FALSE),0),"NotExist")</f>
        <v>NotExist</v>
      </c>
      <c r="D1474" t="str">
        <f t="shared" si="48"/>
        <v>New</v>
      </c>
      <c r="E1474" t="e">
        <f>VLOOKUP(A:A,Reviewed!B:C,2,0)</f>
        <v>#N/A</v>
      </c>
      <c r="F1474" t="str">
        <f t="shared" si="49"/>
        <v/>
      </c>
    </row>
    <row r="1475" spans="3:6" x14ac:dyDescent="0.35">
      <c r="C1475" t="str">
        <f>IFERROR(ROUNDUP(VLOOKUP(F1475,'30Days-Baseline'!C:D,2,FALSE),0),"NotExist")</f>
        <v>NotExist</v>
      </c>
      <c r="D1475" t="str">
        <f t="shared" si="48"/>
        <v>New</v>
      </c>
      <c r="E1475" t="e">
        <f>VLOOKUP(A:A,Reviewed!B:C,2,0)</f>
        <v>#N/A</v>
      </c>
      <c r="F1475" t="str">
        <f t="shared" si="49"/>
        <v/>
      </c>
    </row>
    <row r="1476" spans="3:6" x14ac:dyDescent="0.35">
      <c r="C1476" t="str">
        <f>IFERROR(ROUNDUP(VLOOKUP(F1476,'30Days-Baseline'!C:D,2,FALSE),0),"NotExist")</f>
        <v>NotExist</v>
      </c>
      <c r="D1476" t="str">
        <f t="shared" si="48"/>
        <v>New</v>
      </c>
      <c r="E1476" t="e">
        <f>VLOOKUP(A:A,Reviewed!B:C,2,0)</f>
        <v>#N/A</v>
      </c>
      <c r="F1476" t="str">
        <f t="shared" si="49"/>
        <v/>
      </c>
    </row>
    <row r="1477" spans="3:6" x14ac:dyDescent="0.35">
      <c r="C1477" t="str">
        <f>IFERROR(ROUNDUP(VLOOKUP(F1477,'30Days-Baseline'!C:D,2,FALSE),0),"NotExist")</f>
        <v>NotExist</v>
      </c>
      <c r="D1477" t="str">
        <f t="shared" si="48"/>
        <v>New</v>
      </c>
      <c r="E1477" t="e">
        <f>VLOOKUP(A:A,Reviewed!B:C,2,0)</f>
        <v>#N/A</v>
      </c>
      <c r="F1477" t="str">
        <f t="shared" si="49"/>
        <v/>
      </c>
    </row>
    <row r="1478" spans="3:6" x14ac:dyDescent="0.35">
      <c r="C1478" t="str">
        <f>IFERROR(ROUNDUP(VLOOKUP(F1478,'30Days-Baseline'!C:D,2,FALSE),0),"NotExist")</f>
        <v>NotExist</v>
      </c>
      <c r="D1478" t="str">
        <f t="shared" si="48"/>
        <v>New</v>
      </c>
      <c r="E1478" t="e">
        <f>VLOOKUP(A:A,Reviewed!B:C,2,0)</f>
        <v>#N/A</v>
      </c>
      <c r="F1478" t="str">
        <f t="shared" si="49"/>
        <v/>
      </c>
    </row>
    <row r="1479" spans="3:6" x14ac:dyDescent="0.35">
      <c r="C1479" t="str">
        <f>IFERROR(ROUNDUP(VLOOKUP(F1479,'30Days-Baseline'!C:D,2,FALSE),0),"NotExist")</f>
        <v>NotExist</v>
      </c>
      <c r="D1479" t="str">
        <f t="shared" si="48"/>
        <v>New</v>
      </c>
      <c r="E1479" t="e">
        <f>VLOOKUP(A:A,Reviewed!B:C,2,0)</f>
        <v>#N/A</v>
      </c>
      <c r="F1479" t="str">
        <f t="shared" si="49"/>
        <v/>
      </c>
    </row>
    <row r="1480" spans="3:6" x14ac:dyDescent="0.35">
      <c r="C1480" t="str">
        <f>IFERROR(ROUNDUP(VLOOKUP(F1480,'30Days-Baseline'!C:D,2,FALSE),0),"NotExist")</f>
        <v>NotExist</v>
      </c>
      <c r="D1480" t="str">
        <f t="shared" si="48"/>
        <v>New</v>
      </c>
      <c r="E1480" t="e">
        <f>VLOOKUP(A:A,Reviewed!B:C,2,0)</f>
        <v>#N/A</v>
      </c>
      <c r="F1480" t="str">
        <f t="shared" si="49"/>
        <v/>
      </c>
    </row>
    <row r="1481" spans="3:6" x14ac:dyDescent="0.35">
      <c r="C1481" t="str">
        <f>IFERROR(ROUNDUP(VLOOKUP(F1481,'30Days-Baseline'!C:D,2,FALSE),0),"NotExist")</f>
        <v>NotExist</v>
      </c>
      <c r="D1481" t="str">
        <f t="shared" si="48"/>
        <v>New</v>
      </c>
      <c r="E1481" t="e">
        <f>VLOOKUP(A:A,Reviewed!B:C,2,0)</f>
        <v>#N/A</v>
      </c>
      <c r="F1481" t="str">
        <f t="shared" si="49"/>
        <v/>
      </c>
    </row>
    <row r="1482" spans="3:6" x14ac:dyDescent="0.35">
      <c r="C1482" t="str">
        <f>IFERROR(ROUNDUP(VLOOKUP(F1482,'30Days-Baseline'!C:D,2,FALSE),0),"NotExist")</f>
        <v>NotExist</v>
      </c>
      <c r="D1482" t="str">
        <f t="shared" si="48"/>
        <v>New</v>
      </c>
      <c r="E1482" t="e">
        <f>VLOOKUP(A:A,Reviewed!B:C,2,0)</f>
        <v>#N/A</v>
      </c>
      <c r="F1482" t="str">
        <f t="shared" si="49"/>
        <v/>
      </c>
    </row>
    <row r="1483" spans="3:6" x14ac:dyDescent="0.35">
      <c r="C1483" t="str">
        <f>IFERROR(ROUNDUP(VLOOKUP(F1483,'30Days-Baseline'!C:D,2,FALSE),0),"NotExist")</f>
        <v>NotExist</v>
      </c>
      <c r="D1483" t="str">
        <f t="shared" si="48"/>
        <v>New</v>
      </c>
      <c r="E1483" t="e">
        <f>VLOOKUP(A:A,Reviewed!B:C,2,0)</f>
        <v>#N/A</v>
      </c>
      <c r="F1483" t="str">
        <f t="shared" si="49"/>
        <v/>
      </c>
    </row>
    <row r="1484" spans="3:6" x14ac:dyDescent="0.35">
      <c r="C1484" t="str">
        <f>IFERROR(ROUNDUP(VLOOKUP(F1484,'30Days-Baseline'!C:D,2,FALSE),0),"NotExist")</f>
        <v>NotExist</v>
      </c>
      <c r="D1484" t="str">
        <f t="shared" si="48"/>
        <v>New</v>
      </c>
      <c r="E1484" t="e">
        <f>VLOOKUP(A:A,Reviewed!B:C,2,0)</f>
        <v>#N/A</v>
      </c>
      <c r="F1484" t="str">
        <f t="shared" si="49"/>
        <v/>
      </c>
    </row>
    <row r="1485" spans="3:6" x14ac:dyDescent="0.35">
      <c r="C1485" t="str">
        <f>IFERROR(ROUNDUP(VLOOKUP(F1485,'30Days-Baseline'!C:D,2,FALSE),0),"NotExist")</f>
        <v>NotExist</v>
      </c>
      <c r="D1485" t="str">
        <f t="shared" si="48"/>
        <v>New</v>
      </c>
      <c r="E1485" t="e">
        <f>VLOOKUP(A:A,Reviewed!B:C,2,0)</f>
        <v>#N/A</v>
      </c>
      <c r="F1485" t="str">
        <f t="shared" si="49"/>
        <v/>
      </c>
    </row>
    <row r="1486" spans="3:6" x14ac:dyDescent="0.35">
      <c r="C1486" t="str">
        <f>IFERROR(ROUNDUP(VLOOKUP(F1486,'30Days-Baseline'!C:D,2,FALSE),0),"NotExist")</f>
        <v>NotExist</v>
      </c>
      <c r="D1486" t="str">
        <f t="shared" si="48"/>
        <v>New</v>
      </c>
      <c r="E1486" t="e">
        <f>VLOOKUP(A:A,Reviewed!B:C,2,0)</f>
        <v>#N/A</v>
      </c>
      <c r="F1486" t="str">
        <f t="shared" si="49"/>
        <v/>
      </c>
    </row>
    <row r="1487" spans="3:6" x14ac:dyDescent="0.35">
      <c r="C1487" t="str">
        <f>IFERROR(ROUNDUP(VLOOKUP(F1487,'30Days-Baseline'!C:D,2,FALSE),0),"NotExist")</f>
        <v>NotExist</v>
      </c>
      <c r="D1487" t="str">
        <f t="shared" si="48"/>
        <v>New</v>
      </c>
      <c r="E1487" t="e">
        <f>VLOOKUP(A:A,Reviewed!B:C,2,0)</f>
        <v>#N/A</v>
      </c>
      <c r="F1487" t="str">
        <f t="shared" si="49"/>
        <v/>
      </c>
    </row>
    <row r="1488" spans="3:6" x14ac:dyDescent="0.35">
      <c r="C1488" t="str">
        <f>IFERROR(ROUNDUP(VLOOKUP(F1488,'30Days-Baseline'!C:D,2,FALSE),0),"NotExist")</f>
        <v>NotExist</v>
      </c>
      <c r="D1488" t="str">
        <f t="shared" si="48"/>
        <v>New</v>
      </c>
      <c r="E1488" t="e">
        <f>VLOOKUP(A:A,Reviewed!B:C,2,0)</f>
        <v>#N/A</v>
      </c>
      <c r="F1488" t="str">
        <f t="shared" si="49"/>
        <v/>
      </c>
    </row>
    <row r="1489" spans="1:6" x14ac:dyDescent="0.35">
      <c r="C1489" t="str">
        <f>IFERROR(ROUNDUP(VLOOKUP(F1489,'30Days-Baseline'!C:D,2,FALSE),0),"NotExist")</f>
        <v>NotExist</v>
      </c>
      <c r="D1489" t="str">
        <f t="shared" si="48"/>
        <v>New</v>
      </c>
      <c r="E1489" t="e">
        <f>VLOOKUP(A:A,Reviewed!B:C,2,0)</f>
        <v>#N/A</v>
      </c>
      <c r="F1489" t="str">
        <f t="shared" si="49"/>
        <v/>
      </c>
    </row>
    <row r="1490" spans="1:6" x14ac:dyDescent="0.35">
      <c r="C1490" t="str">
        <f>IFERROR(ROUNDUP(VLOOKUP(F1490,'30Days-Baseline'!C:D,2,FALSE),0),"NotExist")</f>
        <v>NotExist</v>
      </c>
      <c r="D1490" t="str">
        <f t="shared" si="48"/>
        <v>New</v>
      </c>
      <c r="E1490" t="e">
        <f>VLOOKUP(A:A,Reviewed!B:C,2,0)</f>
        <v>#N/A</v>
      </c>
      <c r="F1490" t="str">
        <f t="shared" si="49"/>
        <v/>
      </c>
    </row>
    <row r="1491" spans="1:6" x14ac:dyDescent="0.35">
      <c r="C1491" t="str">
        <f>IFERROR(ROUNDUP(VLOOKUP(F1491,'30Days-Baseline'!C:D,2,FALSE),0),"NotExist")</f>
        <v>NotExist</v>
      </c>
      <c r="D1491" t="str">
        <f t="shared" ref="D1491:D1554" si="50">IFERROR(IF(B1491&gt;ROUNDUP(C1491,0),"Elevated","Ok"),"New")</f>
        <v>New</v>
      </c>
      <c r="E1491" t="e">
        <f>VLOOKUP(A:A,Reviewed!B:C,2,0)</f>
        <v>#N/A</v>
      </c>
      <c r="F1491" t="str">
        <f t="shared" ref="F1491:F1554" si="51">LEFT(A1491,255)</f>
        <v/>
      </c>
    </row>
    <row r="1492" spans="1:6" x14ac:dyDescent="0.35">
      <c r="C1492" t="str">
        <f>IFERROR(ROUNDUP(VLOOKUP(F1492,'30Days-Baseline'!C:D,2,FALSE),0),"NotExist")</f>
        <v>NotExist</v>
      </c>
      <c r="D1492" t="str">
        <f t="shared" si="50"/>
        <v>New</v>
      </c>
      <c r="E1492" t="e">
        <f>VLOOKUP(A:A,Reviewed!B:C,2,0)</f>
        <v>#N/A</v>
      </c>
      <c r="F1492" t="str">
        <f t="shared" si="51"/>
        <v/>
      </c>
    </row>
    <row r="1493" spans="1:6" x14ac:dyDescent="0.35">
      <c r="C1493" t="str">
        <f>IFERROR(ROUNDUP(VLOOKUP(F1493,'30Days-Baseline'!C:D,2,FALSE),0),"NotExist")</f>
        <v>NotExist</v>
      </c>
      <c r="D1493" t="str">
        <f t="shared" si="50"/>
        <v>New</v>
      </c>
      <c r="E1493" t="e">
        <f>VLOOKUP(A:A,Reviewed!B:C,2,0)</f>
        <v>#N/A</v>
      </c>
      <c r="F1493" t="str">
        <f t="shared" si="51"/>
        <v/>
      </c>
    </row>
    <row r="1494" spans="1:6" x14ac:dyDescent="0.35">
      <c r="C1494" t="str">
        <f>IFERROR(ROUNDUP(VLOOKUP(F1494,'30Days-Baseline'!C:D,2,FALSE),0),"NotExist")</f>
        <v>NotExist</v>
      </c>
      <c r="D1494" t="str">
        <f t="shared" si="50"/>
        <v>New</v>
      </c>
      <c r="E1494" t="e">
        <f>VLOOKUP(A:A,Reviewed!B:C,2,0)</f>
        <v>#N/A</v>
      </c>
      <c r="F1494" t="str">
        <f t="shared" si="51"/>
        <v/>
      </c>
    </row>
    <row r="1495" spans="1:6" x14ac:dyDescent="0.35">
      <c r="C1495" t="str">
        <f>IFERROR(ROUNDUP(VLOOKUP(F1495,'30Days-Baseline'!C:D,2,FALSE),0),"NotExist")</f>
        <v>NotExist</v>
      </c>
      <c r="D1495" t="str">
        <f t="shared" si="50"/>
        <v>New</v>
      </c>
      <c r="E1495" t="e">
        <f>VLOOKUP(A:A,Reviewed!B:C,2,0)</f>
        <v>#N/A</v>
      </c>
      <c r="F1495" t="str">
        <f t="shared" si="51"/>
        <v/>
      </c>
    </row>
    <row r="1496" spans="1:6" x14ac:dyDescent="0.35">
      <c r="C1496" t="str">
        <f>IFERROR(ROUNDUP(VLOOKUP(F1496,'30Days-Baseline'!C:D,2,FALSE),0),"NotExist")</f>
        <v>NotExist</v>
      </c>
      <c r="D1496" t="str">
        <f t="shared" si="50"/>
        <v>New</v>
      </c>
      <c r="E1496" t="e">
        <f>VLOOKUP(A:A,Reviewed!B:C,2,0)</f>
        <v>#N/A</v>
      </c>
      <c r="F1496" t="str">
        <f t="shared" si="51"/>
        <v/>
      </c>
    </row>
    <row r="1497" spans="1:6" x14ac:dyDescent="0.35">
      <c r="C1497" t="str">
        <f>IFERROR(ROUNDUP(VLOOKUP(F1497,'30Days-Baseline'!C:D,2,FALSE),0),"NotExist")</f>
        <v>NotExist</v>
      </c>
      <c r="D1497" t="str">
        <f t="shared" si="50"/>
        <v>New</v>
      </c>
      <c r="E1497" t="e">
        <f>VLOOKUP(A:A,Reviewed!B:C,2,0)</f>
        <v>#N/A</v>
      </c>
      <c r="F1497" t="str">
        <f t="shared" si="51"/>
        <v/>
      </c>
    </row>
    <row r="1498" spans="1:6" x14ac:dyDescent="0.35">
      <c r="C1498" t="str">
        <f>IFERROR(ROUNDUP(VLOOKUP(F1498,'30Days-Baseline'!C:D,2,FALSE),0),"NotExist")</f>
        <v>NotExist</v>
      </c>
      <c r="D1498" t="str">
        <f t="shared" si="50"/>
        <v>New</v>
      </c>
      <c r="E1498" t="e">
        <f>VLOOKUP(A:A,Reviewed!B:C,2,0)</f>
        <v>#N/A</v>
      </c>
      <c r="F1498" t="str">
        <f t="shared" si="51"/>
        <v/>
      </c>
    </row>
    <row r="1499" spans="1:6" x14ac:dyDescent="0.35">
      <c r="C1499" t="str">
        <f>IFERROR(ROUNDUP(VLOOKUP(F1499,'30Days-Baseline'!C:D,2,FALSE),0),"NotExist")</f>
        <v>NotExist</v>
      </c>
      <c r="D1499" t="str">
        <f t="shared" si="50"/>
        <v>New</v>
      </c>
      <c r="E1499" t="e">
        <f>VLOOKUP(A:A,Reviewed!B:C,2,0)</f>
        <v>#N/A</v>
      </c>
      <c r="F1499" t="str">
        <f t="shared" si="51"/>
        <v/>
      </c>
    </row>
    <row r="1500" spans="1:6" x14ac:dyDescent="0.35">
      <c r="C1500" t="str">
        <f>IFERROR(ROUNDUP(VLOOKUP(F1500,'30Days-Baseline'!C:D,2,FALSE),0),"NotExist")</f>
        <v>NotExist</v>
      </c>
      <c r="D1500" t="str">
        <f t="shared" si="50"/>
        <v>New</v>
      </c>
      <c r="E1500" t="e">
        <f>VLOOKUP(A:A,Reviewed!B:C,2,0)</f>
        <v>#N/A</v>
      </c>
      <c r="F1500" t="str">
        <f t="shared" si="51"/>
        <v/>
      </c>
    </row>
    <row r="1501" spans="1:6" x14ac:dyDescent="0.35">
      <c r="A1501" s="4"/>
      <c r="C1501" t="str">
        <f>IFERROR(ROUNDUP(VLOOKUP(F1501,'30Days-Baseline'!C:D,2,FALSE),0),"NotExist")</f>
        <v>NotExist</v>
      </c>
      <c r="D1501" t="str">
        <f t="shared" si="50"/>
        <v>New</v>
      </c>
      <c r="E1501" t="e">
        <f>VLOOKUP(A:A,Reviewed!B:C,2,0)</f>
        <v>#N/A</v>
      </c>
      <c r="F1501" t="str">
        <f t="shared" si="51"/>
        <v/>
      </c>
    </row>
    <row r="1502" spans="1:6" x14ac:dyDescent="0.35">
      <c r="C1502" t="str">
        <f>IFERROR(ROUNDUP(VLOOKUP(F1502,'30Days-Baseline'!C:D,2,FALSE),0),"NotExist")</f>
        <v>NotExist</v>
      </c>
      <c r="D1502" t="str">
        <f t="shared" si="50"/>
        <v>New</v>
      </c>
      <c r="E1502" t="e">
        <f>VLOOKUP(A:A,Reviewed!B:C,2,0)</f>
        <v>#N/A</v>
      </c>
      <c r="F1502" t="str">
        <f t="shared" si="51"/>
        <v/>
      </c>
    </row>
    <row r="1503" spans="1:6" x14ac:dyDescent="0.35">
      <c r="C1503" t="str">
        <f>IFERROR(ROUNDUP(VLOOKUP(F1503,'30Days-Baseline'!C:D,2,FALSE),0),"NotExist")</f>
        <v>NotExist</v>
      </c>
      <c r="D1503" t="str">
        <f t="shared" si="50"/>
        <v>New</v>
      </c>
      <c r="E1503" t="e">
        <f>VLOOKUP(A:A,Reviewed!B:C,2,0)</f>
        <v>#N/A</v>
      </c>
      <c r="F1503" t="str">
        <f t="shared" si="51"/>
        <v/>
      </c>
    </row>
    <row r="1504" spans="1:6" x14ac:dyDescent="0.35">
      <c r="C1504" t="str">
        <f>IFERROR(ROUNDUP(VLOOKUP(F1504,'30Days-Baseline'!C:D,2,FALSE),0),"NotExist")</f>
        <v>NotExist</v>
      </c>
      <c r="D1504" t="str">
        <f t="shared" si="50"/>
        <v>New</v>
      </c>
      <c r="E1504" t="e">
        <f>VLOOKUP(A:A,Reviewed!B:C,2,0)</f>
        <v>#N/A</v>
      </c>
      <c r="F1504" t="str">
        <f t="shared" si="51"/>
        <v/>
      </c>
    </row>
    <row r="1505" spans="3:6" x14ac:dyDescent="0.35">
      <c r="C1505" t="str">
        <f>IFERROR(ROUNDUP(VLOOKUP(F1505,'30Days-Baseline'!C:D,2,FALSE),0),"NotExist")</f>
        <v>NotExist</v>
      </c>
      <c r="D1505" t="str">
        <f t="shared" si="50"/>
        <v>New</v>
      </c>
      <c r="E1505" t="e">
        <f>VLOOKUP(A:A,Reviewed!B:C,2,0)</f>
        <v>#N/A</v>
      </c>
      <c r="F1505" t="str">
        <f t="shared" si="51"/>
        <v/>
      </c>
    </row>
    <row r="1506" spans="3:6" x14ac:dyDescent="0.35">
      <c r="C1506" t="str">
        <f>IFERROR(ROUNDUP(VLOOKUP(F1506,'30Days-Baseline'!C:D,2,FALSE),0),"NotExist")</f>
        <v>NotExist</v>
      </c>
      <c r="D1506" t="str">
        <f t="shared" si="50"/>
        <v>New</v>
      </c>
      <c r="E1506" t="e">
        <f>VLOOKUP(A:A,Reviewed!B:C,2,0)</f>
        <v>#N/A</v>
      </c>
      <c r="F1506" t="str">
        <f t="shared" si="51"/>
        <v/>
      </c>
    </row>
    <row r="1507" spans="3:6" x14ac:dyDescent="0.35">
      <c r="C1507" t="str">
        <f>IFERROR(ROUNDUP(VLOOKUP(F1507,'30Days-Baseline'!C:D,2,FALSE),0),"NotExist")</f>
        <v>NotExist</v>
      </c>
      <c r="D1507" t="str">
        <f t="shared" si="50"/>
        <v>New</v>
      </c>
      <c r="E1507" t="e">
        <f>VLOOKUP(A:A,Reviewed!B:C,2,0)</f>
        <v>#N/A</v>
      </c>
      <c r="F1507" t="str">
        <f t="shared" si="51"/>
        <v/>
      </c>
    </row>
    <row r="1508" spans="3:6" x14ac:dyDescent="0.35">
      <c r="C1508" t="str">
        <f>IFERROR(ROUNDUP(VLOOKUP(F1508,'30Days-Baseline'!C:D,2,FALSE),0),"NotExist")</f>
        <v>NotExist</v>
      </c>
      <c r="D1508" t="str">
        <f t="shared" si="50"/>
        <v>New</v>
      </c>
      <c r="E1508" t="e">
        <f>VLOOKUP(A:A,Reviewed!B:C,2,0)</f>
        <v>#N/A</v>
      </c>
      <c r="F1508" t="str">
        <f t="shared" si="51"/>
        <v/>
      </c>
    </row>
    <row r="1509" spans="3:6" x14ac:dyDescent="0.35">
      <c r="C1509" t="str">
        <f>IFERROR(ROUNDUP(VLOOKUP(F1509,'30Days-Baseline'!C:D,2,FALSE),0),"NotExist")</f>
        <v>NotExist</v>
      </c>
      <c r="D1509" t="str">
        <f t="shared" si="50"/>
        <v>New</v>
      </c>
      <c r="E1509" t="e">
        <f>VLOOKUP(A:A,Reviewed!B:C,2,0)</f>
        <v>#N/A</v>
      </c>
      <c r="F1509" t="str">
        <f t="shared" si="51"/>
        <v/>
      </c>
    </row>
    <row r="1510" spans="3:6" x14ac:dyDescent="0.35">
      <c r="C1510" t="str">
        <f>IFERROR(ROUNDUP(VLOOKUP(F1510,'30Days-Baseline'!C:D,2,FALSE),0),"NotExist")</f>
        <v>NotExist</v>
      </c>
      <c r="D1510" t="str">
        <f t="shared" si="50"/>
        <v>New</v>
      </c>
      <c r="E1510" t="e">
        <f>VLOOKUP(A:A,Reviewed!B:C,2,0)</f>
        <v>#N/A</v>
      </c>
      <c r="F1510" t="str">
        <f t="shared" si="51"/>
        <v/>
      </c>
    </row>
    <row r="1511" spans="3:6" x14ac:dyDescent="0.35">
      <c r="C1511" t="str">
        <f>IFERROR(ROUNDUP(VLOOKUP(F1511,'30Days-Baseline'!C:D,2,FALSE),0),"NotExist")</f>
        <v>NotExist</v>
      </c>
      <c r="D1511" t="str">
        <f t="shared" si="50"/>
        <v>New</v>
      </c>
      <c r="E1511" t="e">
        <f>VLOOKUP(A:A,Reviewed!B:C,2,0)</f>
        <v>#N/A</v>
      </c>
      <c r="F1511" t="str">
        <f t="shared" si="51"/>
        <v/>
      </c>
    </row>
    <row r="1512" spans="3:6" x14ac:dyDescent="0.35">
      <c r="C1512" t="str">
        <f>IFERROR(ROUNDUP(VLOOKUP(F1512,'30Days-Baseline'!C:D,2,FALSE),0),"NotExist")</f>
        <v>NotExist</v>
      </c>
      <c r="D1512" t="str">
        <f t="shared" si="50"/>
        <v>New</v>
      </c>
      <c r="E1512" t="e">
        <f>VLOOKUP(A:A,Reviewed!B:C,2,0)</f>
        <v>#N/A</v>
      </c>
      <c r="F1512" t="str">
        <f t="shared" si="51"/>
        <v/>
      </c>
    </row>
    <row r="1513" spans="3:6" x14ac:dyDescent="0.35">
      <c r="C1513" t="str">
        <f>IFERROR(ROUNDUP(VLOOKUP(F1513,'30Days-Baseline'!C:D,2,FALSE),0),"NotExist")</f>
        <v>NotExist</v>
      </c>
      <c r="D1513" t="str">
        <f t="shared" si="50"/>
        <v>New</v>
      </c>
      <c r="E1513" t="e">
        <f>VLOOKUP(A:A,Reviewed!B:C,2,0)</f>
        <v>#N/A</v>
      </c>
      <c r="F1513" t="str">
        <f t="shared" si="51"/>
        <v/>
      </c>
    </row>
    <row r="1514" spans="3:6" x14ac:dyDescent="0.35">
      <c r="C1514" t="str">
        <f>IFERROR(ROUNDUP(VLOOKUP(F1514,'30Days-Baseline'!C:D,2,FALSE),0),"NotExist")</f>
        <v>NotExist</v>
      </c>
      <c r="D1514" t="str">
        <f t="shared" si="50"/>
        <v>New</v>
      </c>
      <c r="E1514" t="e">
        <f>VLOOKUP(A:A,Reviewed!B:C,2,0)</f>
        <v>#N/A</v>
      </c>
      <c r="F1514" t="str">
        <f t="shared" si="51"/>
        <v/>
      </c>
    </row>
    <row r="1515" spans="3:6" x14ac:dyDescent="0.35">
      <c r="C1515" t="str">
        <f>IFERROR(ROUNDUP(VLOOKUP(F1515,'30Days-Baseline'!C:D,2,FALSE),0),"NotExist")</f>
        <v>NotExist</v>
      </c>
      <c r="D1515" t="str">
        <f t="shared" si="50"/>
        <v>New</v>
      </c>
      <c r="E1515" t="e">
        <f>VLOOKUP(A:A,Reviewed!B:C,2,0)</f>
        <v>#N/A</v>
      </c>
      <c r="F1515" t="str">
        <f t="shared" si="51"/>
        <v/>
      </c>
    </row>
    <row r="1516" spans="3:6" x14ac:dyDescent="0.35">
      <c r="C1516" t="str">
        <f>IFERROR(ROUNDUP(VLOOKUP(F1516,'30Days-Baseline'!C:D,2,FALSE),0),"NotExist")</f>
        <v>NotExist</v>
      </c>
      <c r="D1516" t="str">
        <f t="shared" si="50"/>
        <v>New</v>
      </c>
      <c r="E1516" t="e">
        <f>VLOOKUP(A:A,Reviewed!B:C,2,0)</f>
        <v>#N/A</v>
      </c>
      <c r="F1516" t="str">
        <f t="shared" si="51"/>
        <v/>
      </c>
    </row>
    <row r="1517" spans="3:6" x14ac:dyDescent="0.35">
      <c r="C1517" t="str">
        <f>IFERROR(ROUNDUP(VLOOKUP(F1517,'30Days-Baseline'!C:D,2,FALSE),0),"NotExist")</f>
        <v>NotExist</v>
      </c>
      <c r="D1517" t="str">
        <f t="shared" si="50"/>
        <v>New</v>
      </c>
      <c r="E1517" t="e">
        <f>VLOOKUP(A:A,Reviewed!B:C,2,0)</f>
        <v>#N/A</v>
      </c>
      <c r="F1517" t="str">
        <f t="shared" si="51"/>
        <v/>
      </c>
    </row>
    <row r="1518" spans="3:6" x14ac:dyDescent="0.35">
      <c r="C1518" t="str">
        <f>IFERROR(ROUNDUP(VLOOKUP(F1518,'30Days-Baseline'!C:D,2,FALSE),0),"NotExist")</f>
        <v>NotExist</v>
      </c>
      <c r="D1518" t="str">
        <f t="shared" si="50"/>
        <v>New</v>
      </c>
      <c r="E1518" t="e">
        <f>VLOOKUP(A:A,Reviewed!B:C,2,0)</f>
        <v>#N/A</v>
      </c>
      <c r="F1518" t="str">
        <f t="shared" si="51"/>
        <v/>
      </c>
    </row>
    <row r="1519" spans="3:6" x14ac:dyDescent="0.35">
      <c r="C1519" t="str">
        <f>IFERROR(ROUNDUP(VLOOKUP(F1519,'30Days-Baseline'!C:D,2,FALSE),0),"NotExist")</f>
        <v>NotExist</v>
      </c>
      <c r="D1519" t="str">
        <f t="shared" si="50"/>
        <v>New</v>
      </c>
      <c r="E1519" t="e">
        <f>VLOOKUP(A:A,Reviewed!B:C,2,0)</f>
        <v>#N/A</v>
      </c>
      <c r="F1519" t="str">
        <f t="shared" si="51"/>
        <v/>
      </c>
    </row>
    <row r="1520" spans="3:6" x14ac:dyDescent="0.35">
      <c r="C1520" t="str">
        <f>IFERROR(ROUNDUP(VLOOKUP(F1520,'30Days-Baseline'!C:D,2,FALSE),0),"NotExist")</f>
        <v>NotExist</v>
      </c>
      <c r="D1520" t="str">
        <f t="shared" si="50"/>
        <v>New</v>
      </c>
      <c r="E1520" t="e">
        <f>VLOOKUP(A:A,Reviewed!B:C,2,0)</f>
        <v>#N/A</v>
      </c>
      <c r="F1520" t="str">
        <f t="shared" si="51"/>
        <v/>
      </c>
    </row>
    <row r="1521" spans="3:6" x14ac:dyDescent="0.35">
      <c r="C1521" t="str">
        <f>IFERROR(ROUNDUP(VLOOKUP(F1521,'30Days-Baseline'!C:D,2,FALSE),0),"NotExist")</f>
        <v>NotExist</v>
      </c>
      <c r="D1521" t="str">
        <f t="shared" si="50"/>
        <v>New</v>
      </c>
      <c r="E1521" t="e">
        <f>VLOOKUP(A:A,Reviewed!B:C,2,0)</f>
        <v>#N/A</v>
      </c>
      <c r="F1521" t="str">
        <f t="shared" si="51"/>
        <v/>
      </c>
    </row>
    <row r="1522" spans="3:6" x14ac:dyDescent="0.35">
      <c r="C1522" t="str">
        <f>IFERROR(ROUNDUP(VLOOKUP(F1522,'30Days-Baseline'!C:D,2,FALSE),0),"NotExist")</f>
        <v>NotExist</v>
      </c>
      <c r="D1522" t="str">
        <f t="shared" si="50"/>
        <v>New</v>
      </c>
      <c r="E1522" t="e">
        <f>VLOOKUP(A:A,Reviewed!B:C,2,0)</f>
        <v>#N/A</v>
      </c>
      <c r="F1522" t="str">
        <f t="shared" si="51"/>
        <v/>
      </c>
    </row>
    <row r="1523" spans="3:6" x14ac:dyDescent="0.35">
      <c r="C1523" t="str">
        <f>IFERROR(ROUNDUP(VLOOKUP(F1523,'30Days-Baseline'!C:D,2,FALSE),0),"NotExist")</f>
        <v>NotExist</v>
      </c>
      <c r="D1523" t="str">
        <f t="shared" si="50"/>
        <v>New</v>
      </c>
      <c r="E1523" t="e">
        <f>VLOOKUP(A:A,Reviewed!B:C,2,0)</f>
        <v>#N/A</v>
      </c>
      <c r="F1523" t="str">
        <f t="shared" si="51"/>
        <v/>
      </c>
    </row>
    <row r="1524" spans="3:6" x14ac:dyDescent="0.35">
      <c r="C1524" t="str">
        <f>IFERROR(ROUNDUP(VLOOKUP(F1524,'30Days-Baseline'!C:D,2,FALSE),0),"NotExist")</f>
        <v>NotExist</v>
      </c>
      <c r="D1524" t="str">
        <f t="shared" si="50"/>
        <v>New</v>
      </c>
      <c r="E1524" t="e">
        <f>VLOOKUP(A:A,Reviewed!B:C,2,0)</f>
        <v>#N/A</v>
      </c>
      <c r="F1524" t="str">
        <f t="shared" si="51"/>
        <v/>
      </c>
    </row>
    <row r="1525" spans="3:6" x14ac:dyDescent="0.35">
      <c r="C1525" t="str">
        <f>IFERROR(ROUNDUP(VLOOKUP(F1525,'30Days-Baseline'!C:D,2,FALSE),0),"NotExist")</f>
        <v>NotExist</v>
      </c>
      <c r="D1525" t="str">
        <f t="shared" si="50"/>
        <v>New</v>
      </c>
      <c r="E1525" t="e">
        <f>VLOOKUP(A:A,Reviewed!B:C,2,0)</f>
        <v>#N/A</v>
      </c>
      <c r="F1525" t="str">
        <f t="shared" si="51"/>
        <v/>
      </c>
    </row>
    <row r="1526" spans="3:6" x14ac:dyDescent="0.35">
      <c r="C1526" t="str">
        <f>IFERROR(ROUNDUP(VLOOKUP(F1526,'30Days-Baseline'!C:D,2,FALSE),0),"NotExist")</f>
        <v>NotExist</v>
      </c>
      <c r="D1526" t="str">
        <f t="shared" si="50"/>
        <v>New</v>
      </c>
      <c r="E1526" t="e">
        <f>VLOOKUP(A:A,Reviewed!B:C,2,0)</f>
        <v>#N/A</v>
      </c>
      <c r="F1526" t="str">
        <f t="shared" si="51"/>
        <v/>
      </c>
    </row>
    <row r="1527" spans="3:6" x14ac:dyDescent="0.35">
      <c r="C1527" t="str">
        <f>IFERROR(ROUNDUP(VLOOKUP(F1527,'30Days-Baseline'!C:D,2,FALSE),0),"NotExist")</f>
        <v>NotExist</v>
      </c>
      <c r="D1527" t="str">
        <f t="shared" si="50"/>
        <v>New</v>
      </c>
      <c r="E1527" t="e">
        <f>VLOOKUP(A:A,Reviewed!B:C,2,0)</f>
        <v>#N/A</v>
      </c>
      <c r="F1527" t="str">
        <f t="shared" si="51"/>
        <v/>
      </c>
    </row>
    <row r="1528" spans="3:6" x14ac:dyDescent="0.35">
      <c r="C1528" t="str">
        <f>IFERROR(ROUNDUP(VLOOKUP(F1528,'30Days-Baseline'!C:D,2,FALSE),0),"NotExist")</f>
        <v>NotExist</v>
      </c>
      <c r="D1528" t="str">
        <f t="shared" si="50"/>
        <v>New</v>
      </c>
      <c r="E1528" t="e">
        <f>VLOOKUP(A:A,Reviewed!B:C,2,0)</f>
        <v>#N/A</v>
      </c>
      <c r="F1528" t="str">
        <f t="shared" si="51"/>
        <v/>
      </c>
    </row>
    <row r="1529" spans="3:6" x14ac:dyDescent="0.35">
      <c r="C1529" t="str">
        <f>IFERROR(ROUNDUP(VLOOKUP(F1529,'30Days-Baseline'!C:D,2,FALSE),0),"NotExist")</f>
        <v>NotExist</v>
      </c>
      <c r="D1529" t="str">
        <f t="shared" si="50"/>
        <v>New</v>
      </c>
      <c r="E1529" t="e">
        <f>VLOOKUP(A:A,Reviewed!B:C,2,0)</f>
        <v>#N/A</v>
      </c>
      <c r="F1529" t="str">
        <f t="shared" si="51"/>
        <v/>
      </c>
    </row>
    <row r="1530" spans="3:6" x14ac:dyDescent="0.35">
      <c r="C1530" t="str">
        <f>IFERROR(ROUNDUP(VLOOKUP(F1530,'30Days-Baseline'!C:D,2,FALSE),0),"NotExist")</f>
        <v>NotExist</v>
      </c>
      <c r="D1530" t="str">
        <f t="shared" si="50"/>
        <v>New</v>
      </c>
      <c r="E1530" t="e">
        <f>VLOOKUP(A:A,Reviewed!B:C,2,0)</f>
        <v>#N/A</v>
      </c>
      <c r="F1530" t="str">
        <f t="shared" si="51"/>
        <v/>
      </c>
    </row>
    <row r="1531" spans="3:6" x14ac:dyDescent="0.35">
      <c r="C1531" t="str">
        <f>IFERROR(ROUNDUP(VLOOKUP(F1531,'30Days-Baseline'!C:D,2,FALSE),0),"NotExist")</f>
        <v>NotExist</v>
      </c>
      <c r="D1531" t="str">
        <f t="shared" si="50"/>
        <v>New</v>
      </c>
      <c r="E1531" t="e">
        <f>VLOOKUP(A:A,Reviewed!B:C,2,0)</f>
        <v>#N/A</v>
      </c>
      <c r="F1531" t="str">
        <f t="shared" si="51"/>
        <v/>
      </c>
    </row>
    <row r="1532" spans="3:6" x14ac:dyDescent="0.35">
      <c r="C1532" t="str">
        <f>IFERROR(ROUNDUP(VLOOKUP(F1532,'30Days-Baseline'!C:D,2,FALSE),0),"NotExist")</f>
        <v>NotExist</v>
      </c>
      <c r="D1532" t="str">
        <f t="shared" si="50"/>
        <v>New</v>
      </c>
      <c r="E1532" t="e">
        <f>VLOOKUP(A:A,Reviewed!B:C,2,0)</f>
        <v>#N/A</v>
      </c>
      <c r="F1532" t="str">
        <f t="shared" si="51"/>
        <v/>
      </c>
    </row>
    <row r="1533" spans="3:6" x14ac:dyDescent="0.35">
      <c r="C1533" t="str">
        <f>IFERROR(ROUNDUP(VLOOKUP(F1533,'30Days-Baseline'!C:D,2,FALSE),0),"NotExist")</f>
        <v>NotExist</v>
      </c>
      <c r="D1533" t="str">
        <f t="shared" si="50"/>
        <v>New</v>
      </c>
      <c r="E1533" t="e">
        <f>VLOOKUP(A:A,Reviewed!B:C,2,0)</f>
        <v>#N/A</v>
      </c>
      <c r="F1533" t="str">
        <f t="shared" si="51"/>
        <v/>
      </c>
    </row>
    <row r="1534" spans="3:6" x14ac:dyDescent="0.35">
      <c r="C1534" t="str">
        <f>IFERROR(ROUNDUP(VLOOKUP(F1534,'30Days-Baseline'!C:D,2,FALSE),0),"NotExist")</f>
        <v>NotExist</v>
      </c>
      <c r="D1534" t="str">
        <f t="shared" si="50"/>
        <v>New</v>
      </c>
      <c r="E1534" t="e">
        <f>VLOOKUP(A:A,Reviewed!B:C,2,0)</f>
        <v>#N/A</v>
      </c>
      <c r="F1534" t="str">
        <f t="shared" si="51"/>
        <v/>
      </c>
    </row>
    <row r="1535" spans="3:6" x14ac:dyDescent="0.35">
      <c r="C1535" t="str">
        <f>IFERROR(ROUNDUP(VLOOKUP(F1535,'30Days-Baseline'!C:D,2,FALSE),0),"NotExist")</f>
        <v>NotExist</v>
      </c>
      <c r="D1535" t="str">
        <f t="shared" si="50"/>
        <v>New</v>
      </c>
      <c r="E1535" t="e">
        <f>VLOOKUP(A:A,Reviewed!B:C,2,0)</f>
        <v>#N/A</v>
      </c>
      <c r="F1535" t="str">
        <f t="shared" si="51"/>
        <v/>
      </c>
    </row>
    <row r="1536" spans="3:6" x14ac:dyDescent="0.35">
      <c r="C1536" t="str">
        <f>IFERROR(ROUNDUP(VLOOKUP(F1536,'30Days-Baseline'!C:D,2,FALSE),0),"NotExist")</f>
        <v>NotExist</v>
      </c>
      <c r="D1536" t="str">
        <f t="shared" si="50"/>
        <v>New</v>
      </c>
      <c r="E1536" t="e">
        <f>VLOOKUP(A:A,Reviewed!B:C,2,0)</f>
        <v>#N/A</v>
      </c>
      <c r="F1536" t="str">
        <f t="shared" si="51"/>
        <v/>
      </c>
    </row>
    <row r="1537" spans="3:6" x14ac:dyDescent="0.35">
      <c r="C1537" t="str">
        <f>IFERROR(ROUNDUP(VLOOKUP(F1537,'30Days-Baseline'!C:D,2,FALSE),0),"NotExist")</f>
        <v>NotExist</v>
      </c>
      <c r="D1537" t="str">
        <f t="shared" si="50"/>
        <v>New</v>
      </c>
      <c r="E1537" t="e">
        <f>VLOOKUP(A:A,Reviewed!B:C,2,0)</f>
        <v>#N/A</v>
      </c>
      <c r="F1537" t="str">
        <f t="shared" si="51"/>
        <v/>
      </c>
    </row>
    <row r="1538" spans="3:6" x14ac:dyDescent="0.35">
      <c r="C1538" t="str">
        <f>IFERROR(ROUNDUP(VLOOKUP(F1538,'30Days-Baseline'!C:D,2,FALSE),0),"NotExist")</f>
        <v>NotExist</v>
      </c>
      <c r="D1538" t="str">
        <f t="shared" si="50"/>
        <v>New</v>
      </c>
      <c r="E1538" t="e">
        <f>VLOOKUP(A:A,Reviewed!B:C,2,0)</f>
        <v>#N/A</v>
      </c>
      <c r="F1538" t="str">
        <f t="shared" si="51"/>
        <v/>
      </c>
    </row>
    <row r="1539" spans="3:6" x14ac:dyDescent="0.35">
      <c r="C1539" t="str">
        <f>IFERROR(ROUNDUP(VLOOKUP(F1539,'30Days-Baseline'!C:D,2,FALSE),0),"NotExist")</f>
        <v>NotExist</v>
      </c>
      <c r="D1539" t="str">
        <f t="shared" si="50"/>
        <v>New</v>
      </c>
      <c r="E1539" t="e">
        <f>VLOOKUP(A:A,Reviewed!B:C,2,0)</f>
        <v>#N/A</v>
      </c>
      <c r="F1539" t="str">
        <f t="shared" si="51"/>
        <v/>
      </c>
    </row>
    <row r="1540" spans="3:6" x14ac:dyDescent="0.35">
      <c r="C1540" t="str">
        <f>IFERROR(ROUNDUP(VLOOKUP(F1540,'30Days-Baseline'!C:D,2,FALSE),0),"NotExist")</f>
        <v>NotExist</v>
      </c>
      <c r="D1540" t="str">
        <f t="shared" si="50"/>
        <v>New</v>
      </c>
      <c r="E1540" t="e">
        <f>VLOOKUP(A:A,Reviewed!B:C,2,0)</f>
        <v>#N/A</v>
      </c>
      <c r="F1540" t="str">
        <f t="shared" si="51"/>
        <v/>
      </c>
    </row>
    <row r="1541" spans="3:6" x14ac:dyDescent="0.35">
      <c r="C1541" t="str">
        <f>IFERROR(ROUNDUP(VLOOKUP(F1541,'30Days-Baseline'!C:D,2,FALSE),0),"NotExist")</f>
        <v>NotExist</v>
      </c>
      <c r="D1541" t="str">
        <f t="shared" si="50"/>
        <v>New</v>
      </c>
      <c r="E1541" t="e">
        <f>VLOOKUP(A:A,Reviewed!B:C,2,0)</f>
        <v>#N/A</v>
      </c>
      <c r="F1541" t="str">
        <f t="shared" si="51"/>
        <v/>
      </c>
    </row>
    <row r="1542" spans="3:6" x14ac:dyDescent="0.35">
      <c r="C1542" t="str">
        <f>IFERROR(ROUNDUP(VLOOKUP(F1542,'30Days-Baseline'!C:D,2,FALSE),0),"NotExist")</f>
        <v>NotExist</v>
      </c>
      <c r="D1542" t="str">
        <f t="shared" si="50"/>
        <v>New</v>
      </c>
      <c r="E1542" t="e">
        <f>VLOOKUP(A:A,Reviewed!B:C,2,0)</f>
        <v>#N/A</v>
      </c>
      <c r="F1542" t="str">
        <f t="shared" si="51"/>
        <v/>
      </c>
    </row>
    <row r="1543" spans="3:6" x14ac:dyDescent="0.35">
      <c r="C1543" t="str">
        <f>IFERROR(ROUNDUP(VLOOKUP(F1543,'30Days-Baseline'!C:D,2,FALSE),0),"NotExist")</f>
        <v>NotExist</v>
      </c>
      <c r="D1543" t="str">
        <f t="shared" si="50"/>
        <v>New</v>
      </c>
      <c r="E1543" t="e">
        <f>VLOOKUP(A:A,Reviewed!B:C,2,0)</f>
        <v>#N/A</v>
      </c>
      <c r="F1543" t="str">
        <f t="shared" si="51"/>
        <v/>
      </c>
    </row>
    <row r="1544" spans="3:6" x14ac:dyDescent="0.35">
      <c r="C1544" t="str">
        <f>IFERROR(ROUNDUP(VLOOKUP(F1544,'30Days-Baseline'!C:D,2,FALSE),0),"NotExist")</f>
        <v>NotExist</v>
      </c>
      <c r="D1544" t="str">
        <f t="shared" si="50"/>
        <v>New</v>
      </c>
      <c r="E1544" t="e">
        <f>VLOOKUP(A:A,Reviewed!B:C,2,0)</f>
        <v>#N/A</v>
      </c>
      <c r="F1544" t="str">
        <f t="shared" si="51"/>
        <v/>
      </c>
    </row>
    <row r="1545" spans="3:6" x14ac:dyDescent="0.35">
      <c r="C1545" t="str">
        <f>IFERROR(ROUNDUP(VLOOKUP(F1545,'30Days-Baseline'!C:D,2,FALSE),0),"NotExist")</f>
        <v>NotExist</v>
      </c>
      <c r="D1545" t="str">
        <f t="shared" si="50"/>
        <v>New</v>
      </c>
      <c r="E1545" t="e">
        <f>VLOOKUP(A:A,Reviewed!B:C,2,0)</f>
        <v>#N/A</v>
      </c>
      <c r="F1545" t="str">
        <f t="shared" si="51"/>
        <v/>
      </c>
    </row>
    <row r="1546" spans="3:6" x14ac:dyDescent="0.35">
      <c r="C1546" t="str">
        <f>IFERROR(ROUNDUP(VLOOKUP(F1546,'30Days-Baseline'!C:D,2,FALSE),0),"NotExist")</f>
        <v>NotExist</v>
      </c>
      <c r="D1546" t="str">
        <f t="shared" si="50"/>
        <v>New</v>
      </c>
      <c r="E1546" t="e">
        <f>VLOOKUP(A:A,Reviewed!B:C,2,0)</f>
        <v>#N/A</v>
      </c>
      <c r="F1546" t="str">
        <f t="shared" si="51"/>
        <v/>
      </c>
    </row>
    <row r="1547" spans="3:6" x14ac:dyDescent="0.35">
      <c r="C1547" t="str">
        <f>IFERROR(ROUNDUP(VLOOKUP(F1547,'30Days-Baseline'!C:D,2,FALSE),0),"NotExist")</f>
        <v>NotExist</v>
      </c>
      <c r="D1547" t="str">
        <f t="shared" si="50"/>
        <v>New</v>
      </c>
      <c r="E1547" t="e">
        <f>VLOOKUP(A:A,Reviewed!B:C,2,0)</f>
        <v>#N/A</v>
      </c>
      <c r="F1547" t="str">
        <f t="shared" si="51"/>
        <v/>
      </c>
    </row>
    <row r="1548" spans="3:6" x14ac:dyDescent="0.35">
      <c r="C1548" t="str">
        <f>IFERROR(ROUNDUP(VLOOKUP(F1548,'30Days-Baseline'!C:D,2,FALSE),0),"NotExist")</f>
        <v>NotExist</v>
      </c>
      <c r="D1548" t="str">
        <f t="shared" si="50"/>
        <v>New</v>
      </c>
      <c r="E1548" t="e">
        <f>VLOOKUP(A:A,Reviewed!B:C,2,0)</f>
        <v>#N/A</v>
      </c>
      <c r="F1548" t="str">
        <f t="shared" si="51"/>
        <v/>
      </c>
    </row>
    <row r="1549" spans="3:6" x14ac:dyDescent="0.35">
      <c r="C1549" t="str">
        <f>IFERROR(ROUNDUP(VLOOKUP(F1549,'30Days-Baseline'!C:D,2,FALSE),0),"NotExist")</f>
        <v>NotExist</v>
      </c>
      <c r="D1549" t="str">
        <f t="shared" si="50"/>
        <v>New</v>
      </c>
      <c r="E1549" t="e">
        <f>VLOOKUP(A:A,Reviewed!B:C,2,0)</f>
        <v>#N/A</v>
      </c>
      <c r="F1549" t="str">
        <f t="shared" si="51"/>
        <v/>
      </c>
    </row>
    <row r="1550" spans="3:6" x14ac:dyDescent="0.35">
      <c r="C1550" t="str">
        <f>IFERROR(ROUNDUP(VLOOKUP(F1550,'30Days-Baseline'!C:D,2,FALSE),0),"NotExist")</f>
        <v>NotExist</v>
      </c>
      <c r="D1550" t="str">
        <f t="shared" si="50"/>
        <v>New</v>
      </c>
      <c r="E1550" t="e">
        <f>VLOOKUP(A:A,Reviewed!B:C,2,0)</f>
        <v>#N/A</v>
      </c>
      <c r="F1550" t="str">
        <f t="shared" si="51"/>
        <v/>
      </c>
    </row>
    <row r="1551" spans="3:6" x14ac:dyDescent="0.35">
      <c r="C1551" t="str">
        <f>IFERROR(ROUNDUP(VLOOKUP(F1551,'30Days-Baseline'!C:D,2,FALSE),0),"NotExist")</f>
        <v>NotExist</v>
      </c>
      <c r="D1551" t="str">
        <f t="shared" si="50"/>
        <v>New</v>
      </c>
      <c r="E1551" t="e">
        <f>VLOOKUP(A:A,Reviewed!B:C,2,0)</f>
        <v>#N/A</v>
      </c>
      <c r="F1551" t="str">
        <f t="shared" si="51"/>
        <v/>
      </c>
    </row>
    <row r="1552" spans="3:6" x14ac:dyDescent="0.35">
      <c r="C1552" t="str">
        <f>IFERROR(ROUNDUP(VLOOKUP(F1552,'30Days-Baseline'!C:D,2,FALSE),0),"NotExist")</f>
        <v>NotExist</v>
      </c>
      <c r="D1552" t="str">
        <f t="shared" si="50"/>
        <v>New</v>
      </c>
      <c r="E1552" t="e">
        <f>VLOOKUP(A:A,Reviewed!B:C,2,0)</f>
        <v>#N/A</v>
      </c>
      <c r="F1552" t="str">
        <f t="shared" si="51"/>
        <v/>
      </c>
    </row>
    <row r="1553" spans="3:6" x14ac:dyDescent="0.35">
      <c r="C1553" t="str">
        <f>IFERROR(ROUNDUP(VLOOKUP(F1553,'30Days-Baseline'!C:D,2,FALSE),0),"NotExist")</f>
        <v>NotExist</v>
      </c>
      <c r="D1553" t="str">
        <f t="shared" si="50"/>
        <v>New</v>
      </c>
      <c r="E1553" t="e">
        <f>VLOOKUP(A:A,Reviewed!B:C,2,0)</f>
        <v>#N/A</v>
      </c>
      <c r="F1553" t="str">
        <f t="shared" si="51"/>
        <v/>
      </c>
    </row>
    <row r="1554" spans="3:6" x14ac:dyDescent="0.35">
      <c r="C1554" t="str">
        <f>IFERROR(ROUNDUP(VLOOKUP(F1554,'30Days-Baseline'!C:D,2,FALSE),0),"NotExist")</f>
        <v>NotExist</v>
      </c>
      <c r="D1554" t="str">
        <f t="shared" si="50"/>
        <v>New</v>
      </c>
      <c r="E1554" t="e">
        <f>VLOOKUP(A:A,Reviewed!B:C,2,0)</f>
        <v>#N/A</v>
      </c>
      <c r="F1554" t="str">
        <f t="shared" si="51"/>
        <v/>
      </c>
    </row>
    <row r="1555" spans="3:6" x14ac:dyDescent="0.35">
      <c r="C1555" t="str">
        <f>IFERROR(ROUNDUP(VLOOKUP(F1555,'30Days-Baseline'!C:D,2,FALSE),0),"NotExist")</f>
        <v>NotExist</v>
      </c>
      <c r="D1555" t="str">
        <f t="shared" ref="D1555:D1618" si="52">IFERROR(IF(B1555&gt;ROUNDUP(C1555,0),"Elevated","Ok"),"New")</f>
        <v>New</v>
      </c>
      <c r="E1555" t="e">
        <f>VLOOKUP(A:A,Reviewed!B:C,2,0)</f>
        <v>#N/A</v>
      </c>
      <c r="F1555" t="str">
        <f t="shared" ref="F1555:F1618" si="53">LEFT(A1555,255)</f>
        <v/>
      </c>
    </row>
    <row r="1556" spans="3:6" x14ac:dyDescent="0.35">
      <c r="C1556" t="str">
        <f>IFERROR(ROUNDUP(VLOOKUP(F1556,'30Days-Baseline'!C:D,2,FALSE),0),"NotExist")</f>
        <v>NotExist</v>
      </c>
      <c r="D1556" t="str">
        <f t="shared" si="52"/>
        <v>New</v>
      </c>
      <c r="E1556" t="e">
        <f>VLOOKUP(A:A,Reviewed!B:C,2,0)</f>
        <v>#N/A</v>
      </c>
      <c r="F1556" t="str">
        <f t="shared" si="53"/>
        <v/>
      </c>
    </row>
    <row r="1557" spans="3:6" x14ac:dyDescent="0.35">
      <c r="C1557" t="str">
        <f>IFERROR(ROUNDUP(VLOOKUP(F1557,'30Days-Baseline'!C:D,2,FALSE),0),"NotExist")</f>
        <v>NotExist</v>
      </c>
      <c r="D1557" t="str">
        <f t="shared" si="52"/>
        <v>New</v>
      </c>
      <c r="E1557" t="e">
        <f>VLOOKUP(A:A,Reviewed!B:C,2,0)</f>
        <v>#N/A</v>
      </c>
      <c r="F1557" t="str">
        <f t="shared" si="53"/>
        <v/>
      </c>
    </row>
    <row r="1558" spans="3:6" x14ac:dyDescent="0.35">
      <c r="C1558" t="str">
        <f>IFERROR(ROUNDUP(VLOOKUP(F1558,'30Days-Baseline'!C:D,2,FALSE),0),"NotExist")</f>
        <v>NotExist</v>
      </c>
      <c r="D1558" t="str">
        <f t="shared" si="52"/>
        <v>New</v>
      </c>
      <c r="E1558" t="e">
        <f>VLOOKUP(A:A,Reviewed!B:C,2,0)</f>
        <v>#N/A</v>
      </c>
      <c r="F1558" t="str">
        <f t="shared" si="53"/>
        <v/>
      </c>
    </row>
    <row r="1559" spans="3:6" x14ac:dyDescent="0.35">
      <c r="C1559" t="str">
        <f>IFERROR(ROUNDUP(VLOOKUP(F1559,'30Days-Baseline'!C:D,2,FALSE),0),"NotExist")</f>
        <v>NotExist</v>
      </c>
      <c r="D1559" t="str">
        <f t="shared" si="52"/>
        <v>New</v>
      </c>
      <c r="E1559" t="e">
        <f>VLOOKUP(A:A,Reviewed!B:C,2,0)</f>
        <v>#N/A</v>
      </c>
      <c r="F1559" t="str">
        <f t="shared" si="53"/>
        <v/>
      </c>
    </row>
    <row r="1560" spans="3:6" x14ac:dyDescent="0.35">
      <c r="C1560" t="str">
        <f>IFERROR(ROUNDUP(VLOOKUP(F1560,'30Days-Baseline'!C:D,2,FALSE),0),"NotExist")</f>
        <v>NotExist</v>
      </c>
      <c r="D1560" t="str">
        <f t="shared" si="52"/>
        <v>New</v>
      </c>
      <c r="E1560" t="e">
        <f>VLOOKUP(A:A,Reviewed!B:C,2,0)</f>
        <v>#N/A</v>
      </c>
      <c r="F1560" t="str">
        <f t="shared" si="53"/>
        <v/>
      </c>
    </row>
    <row r="1561" spans="3:6" x14ac:dyDescent="0.35">
      <c r="C1561" t="str">
        <f>IFERROR(ROUNDUP(VLOOKUP(F1561,'30Days-Baseline'!C:D,2,FALSE),0),"NotExist")</f>
        <v>NotExist</v>
      </c>
      <c r="D1561" t="str">
        <f t="shared" si="52"/>
        <v>New</v>
      </c>
      <c r="E1561" t="e">
        <f>VLOOKUP(A:A,Reviewed!B:C,2,0)</f>
        <v>#N/A</v>
      </c>
      <c r="F1561" t="str">
        <f t="shared" si="53"/>
        <v/>
      </c>
    </row>
    <row r="1562" spans="3:6" x14ac:dyDescent="0.35">
      <c r="C1562" t="str">
        <f>IFERROR(ROUNDUP(VLOOKUP(F1562,'30Days-Baseline'!C:D,2,FALSE),0),"NotExist")</f>
        <v>NotExist</v>
      </c>
      <c r="D1562" t="str">
        <f t="shared" si="52"/>
        <v>New</v>
      </c>
      <c r="E1562" t="e">
        <f>VLOOKUP(A:A,Reviewed!B:C,2,0)</f>
        <v>#N/A</v>
      </c>
      <c r="F1562" t="str">
        <f t="shared" si="53"/>
        <v/>
      </c>
    </row>
    <row r="1563" spans="3:6" x14ac:dyDescent="0.35">
      <c r="C1563" t="str">
        <f>IFERROR(ROUNDUP(VLOOKUP(F1563,'30Days-Baseline'!C:D,2,FALSE),0),"NotExist")</f>
        <v>NotExist</v>
      </c>
      <c r="D1563" t="str">
        <f t="shared" si="52"/>
        <v>New</v>
      </c>
      <c r="E1563" t="e">
        <f>VLOOKUP(A:A,Reviewed!B:C,2,0)</f>
        <v>#N/A</v>
      </c>
      <c r="F1563" t="str">
        <f t="shared" si="53"/>
        <v/>
      </c>
    </row>
    <row r="1564" spans="3:6" x14ac:dyDescent="0.35">
      <c r="C1564" t="str">
        <f>IFERROR(ROUNDUP(VLOOKUP(F1564,'30Days-Baseline'!C:D,2,FALSE),0),"NotExist")</f>
        <v>NotExist</v>
      </c>
      <c r="D1564" t="str">
        <f t="shared" si="52"/>
        <v>New</v>
      </c>
      <c r="E1564" t="e">
        <f>VLOOKUP(A:A,Reviewed!B:C,2,0)</f>
        <v>#N/A</v>
      </c>
      <c r="F1564" t="str">
        <f t="shared" si="53"/>
        <v/>
      </c>
    </row>
    <row r="1565" spans="3:6" x14ac:dyDescent="0.35">
      <c r="C1565" t="str">
        <f>IFERROR(ROUNDUP(VLOOKUP(F1565,'30Days-Baseline'!C:D,2,FALSE),0),"NotExist")</f>
        <v>NotExist</v>
      </c>
      <c r="D1565" t="str">
        <f t="shared" si="52"/>
        <v>New</v>
      </c>
      <c r="E1565" t="e">
        <f>VLOOKUP(A:A,Reviewed!B:C,2,0)</f>
        <v>#N/A</v>
      </c>
      <c r="F1565" t="str">
        <f t="shared" si="53"/>
        <v/>
      </c>
    </row>
    <row r="1566" spans="3:6" x14ac:dyDescent="0.35">
      <c r="C1566" t="str">
        <f>IFERROR(ROUNDUP(VLOOKUP(F1566,'30Days-Baseline'!C:D,2,FALSE),0),"NotExist")</f>
        <v>NotExist</v>
      </c>
      <c r="D1566" t="str">
        <f t="shared" si="52"/>
        <v>New</v>
      </c>
      <c r="E1566" t="e">
        <f>VLOOKUP(A:A,Reviewed!B:C,2,0)</f>
        <v>#N/A</v>
      </c>
      <c r="F1566" t="str">
        <f t="shared" si="53"/>
        <v/>
      </c>
    </row>
    <row r="1567" spans="3:6" x14ac:dyDescent="0.35">
      <c r="C1567" t="str">
        <f>IFERROR(ROUNDUP(VLOOKUP(F1567,'30Days-Baseline'!C:D,2,FALSE),0),"NotExist")</f>
        <v>NotExist</v>
      </c>
      <c r="D1567" t="str">
        <f t="shared" si="52"/>
        <v>New</v>
      </c>
      <c r="E1567" t="e">
        <f>VLOOKUP(A:A,Reviewed!B:C,2,0)</f>
        <v>#N/A</v>
      </c>
      <c r="F1567" t="str">
        <f t="shared" si="53"/>
        <v/>
      </c>
    </row>
    <row r="1568" spans="3:6" x14ac:dyDescent="0.35">
      <c r="C1568" t="str">
        <f>IFERROR(ROUNDUP(VLOOKUP(F1568,'30Days-Baseline'!C:D,2,FALSE),0),"NotExist")</f>
        <v>NotExist</v>
      </c>
      <c r="D1568" t="str">
        <f t="shared" si="52"/>
        <v>New</v>
      </c>
      <c r="E1568" t="e">
        <f>VLOOKUP(A:A,Reviewed!B:C,2,0)</f>
        <v>#N/A</v>
      </c>
      <c r="F1568" t="str">
        <f t="shared" si="53"/>
        <v/>
      </c>
    </row>
    <row r="1569" spans="3:6" x14ac:dyDescent="0.35">
      <c r="C1569" t="str">
        <f>IFERROR(ROUNDUP(VLOOKUP(F1569,'30Days-Baseline'!C:D,2,FALSE),0),"NotExist")</f>
        <v>NotExist</v>
      </c>
      <c r="D1569" t="str">
        <f t="shared" si="52"/>
        <v>New</v>
      </c>
      <c r="E1569" t="e">
        <f>VLOOKUP(A:A,Reviewed!B:C,2,0)</f>
        <v>#N/A</v>
      </c>
      <c r="F1569" t="str">
        <f t="shared" si="53"/>
        <v/>
      </c>
    </row>
    <row r="1570" spans="3:6" x14ac:dyDescent="0.35">
      <c r="C1570" t="str">
        <f>IFERROR(ROUNDUP(VLOOKUP(F1570,'30Days-Baseline'!C:D,2,FALSE),0),"NotExist")</f>
        <v>NotExist</v>
      </c>
      <c r="D1570" t="str">
        <f t="shared" si="52"/>
        <v>New</v>
      </c>
      <c r="E1570" t="e">
        <f>VLOOKUP(A:A,Reviewed!B:C,2,0)</f>
        <v>#N/A</v>
      </c>
      <c r="F1570" t="str">
        <f t="shared" si="53"/>
        <v/>
      </c>
    </row>
    <row r="1571" spans="3:6" x14ac:dyDescent="0.35">
      <c r="C1571" t="str">
        <f>IFERROR(ROUNDUP(VLOOKUP(F1571,'30Days-Baseline'!C:D,2,FALSE),0),"NotExist")</f>
        <v>NotExist</v>
      </c>
      <c r="D1571" t="str">
        <f t="shared" si="52"/>
        <v>New</v>
      </c>
      <c r="E1571" t="e">
        <f>VLOOKUP(A:A,Reviewed!B:C,2,0)</f>
        <v>#N/A</v>
      </c>
      <c r="F1571" t="str">
        <f t="shared" si="53"/>
        <v/>
      </c>
    </row>
    <row r="1572" spans="3:6" x14ac:dyDescent="0.35">
      <c r="C1572" t="str">
        <f>IFERROR(ROUNDUP(VLOOKUP(F1572,'30Days-Baseline'!C:D,2,FALSE),0),"NotExist")</f>
        <v>NotExist</v>
      </c>
      <c r="D1572" t="str">
        <f t="shared" si="52"/>
        <v>New</v>
      </c>
      <c r="E1572" t="e">
        <f>VLOOKUP(A:A,Reviewed!B:C,2,0)</f>
        <v>#N/A</v>
      </c>
      <c r="F1572" t="str">
        <f t="shared" si="53"/>
        <v/>
      </c>
    </row>
    <row r="1573" spans="3:6" x14ac:dyDescent="0.35">
      <c r="C1573" t="str">
        <f>IFERROR(ROUNDUP(VLOOKUP(F1573,'30Days-Baseline'!C:D,2,FALSE),0),"NotExist")</f>
        <v>NotExist</v>
      </c>
      <c r="D1573" t="str">
        <f t="shared" si="52"/>
        <v>New</v>
      </c>
      <c r="E1573" t="e">
        <f>VLOOKUP(A:A,Reviewed!B:C,2,0)</f>
        <v>#N/A</v>
      </c>
      <c r="F1573" t="str">
        <f t="shared" si="53"/>
        <v/>
      </c>
    </row>
    <row r="1574" spans="3:6" x14ac:dyDescent="0.35">
      <c r="C1574" t="str">
        <f>IFERROR(ROUNDUP(VLOOKUP(F1574,'30Days-Baseline'!C:D,2,FALSE),0),"NotExist")</f>
        <v>NotExist</v>
      </c>
      <c r="D1574" t="str">
        <f t="shared" si="52"/>
        <v>New</v>
      </c>
      <c r="E1574" t="e">
        <f>VLOOKUP(A:A,Reviewed!B:C,2,0)</f>
        <v>#N/A</v>
      </c>
      <c r="F1574" t="str">
        <f t="shared" si="53"/>
        <v/>
      </c>
    </row>
    <row r="1575" spans="3:6" x14ac:dyDescent="0.35">
      <c r="C1575" t="str">
        <f>IFERROR(ROUNDUP(VLOOKUP(F1575,'30Days-Baseline'!C:D,2,FALSE),0),"NotExist")</f>
        <v>NotExist</v>
      </c>
      <c r="D1575" t="str">
        <f t="shared" si="52"/>
        <v>New</v>
      </c>
      <c r="E1575" t="e">
        <f>VLOOKUP(A:A,Reviewed!B:C,2,0)</f>
        <v>#N/A</v>
      </c>
      <c r="F1575" t="str">
        <f t="shared" si="53"/>
        <v/>
      </c>
    </row>
    <row r="1576" spans="3:6" x14ac:dyDescent="0.35">
      <c r="C1576" t="str">
        <f>IFERROR(ROUNDUP(VLOOKUP(F1576,'30Days-Baseline'!C:D,2,FALSE),0),"NotExist")</f>
        <v>NotExist</v>
      </c>
      <c r="D1576" t="str">
        <f t="shared" si="52"/>
        <v>New</v>
      </c>
      <c r="E1576" t="e">
        <f>VLOOKUP(A:A,Reviewed!B:C,2,0)</f>
        <v>#N/A</v>
      </c>
      <c r="F1576" t="str">
        <f t="shared" si="53"/>
        <v/>
      </c>
    </row>
    <row r="1577" spans="3:6" x14ac:dyDescent="0.35">
      <c r="C1577" t="str">
        <f>IFERROR(ROUNDUP(VLOOKUP(F1577,'30Days-Baseline'!C:D,2,FALSE),0),"NotExist")</f>
        <v>NotExist</v>
      </c>
      <c r="D1577" t="str">
        <f t="shared" si="52"/>
        <v>New</v>
      </c>
      <c r="E1577" t="e">
        <f>VLOOKUP(A:A,Reviewed!B:C,2,0)</f>
        <v>#N/A</v>
      </c>
      <c r="F1577" t="str">
        <f t="shared" si="53"/>
        <v/>
      </c>
    </row>
    <row r="1578" spans="3:6" x14ac:dyDescent="0.35">
      <c r="C1578" t="str">
        <f>IFERROR(ROUNDUP(VLOOKUP(F1578,'30Days-Baseline'!C:D,2,FALSE),0),"NotExist")</f>
        <v>NotExist</v>
      </c>
      <c r="D1578" t="str">
        <f t="shared" si="52"/>
        <v>New</v>
      </c>
      <c r="E1578" t="e">
        <f>VLOOKUP(A:A,Reviewed!B:C,2,0)</f>
        <v>#N/A</v>
      </c>
      <c r="F1578" t="str">
        <f t="shared" si="53"/>
        <v/>
      </c>
    </row>
    <row r="1579" spans="3:6" x14ac:dyDescent="0.35">
      <c r="C1579" t="str">
        <f>IFERROR(ROUNDUP(VLOOKUP(F1579,'30Days-Baseline'!C:D,2,FALSE),0),"NotExist")</f>
        <v>NotExist</v>
      </c>
      <c r="D1579" t="str">
        <f t="shared" si="52"/>
        <v>New</v>
      </c>
      <c r="E1579" t="e">
        <f>VLOOKUP(A:A,Reviewed!B:C,2,0)</f>
        <v>#N/A</v>
      </c>
      <c r="F1579" t="str">
        <f t="shared" si="53"/>
        <v/>
      </c>
    </row>
    <row r="1580" spans="3:6" x14ac:dyDescent="0.35">
      <c r="C1580" t="str">
        <f>IFERROR(ROUNDUP(VLOOKUP(F1580,'30Days-Baseline'!C:D,2,FALSE),0),"NotExist")</f>
        <v>NotExist</v>
      </c>
      <c r="D1580" t="str">
        <f t="shared" si="52"/>
        <v>New</v>
      </c>
      <c r="E1580" t="e">
        <f>VLOOKUP(A:A,Reviewed!B:C,2,0)</f>
        <v>#N/A</v>
      </c>
      <c r="F1580" t="str">
        <f t="shared" si="53"/>
        <v/>
      </c>
    </row>
    <row r="1581" spans="3:6" x14ac:dyDescent="0.35">
      <c r="C1581" t="str">
        <f>IFERROR(ROUNDUP(VLOOKUP(F1581,'30Days-Baseline'!C:D,2,FALSE),0),"NotExist")</f>
        <v>NotExist</v>
      </c>
      <c r="D1581" t="str">
        <f t="shared" si="52"/>
        <v>New</v>
      </c>
      <c r="E1581" t="e">
        <f>VLOOKUP(A:A,Reviewed!B:C,2,0)</f>
        <v>#N/A</v>
      </c>
      <c r="F1581" t="str">
        <f t="shared" si="53"/>
        <v/>
      </c>
    </row>
    <row r="1582" spans="3:6" x14ac:dyDescent="0.35">
      <c r="C1582" t="str">
        <f>IFERROR(ROUNDUP(VLOOKUP(F1582,'30Days-Baseline'!C:D,2,FALSE),0),"NotExist")</f>
        <v>NotExist</v>
      </c>
      <c r="D1582" t="str">
        <f t="shared" si="52"/>
        <v>New</v>
      </c>
      <c r="E1582" t="e">
        <f>VLOOKUP(A:A,Reviewed!B:C,2,0)</f>
        <v>#N/A</v>
      </c>
      <c r="F1582" t="str">
        <f t="shared" si="53"/>
        <v/>
      </c>
    </row>
    <row r="1583" spans="3:6" x14ac:dyDescent="0.35">
      <c r="C1583" t="str">
        <f>IFERROR(ROUNDUP(VLOOKUP(F1583,'30Days-Baseline'!C:D,2,FALSE),0),"NotExist")</f>
        <v>NotExist</v>
      </c>
      <c r="D1583" t="str">
        <f t="shared" si="52"/>
        <v>New</v>
      </c>
      <c r="E1583" t="e">
        <f>VLOOKUP(A:A,Reviewed!B:C,2,0)</f>
        <v>#N/A</v>
      </c>
      <c r="F1583" t="str">
        <f t="shared" si="53"/>
        <v/>
      </c>
    </row>
    <row r="1584" spans="3:6" x14ac:dyDescent="0.35">
      <c r="C1584" t="str">
        <f>IFERROR(ROUNDUP(VLOOKUP(F1584,'30Days-Baseline'!C:D,2,FALSE),0),"NotExist")</f>
        <v>NotExist</v>
      </c>
      <c r="D1584" t="str">
        <f t="shared" si="52"/>
        <v>New</v>
      </c>
      <c r="E1584" t="e">
        <f>VLOOKUP(A:A,Reviewed!B:C,2,0)</f>
        <v>#N/A</v>
      </c>
      <c r="F1584" t="str">
        <f t="shared" si="53"/>
        <v/>
      </c>
    </row>
    <row r="1585" spans="3:6" x14ac:dyDescent="0.35">
      <c r="C1585" t="str">
        <f>IFERROR(ROUNDUP(VLOOKUP(F1585,'30Days-Baseline'!C:D,2,FALSE),0),"NotExist")</f>
        <v>NotExist</v>
      </c>
      <c r="D1585" t="str">
        <f t="shared" si="52"/>
        <v>New</v>
      </c>
      <c r="E1585" t="e">
        <f>VLOOKUP(A:A,Reviewed!B:C,2,0)</f>
        <v>#N/A</v>
      </c>
      <c r="F1585" t="str">
        <f t="shared" si="53"/>
        <v/>
      </c>
    </row>
    <row r="1586" spans="3:6" x14ac:dyDescent="0.35">
      <c r="C1586" t="str">
        <f>IFERROR(ROUNDUP(VLOOKUP(F1586,'30Days-Baseline'!C:D,2,FALSE),0),"NotExist")</f>
        <v>NotExist</v>
      </c>
      <c r="D1586" t="str">
        <f t="shared" si="52"/>
        <v>New</v>
      </c>
      <c r="E1586" t="e">
        <f>VLOOKUP(A:A,Reviewed!B:C,2,0)</f>
        <v>#N/A</v>
      </c>
      <c r="F1586" t="str">
        <f t="shared" si="53"/>
        <v/>
      </c>
    </row>
    <row r="1587" spans="3:6" x14ac:dyDescent="0.35">
      <c r="C1587" t="str">
        <f>IFERROR(ROUNDUP(VLOOKUP(F1587,'30Days-Baseline'!C:D,2,FALSE),0),"NotExist")</f>
        <v>NotExist</v>
      </c>
      <c r="D1587" t="str">
        <f t="shared" si="52"/>
        <v>New</v>
      </c>
      <c r="E1587" t="e">
        <f>VLOOKUP(A:A,Reviewed!B:C,2,0)</f>
        <v>#N/A</v>
      </c>
      <c r="F1587" t="str">
        <f t="shared" si="53"/>
        <v/>
      </c>
    </row>
    <row r="1588" spans="3:6" x14ac:dyDescent="0.35">
      <c r="C1588" t="str">
        <f>IFERROR(ROUNDUP(VLOOKUP(F1588,'30Days-Baseline'!C:D,2,FALSE),0),"NotExist")</f>
        <v>NotExist</v>
      </c>
      <c r="D1588" t="str">
        <f t="shared" si="52"/>
        <v>New</v>
      </c>
      <c r="E1588" t="e">
        <f>VLOOKUP(A:A,Reviewed!B:C,2,0)</f>
        <v>#N/A</v>
      </c>
      <c r="F1588" t="str">
        <f t="shared" si="53"/>
        <v/>
      </c>
    </row>
    <row r="1589" spans="3:6" x14ac:dyDescent="0.35">
      <c r="C1589" t="str">
        <f>IFERROR(ROUNDUP(VLOOKUP(F1589,'30Days-Baseline'!C:D,2,FALSE),0),"NotExist")</f>
        <v>NotExist</v>
      </c>
      <c r="D1589" t="str">
        <f t="shared" si="52"/>
        <v>New</v>
      </c>
      <c r="E1589" t="e">
        <f>VLOOKUP(A:A,Reviewed!B:C,2,0)</f>
        <v>#N/A</v>
      </c>
      <c r="F1589" t="str">
        <f t="shared" si="53"/>
        <v/>
      </c>
    </row>
    <row r="1590" spans="3:6" x14ac:dyDescent="0.35">
      <c r="C1590" t="str">
        <f>IFERROR(ROUNDUP(VLOOKUP(F1590,'30Days-Baseline'!C:D,2,FALSE),0),"NotExist")</f>
        <v>NotExist</v>
      </c>
      <c r="D1590" t="str">
        <f t="shared" si="52"/>
        <v>New</v>
      </c>
      <c r="E1590" t="e">
        <f>VLOOKUP(A:A,Reviewed!B:C,2,0)</f>
        <v>#N/A</v>
      </c>
      <c r="F1590" t="str">
        <f t="shared" si="53"/>
        <v/>
      </c>
    </row>
    <row r="1591" spans="3:6" x14ac:dyDescent="0.35">
      <c r="C1591" t="str">
        <f>IFERROR(ROUNDUP(VLOOKUP(F1591,'30Days-Baseline'!C:D,2,FALSE),0),"NotExist")</f>
        <v>NotExist</v>
      </c>
      <c r="D1591" t="str">
        <f t="shared" si="52"/>
        <v>New</v>
      </c>
      <c r="E1591" t="e">
        <f>VLOOKUP(A:A,Reviewed!B:C,2,0)</f>
        <v>#N/A</v>
      </c>
      <c r="F1591" t="str">
        <f t="shared" si="53"/>
        <v/>
      </c>
    </row>
    <row r="1592" spans="3:6" x14ac:dyDescent="0.35">
      <c r="C1592" t="str">
        <f>IFERROR(ROUNDUP(VLOOKUP(F1592,'30Days-Baseline'!C:D,2,FALSE),0),"NotExist")</f>
        <v>NotExist</v>
      </c>
      <c r="D1592" t="str">
        <f t="shared" si="52"/>
        <v>New</v>
      </c>
      <c r="E1592" t="e">
        <f>VLOOKUP(A:A,Reviewed!B:C,2,0)</f>
        <v>#N/A</v>
      </c>
      <c r="F1592" t="str">
        <f t="shared" si="53"/>
        <v/>
      </c>
    </row>
    <row r="1593" spans="3:6" x14ac:dyDescent="0.35">
      <c r="C1593" t="str">
        <f>IFERROR(ROUNDUP(VLOOKUP(F1593,'30Days-Baseline'!C:D,2,FALSE),0),"NotExist")</f>
        <v>NotExist</v>
      </c>
      <c r="D1593" t="str">
        <f t="shared" si="52"/>
        <v>New</v>
      </c>
      <c r="E1593" t="e">
        <f>VLOOKUP(A:A,Reviewed!B:C,2,0)</f>
        <v>#N/A</v>
      </c>
      <c r="F1593" t="str">
        <f t="shared" si="53"/>
        <v/>
      </c>
    </row>
    <row r="1594" spans="3:6" x14ac:dyDescent="0.35">
      <c r="C1594" t="str">
        <f>IFERROR(ROUNDUP(VLOOKUP(F1594,'30Days-Baseline'!C:D,2,FALSE),0),"NotExist")</f>
        <v>NotExist</v>
      </c>
      <c r="D1594" t="str">
        <f t="shared" si="52"/>
        <v>New</v>
      </c>
      <c r="E1594" t="e">
        <f>VLOOKUP(A:A,Reviewed!B:C,2,0)</f>
        <v>#N/A</v>
      </c>
      <c r="F1594" t="str">
        <f t="shared" si="53"/>
        <v/>
      </c>
    </row>
    <row r="1595" spans="3:6" x14ac:dyDescent="0.35">
      <c r="C1595" t="str">
        <f>IFERROR(ROUNDUP(VLOOKUP(F1595,'30Days-Baseline'!C:D,2,FALSE),0),"NotExist")</f>
        <v>NotExist</v>
      </c>
      <c r="D1595" t="str">
        <f t="shared" si="52"/>
        <v>New</v>
      </c>
      <c r="E1595" t="e">
        <f>VLOOKUP(A:A,Reviewed!B:C,2,0)</f>
        <v>#N/A</v>
      </c>
      <c r="F1595" t="str">
        <f t="shared" si="53"/>
        <v/>
      </c>
    </row>
    <row r="1596" spans="3:6" x14ac:dyDescent="0.35">
      <c r="C1596" t="str">
        <f>IFERROR(ROUNDUP(VLOOKUP(F1596,'30Days-Baseline'!C:D,2,FALSE),0),"NotExist")</f>
        <v>NotExist</v>
      </c>
      <c r="D1596" t="str">
        <f t="shared" si="52"/>
        <v>New</v>
      </c>
      <c r="E1596" t="e">
        <f>VLOOKUP(A:A,Reviewed!B:C,2,0)</f>
        <v>#N/A</v>
      </c>
      <c r="F1596" t="str">
        <f t="shared" si="53"/>
        <v/>
      </c>
    </row>
    <row r="1597" spans="3:6" x14ac:dyDescent="0.35">
      <c r="C1597" t="str">
        <f>IFERROR(ROUNDUP(VLOOKUP(F1597,'30Days-Baseline'!C:D,2,FALSE),0),"NotExist")</f>
        <v>NotExist</v>
      </c>
      <c r="D1597" t="str">
        <f t="shared" si="52"/>
        <v>New</v>
      </c>
      <c r="E1597" t="e">
        <f>VLOOKUP(A:A,Reviewed!B:C,2,0)</f>
        <v>#N/A</v>
      </c>
      <c r="F1597" t="str">
        <f t="shared" si="53"/>
        <v/>
      </c>
    </row>
    <row r="1598" spans="3:6" x14ac:dyDescent="0.35">
      <c r="C1598" t="str">
        <f>IFERROR(ROUNDUP(VLOOKUP(F1598,'30Days-Baseline'!C:D,2,FALSE),0),"NotExist")</f>
        <v>NotExist</v>
      </c>
      <c r="D1598" t="str">
        <f t="shared" si="52"/>
        <v>New</v>
      </c>
      <c r="E1598" t="e">
        <f>VLOOKUP(A:A,Reviewed!B:C,2,0)</f>
        <v>#N/A</v>
      </c>
      <c r="F1598" t="str">
        <f t="shared" si="53"/>
        <v/>
      </c>
    </row>
    <row r="1599" spans="3:6" x14ac:dyDescent="0.35">
      <c r="C1599" t="str">
        <f>IFERROR(ROUNDUP(VLOOKUP(F1599,'30Days-Baseline'!C:D,2,FALSE),0),"NotExist")</f>
        <v>NotExist</v>
      </c>
      <c r="D1599" t="str">
        <f t="shared" si="52"/>
        <v>New</v>
      </c>
      <c r="E1599" t="e">
        <f>VLOOKUP(A:A,Reviewed!B:C,2,0)</f>
        <v>#N/A</v>
      </c>
      <c r="F1599" t="str">
        <f t="shared" si="53"/>
        <v/>
      </c>
    </row>
    <row r="1600" spans="3:6" x14ac:dyDescent="0.35">
      <c r="C1600" t="str">
        <f>IFERROR(ROUNDUP(VLOOKUP(F1600,'30Days-Baseline'!C:D,2,FALSE),0),"NotExist")</f>
        <v>NotExist</v>
      </c>
      <c r="D1600" t="str">
        <f t="shared" si="52"/>
        <v>New</v>
      </c>
      <c r="E1600" t="e">
        <f>VLOOKUP(A:A,Reviewed!B:C,2,0)</f>
        <v>#N/A</v>
      </c>
      <c r="F1600" t="str">
        <f t="shared" si="53"/>
        <v/>
      </c>
    </row>
    <row r="1601" spans="3:6" x14ac:dyDescent="0.35">
      <c r="C1601" t="str">
        <f>IFERROR(ROUNDUP(VLOOKUP(F1601,'30Days-Baseline'!C:D,2,FALSE),0),"NotExist")</f>
        <v>NotExist</v>
      </c>
      <c r="D1601" t="str">
        <f t="shared" si="52"/>
        <v>New</v>
      </c>
      <c r="E1601" t="e">
        <f>VLOOKUP(A:A,Reviewed!B:C,2,0)</f>
        <v>#N/A</v>
      </c>
      <c r="F1601" t="str">
        <f t="shared" si="53"/>
        <v/>
      </c>
    </row>
    <row r="1602" spans="3:6" x14ac:dyDescent="0.35">
      <c r="C1602" t="str">
        <f>IFERROR(ROUNDUP(VLOOKUP(F1602,'30Days-Baseline'!C:D,2,FALSE),0),"NotExist")</f>
        <v>NotExist</v>
      </c>
      <c r="D1602" t="str">
        <f t="shared" si="52"/>
        <v>New</v>
      </c>
      <c r="E1602" t="e">
        <f>VLOOKUP(A:A,Reviewed!B:C,2,0)</f>
        <v>#N/A</v>
      </c>
      <c r="F1602" t="str">
        <f t="shared" si="53"/>
        <v/>
      </c>
    </row>
    <row r="1603" spans="3:6" x14ac:dyDescent="0.35">
      <c r="C1603" t="str">
        <f>IFERROR(ROUNDUP(VLOOKUP(F1603,'30Days-Baseline'!C:D,2,FALSE),0),"NotExist")</f>
        <v>NotExist</v>
      </c>
      <c r="D1603" t="str">
        <f t="shared" si="52"/>
        <v>New</v>
      </c>
      <c r="E1603" t="e">
        <f>VLOOKUP(A:A,Reviewed!B:C,2,0)</f>
        <v>#N/A</v>
      </c>
      <c r="F1603" t="str">
        <f t="shared" si="53"/>
        <v/>
      </c>
    </row>
    <row r="1604" spans="3:6" x14ac:dyDescent="0.35">
      <c r="C1604" t="str">
        <f>IFERROR(ROUNDUP(VLOOKUP(F1604,'30Days-Baseline'!C:D,2,FALSE),0),"NotExist")</f>
        <v>NotExist</v>
      </c>
      <c r="D1604" t="str">
        <f t="shared" si="52"/>
        <v>New</v>
      </c>
      <c r="E1604" t="e">
        <f>VLOOKUP(A:A,Reviewed!B:C,2,0)</f>
        <v>#N/A</v>
      </c>
      <c r="F1604" t="str">
        <f t="shared" si="53"/>
        <v/>
      </c>
    </row>
    <row r="1605" spans="3:6" x14ac:dyDescent="0.35">
      <c r="C1605" t="str">
        <f>IFERROR(ROUNDUP(VLOOKUP(F1605,'30Days-Baseline'!C:D,2,FALSE),0),"NotExist")</f>
        <v>NotExist</v>
      </c>
      <c r="D1605" t="str">
        <f t="shared" si="52"/>
        <v>New</v>
      </c>
      <c r="E1605" t="e">
        <f>VLOOKUP(A:A,Reviewed!B:C,2,0)</f>
        <v>#N/A</v>
      </c>
      <c r="F1605" t="str">
        <f t="shared" si="53"/>
        <v/>
      </c>
    </row>
    <row r="1606" spans="3:6" x14ac:dyDescent="0.35">
      <c r="C1606" t="str">
        <f>IFERROR(ROUNDUP(VLOOKUP(F1606,'30Days-Baseline'!C:D,2,FALSE),0),"NotExist")</f>
        <v>NotExist</v>
      </c>
      <c r="D1606" t="str">
        <f t="shared" si="52"/>
        <v>New</v>
      </c>
      <c r="E1606" t="e">
        <f>VLOOKUP(A:A,Reviewed!B:C,2,0)</f>
        <v>#N/A</v>
      </c>
      <c r="F1606" t="str">
        <f t="shared" si="53"/>
        <v/>
      </c>
    </row>
    <row r="1607" spans="3:6" x14ac:dyDescent="0.35">
      <c r="C1607" t="str">
        <f>IFERROR(ROUNDUP(VLOOKUP(F1607,'30Days-Baseline'!C:D,2,FALSE),0),"NotExist")</f>
        <v>NotExist</v>
      </c>
      <c r="D1607" t="str">
        <f t="shared" si="52"/>
        <v>New</v>
      </c>
      <c r="E1607" t="e">
        <f>VLOOKUP(A:A,Reviewed!B:C,2,0)</f>
        <v>#N/A</v>
      </c>
      <c r="F1607" t="str">
        <f t="shared" si="53"/>
        <v/>
      </c>
    </row>
    <row r="1608" spans="3:6" x14ac:dyDescent="0.35">
      <c r="C1608" t="str">
        <f>IFERROR(ROUNDUP(VLOOKUP(F1608,'30Days-Baseline'!C:D,2,FALSE),0),"NotExist")</f>
        <v>NotExist</v>
      </c>
      <c r="D1608" t="str">
        <f t="shared" si="52"/>
        <v>New</v>
      </c>
      <c r="E1608" t="e">
        <f>VLOOKUP(A:A,Reviewed!B:C,2,0)</f>
        <v>#N/A</v>
      </c>
      <c r="F1608" t="str">
        <f t="shared" si="53"/>
        <v/>
      </c>
    </row>
    <row r="1609" spans="3:6" x14ac:dyDescent="0.35">
      <c r="C1609" t="str">
        <f>IFERROR(ROUNDUP(VLOOKUP(F1609,'30Days-Baseline'!C:D,2,FALSE),0),"NotExist")</f>
        <v>NotExist</v>
      </c>
      <c r="D1609" t="str">
        <f t="shared" si="52"/>
        <v>New</v>
      </c>
      <c r="E1609" t="e">
        <f>VLOOKUP(A:A,Reviewed!B:C,2,0)</f>
        <v>#N/A</v>
      </c>
      <c r="F1609" t="str">
        <f t="shared" si="53"/>
        <v/>
      </c>
    </row>
    <row r="1610" spans="3:6" x14ac:dyDescent="0.35">
      <c r="C1610" t="str">
        <f>IFERROR(ROUNDUP(VLOOKUP(F1610,'30Days-Baseline'!C:D,2,FALSE),0),"NotExist")</f>
        <v>NotExist</v>
      </c>
      <c r="D1610" t="str">
        <f t="shared" si="52"/>
        <v>New</v>
      </c>
      <c r="E1610" t="e">
        <f>VLOOKUP(A:A,Reviewed!B:C,2,0)</f>
        <v>#N/A</v>
      </c>
      <c r="F1610" t="str">
        <f t="shared" si="53"/>
        <v/>
      </c>
    </row>
    <row r="1611" spans="3:6" x14ac:dyDescent="0.35">
      <c r="C1611" t="str">
        <f>IFERROR(ROUNDUP(VLOOKUP(F1611,'30Days-Baseline'!C:D,2,FALSE),0),"NotExist")</f>
        <v>NotExist</v>
      </c>
      <c r="D1611" t="str">
        <f t="shared" si="52"/>
        <v>New</v>
      </c>
      <c r="E1611" t="e">
        <f>VLOOKUP(A:A,Reviewed!B:C,2,0)</f>
        <v>#N/A</v>
      </c>
      <c r="F1611" t="str">
        <f t="shared" si="53"/>
        <v/>
      </c>
    </row>
    <row r="1612" spans="3:6" x14ac:dyDescent="0.35">
      <c r="C1612" t="str">
        <f>IFERROR(ROUNDUP(VLOOKUP(F1612,'30Days-Baseline'!C:D,2,FALSE),0),"NotExist")</f>
        <v>NotExist</v>
      </c>
      <c r="D1612" t="str">
        <f t="shared" si="52"/>
        <v>New</v>
      </c>
      <c r="E1612" t="e">
        <f>VLOOKUP(A:A,Reviewed!B:C,2,0)</f>
        <v>#N/A</v>
      </c>
      <c r="F1612" t="str">
        <f t="shared" si="53"/>
        <v/>
      </c>
    </row>
    <row r="1613" spans="3:6" x14ac:dyDescent="0.35">
      <c r="C1613" t="str">
        <f>IFERROR(ROUNDUP(VLOOKUP(F1613,'30Days-Baseline'!C:D,2,FALSE),0),"NotExist")</f>
        <v>NotExist</v>
      </c>
      <c r="D1613" t="str">
        <f t="shared" si="52"/>
        <v>New</v>
      </c>
      <c r="E1613" t="e">
        <f>VLOOKUP(A:A,Reviewed!B:C,2,0)</f>
        <v>#N/A</v>
      </c>
      <c r="F1613" t="str">
        <f t="shared" si="53"/>
        <v/>
      </c>
    </row>
    <row r="1614" spans="3:6" x14ac:dyDescent="0.35">
      <c r="C1614" t="str">
        <f>IFERROR(ROUNDUP(VLOOKUP(F1614,'30Days-Baseline'!C:D,2,FALSE),0),"NotExist")</f>
        <v>NotExist</v>
      </c>
      <c r="D1614" t="str">
        <f t="shared" si="52"/>
        <v>New</v>
      </c>
      <c r="E1614" t="e">
        <f>VLOOKUP(A:A,Reviewed!B:C,2,0)</f>
        <v>#N/A</v>
      </c>
      <c r="F1614" t="str">
        <f t="shared" si="53"/>
        <v/>
      </c>
    </row>
    <row r="1615" spans="3:6" x14ac:dyDescent="0.35">
      <c r="C1615" t="str">
        <f>IFERROR(ROUNDUP(VLOOKUP(F1615,'30Days-Baseline'!C:D,2,FALSE),0),"NotExist")</f>
        <v>NotExist</v>
      </c>
      <c r="D1615" t="str">
        <f t="shared" si="52"/>
        <v>New</v>
      </c>
      <c r="E1615" t="e">
        <f>VLOOKUP(A:A,Reviewed!B:C,2,0)</f>
        <v>#N/A</v>
      </c>
      <c r="F1615" t="str">
        <f t="shared" si="53"/>
        <v/>
      </c>
    </row>
    <row r="1616" spans="3:6" x14ac:dyDescent="0.35">
      <c r="C1616" t="str">
        <f>IFERROR(ROUNDUP(VLOOKUP(F1616,'30Days-Baseline'!C:D,2,FALSE),0),"NotExist")</f>
        <v>NotExist</v>
      </c>
      <c r="D1616" t="str">
        <f t="shared" si="52"/>
        <v>New</v>
      </c>
      <c r="E1616" t="e">
        <f>VLOOKUP(A:A,Reviewed!B:C,2,0)</f>
        <v>#N/A</v>
      </c>
      <c r="F1616" t="str">
        <f t="shared" si="53"/>
        <v/>
      </c>
    </row>
    <row r="1617" spans="3:6" x14ac:dyDescent="0.35">
      <c r="C1617" t="str">
        <f>IFERROR(ROUNDUP(VLOOKUP(F1617,'30Days-Baseline'!C:D,2,FALSE),0),"NotExist")</f>
        <v>NotExist</v>
      </c>
      <c r="D1617" t="str">
        <f t="shared" si="52"/>
        <v>New</v>
      </c>
      <c r="E1617" t="e">
        <f>VLOOKUP(A:A,Reviewed!B:C,2,0)</f>
        <v>#N/A</v>
      </c>
      <c r="F1617" t="str">
        <f t="shared" si="53"/>
        <v/>
      </c>
    </row>
    <row r="1618" spans="3:6" x14ac:dyDescent="0.35">
      <c r="C1618" t="str">
        <f>IFERROR(ROUNDUP(VLOOKUP(F1618,'30Days-Baseline'!C:D,2,FALSE),0),"NotExist")</f>
        <v>NotExist</v>
      </c>
      <c r="D1618" t="str">
        <f t="shared" si="52"/>
        <v>New</v>
      </c>
      <c r="E1618" t="e">
        <f>VLOOKUP(A:A,Reviewed!B:C,2,0)</f>
        <v>#N/A</v>
      </c>
      <c r="F1618" t="str">
        <f t="shared" si="53"/>
        <v/>
      </c>
    </row>
    <row r="1619" spans="3:6" x14ac:dyDescent="0.35">
      <c r="C1619" t="str">
        <f>IFERROR(ROUNDUP(VLOOKUP(F1619,'30Days-Baseline'!C:D,2,FALSE),0),"NotExist")</f>
        <v>NotExist</v>
      </c>
      <c r="D1619" t="str">
        <f t="shared" ref="D1619:D1682" si="54">IFERROR(IF(B1619&gt;ROUNDUP(C1619,0),"Elevated","Ok"),"New")</f>
        <v>New</v>
      </c>
      <c r="E1619" t="e">
        <f>VLOOKUP(A:A,Reviewed!B:C,2,0)</f>
        <v>#N/A</v>
      </c>
      <c r="F1619" t="str">
        <f t="shared" ref="F1619:F1682" si="55">LEFT(A1619,255)</f>
        <v/>
      </c>
    </row>
    <row r="1620" spans="3:6" x14ac:dyDescent="0.35">
      <c r="C1620" t="str">
        <f>IFERROR(ROUNDUP(VLOOKUP(F1620,'30Days-Baseline'!C:D,2,FALSE),0),"NotExist")</f>
        <v>NotExist</v>
      </c>
      <c r="D1620" t="str">
        <f t="shared" si="54"/>
        <v>New</v>
      </c>
      <c r="E1620" t="e">
        <f>VLOOKUP(A:A,Reviewed!B:C,2,0)</f>
        <v>#N/A</v>
      </c>
      <c r="F1620" t="str">
        <f t="shared" si="55"/>
        <v/>
      </c>
    </row>
    <row r="1621" spans="3:6" x14ac:dyDescent="0.35">
      <c r="C1621" t="str">
        <f>IFERROR(ROUNDUP(VLOOKUP(F1621,'30Days-Baseline'!C:D,2,FALSE),0),"NotExist")</f>
        <v>NotExist</v>
      </c>
      <c r="D1621" t="str">
        <f t="shared" si="54"/>
        <v>New</v>
      </c>
      <c r="E1621" t="e">
        <f>VLOOKUP(A:A,Reviewed!B:C,2,0)</f>
        <v>#N/A</v>
      </c>
      <c r="F1621" t="str">
        <f t="shared" si="55"/>
        <v/>
      </c>
    </row>
    <row r="1622" spans="3:6" x14ac:dyDescent="0.35">
      <c r="C1622" t="str">
        <f>IFERROR(ROUNDUP(VLOOKUP(F1622,'30Days-Baseline'!C:D,2,FALSE),0),"NotExist")</f>
        <v>NotExist</v>
      </c>
      <c r="D1622" t="str">
        <f t="shared" si="54"/>
        <v>New</v>
      </c>
      <c r="E1622" t="e">
        <f>VLOOKUP(A:A,Reviewed!B:C,2,0)</f>
        <v>#N/A</v>
      </c>
      <c r="F1622" t="str">
        <f t="shared" si="55"/>
        <v/>
      </c>
    </row>
    <row r="1623" spans="3:6" x14ac:dyDescent="0.35">
      <c r="C1623" t="str">
        <f>IFERROR(ROUNDUP(VLOOKUP(F1623,'30Days-Baseline'!C:D,2,FALSE),0),"NotExist")</f>
        <v>NotExist</v>
      </c>
      <c r="D1623" t="str">
        <f t="shared" si="54"/>
        <v>New</v>
      </c>
      <c r="E1623" t="e">
        <f>VLOOKUP(A:A,Reviewed!B:C,2,0)</f>
        <v>#N/A</v>
      </c>
      <c r="F1623" t="str">
        <f t="shared" si="55"/>
        <v/>
      </c>
    </row>
    <row r="1624" spans="3:6" x14ac:dyDescent="0.35">
      <c r="C1624" t="str">
        <f>IFERROR(ROUNDUP(VLOOKUP(F1624,'30Days-Baseline'!C:D,2,FALSE),0),"NotExist")</f>
        <v>NotExist</v>
      </c>
      <c r="D1624" t="str">
        <f t="shared" si="54"/>
        <v>New</v>
      </c>
      <c r="E1624" t="e">
        <f>VLOOKUP(A:A,Reviewed!B:C,2,0)</f>
        <v>#N/A</v>
      </c>
      <c r="F1624" t="str">
        <f t="shared" si="55"/>
        <v/>
      </c>
    </row>
    <row r="1625" spans="3:6" x14ac:dyDescent="0.35">
      <c r="C1625" t="str">
        <f>IFERROR(ROUNDUP(VLOOKUP(F1625,'30Days-Baseline'!C:D,2,FALSE),0),"NotExist")</f>
        <v>NotExist</v>
      </c>
      <c r="D1625" t="str">
        <f t="shared" si="54"/>
        <v>New</v>
      </c>
      <c r="E1625" t="e">
        <f>VLOOKUP(A:A,Reviewed!B:C,2,0)</f>
        <v>#N/A</v>
      </c>
      <c r="F1625" t="str">
        <f t="shared" si="55"/>
        <v/>
      </c>
    </row>
    <row r="1626" spans="3:6" x14ac:dyDescent="0.35">
      <c r="C1626" t="str">
        <f>IFERROR(ROUNDUP(VLOOKUP(F1626,'30Days-Baseline'!C:D,2,FALSE),0),"NotExist")</f>
        <v>NotExist</v>
      </c>
      <c r="D1626" t="str">
        <f t="shared" si="54"/>
        <v>New</v>
      </c>
      <c r="E1626" t="e">
        <f>VLOOKUP(A:A,Reviewed!B:C,2,0)</f>
        <v>#N/A</v>
      </c>
      <c r="F1626" t="str">
        <f t="shared" si="55"/>
        <v/>
      </c>
    </row>
    <row r="1627" spans="3:6" x14ac:dyDescent="0.35">
      <c r="C1627" t="str">
        <f>IFERROR(ROUNDUP(VLOOKUP(F1627,'30Days-Baseline'!C:D,2,FALSE),0),"NotExist")</f>
        <v>NotExist</v>
      </c>
      <c r="D1627" t="str">
        <f t="shared" si="54"/>
        <v>New</v>
      </c>
      <c r="E1627" t="e">
        <f>VLOOKUP(A:A,Reviewed!B:C,2,0)</f>
        <v>#N/A</v>
      </c>
      <c r="F1627" t="str">
        <f t="shared" si="55"/>
        <v/>
      </c>
    </row>
    <row r="1628" spans="3:6" x14ac:dyDescent="0.35">
      <c r="C1628" t="str">
        <f>IFERROR(ROUNDUP(VLOOKUP(F1628,'30Days-Baseline'!C:D,2,FALSE),0),"NotExist")</f>
        <v>NotExist</v>
      </c>
      <c r="D1628" t="str">
        <f t="shared" si="54"/>
        <v>New</v>
      </c>
      <c r="E1628" t="e">
        <f>VLOOKUP(A:A,Reviewed!B:C,2,0)</f>
        <v>#N/A</v>
      </c>
      <c r="F1628" t="str">
        <f t="shared" si="55"/>
        <v/>
      </c>
    </row>
    <row r="1629" spans="3:6" x14ac:dyDescent="0.35">
      <c r="C1629" t="str">
        <f>IFERROR(ROUNDUP(VLOOKUP(F1629,'30Days-Baseline'!C:D,2,FALSE),0),"NotExist")</f>
        <v>NotExist</v>
      </c>
      <c r="D1629" t="str">
        <f t="shared" si="54"/>
        <v>New</v>
      </c>
      <c r="E1629" t="e">
        <f>VLOOKUP(A:A,Reviewed!B:C,2,0)</f>
        <v>#N/A</v>
      </c>
      <c r="F1629" t="str">
        <f t="shared" si="55"/>
        <v/>
      </c>
    </row>
    <row r="1630" spans="3:6" x14ac:dyDescent="0.35">
      <c r="C1630" t="str">
        <f>IFERROR(ROUNDUP(VLOOKUP(F1630,'30Days-Baseline'!C:D,2,FALSE),0),"NotExist")</f>
        <v>NotExist</v>
      </c>
      <c r="D1630" t="str">
        <f t="shared" si="54"/>
        <v>New</v>
      </c>
      <c r="E1630" t="e">
        <f>VLOOKUP(A:A,Reviewed!B:C,2,0)</f>
        <v>#N/A</v>
      </c>
      <c r="F1630" t="str">
        <f t="shared" si="55"/>
        <v/>
      </c>
    </row>
    <row r="1631" spans="3:6" x14ac:dyDescent="0.35">
      <c r="C1631" t="str">
        <f>IFERROR(ROUNDUP(VLOOKUP(F1631,'30Days-Baseline'!C:D,2,FALSE),0),"NotExist")</f>
        <v>NotExist</v>
      </c>
      <c r="D1631" t="str">
        <f t="shared" si="54"/>
        <v>New</v>
      </c>
      <c r="E1631" t="e">
        <f>VLOOKUP(A:A,Reviewed!B:C,2,0)</f>
        <v>#N/A</v>
      </c>
      <c r="F1631" t="str">
        <f t="shared" si="55"/>
        <v/>
      </c>
    </row>
    <row r="1632" spans="3:6" x14ac:dyDescent="0.35">
      <c r="C1632" t="str">
        <f>IFERROR(ROUNDUP(VLOOKUP(F1632,'30Days-Baseline'!C:D,2,FALSE),0),"NotExist")</f>
        <v>NotExist</v>
      </c>
      <c r="D1632" t="str">
        <f t="shared" si="54"/>
        <v>New</v>
      </c>
      <c r="E1632" t="e">
        <f>VLOOKUP(A:A,Reviewed!B:C,2,0)</f>
        <v>#N/A</v>
      </c>
      <c r="F1632" t="str">
        <f t="shared" si="55"/>
        <v/>
      </c>
    </row>
    <row r="1633" spans="3:6" x14ac:dyDescent="0.35">
      <c r="C1633" t="str">
        <f>IFERROR(ROUNDUP(VLOOKUP(F1633,'30Days-Baseline'!C:D,2,FALSE),0),"NotExist")</f>
        <v>NotExist</v>
      </c>
      <c r="D1633" t="str">
        <f t="shared" si="54"/>
        <v>New</v>
      </c>
      <c r="E1633" t="e">
        <f>VLOOKUP(A:A,Reviewed!B:C,2,0)</f>
        <v>#N/A</v>
      </c>
      <c r="F1633" t="str">
        <f t="shared" si="55"/>
        <v/>
      </c>
    </row>
    <row r="1634" spans="3:6" x14ac:dyDescent="0.35">
      <c r="C1634" t="str">
        <f>IFERROR(ROUNDUP(VLOOKUP(F1634,'30Days-Baseline'!C:D,2,FALSE),0),"NotExist")</f>
        <v>NotExist</v>
      </c>
      <c r="D1634" t="str">
        <f t="shared" si="54"/>
        <v>New</v>
      </c>
      <c r="E1634" t="e">
        <f>VLOOKUP(A:A,Reviewed!B:C,2,0)</f>
        <v>#N/A</v>
      </c>
      <c r="F1634" t="str">
        <f t="shared" si="55"/>
        <v/>
      </c>
    </row>
    <row r="1635" spans="3:6" x14ac:dyDescent="0.35">
      <c r="C1635" t="str">
        <f>IFERROR(ROUNDUP(VLOOKUP(F1635,'30Days-Baseline'!C:D,2,FALSE),0),"NotExist")</f>
        <v>NotExist</v>
      </c>
      <c r="D1635" t="str">
        <f t="shared" si="54"/>
        <v>New</v>
      </c>
      <c r="E1635" t="e">
        <f>VLOOKUP(A:A,Reviewed!B:C,2,0)</f>
        <v>#N/A</v>
      </c>
      <c r="F1635" t="str">
        <f t="shared" si="55"/>
        <v/>
      </c>
    </row>
    <row r="1636" spans="3:6" x14ac:dyDescent="0.35">
      <c r="C1636" t="str">
        <f>IFERROR(ROUNDUP(VLOOKUP(F1636,'30Days-Baseline'!C:D,2,FALSE),0),"NotExist")</f>
        <v>NotExist</v>
      </c>
      <c r="D1636" t="str">
        <f t="shared" si="54"/>
        <v>New</v>
      </c>
      <c r="E1636" t="e">
        <f>VLOOKUP(A:A,Reviewed!B:C,2,0)</f>
        <v>#N/A</v>
      </c>
      <c r="F1636" t="str">
        <f t="shared" si="55"/>
        <v/>
      </c>
    </row>
    <row r="1637" spans="3:6" x14ac:dyDescent="0.35">
      <c r="C1637" t="str">
        <f>IFERROR(ROUNDUP(VLOOKUP(F1637,'30Days-Baseline'!C:D,2,FALSE),0),"NotExist")</f>
        <v>NotExist</v>
      </c>
      <c r="D1637" t="str">
        <f t="shared" si="54"/>
        <v>New</v>
      </c>
      <c r="E1637" t="e">
        <f>VLOOKUP(A:A,Reviewed!B:C,2,0)</f>
        <v>#N/A</v>
      </c>
      <c r="F1637" t="str">
        <f t="shared" si="55"/>
        <v/>
      </c>
    </row>
    <row r="1638" spans="3:6" x14ac:dyDescent="0.35">
      <c r="C1638" t="str">
        <f>IFERROR(ROUNDUP(VLOOKUP(F1638,'30Days-Baseline'!C:D,2,FALSE),0),"NotExist")</f>
        <v>NotExist</v>
      </c>
      <c r="D1638" t="str">
        <f t="shared" si="54"/>
        <v>New</v>
      </c>
      <c r="E1638" t="e">
        <f>VLOOKUP(A:A,Reviewed!B:C,2,0)</f>
        <v>#N/A</v>
      </c>
      <c r="F1638" t="str">
        <f t="shared" si="55"/>
        <v/>
      </c>
    </row>
    <row r="1639" spans="3:6" x14ac:dyDescent="0.35">
      <c r="C1639" t="str">
        <f>IFERROR(ROUNDUP(VLOOKUP(F1639,'30Days-Baseline'!C:D,2,FALSE),0),"NotExist")</f>
        <v>NotExist</v>
      </c>
      <c r="D1639" t="str">
        <f t="shared" si="54"/>
        <v>New</v>
      </c>
      <c r="E1639" t="e">
        <f>VLOOKUP(A:A,Reviewed!B:C,2,0)</f>
        <v>#N/A</v>
      </c>
      <c r="F1639" t="str">
        <f t="shared" si="55"/>
        <v/>
      </c>
    </row>
    <row r="1640" spans="3:6" x14ac:dyDescent="0.35">
      <c r="C1640" t="str">
        <f>IFERROR(ROUNDUP(VLOOKUP(F1640,'30Days-Baseline'!C:D,2,FALSE),0),"NotExist")</f>
        <v>NotExist</v>
      </c>
      <c r="D1640" t="str">
        <f t="shared" si="54"/>
        <v>New</v>
      </c>
      <c r="E1640" t="e">
        <f>VLOOKUP(A:A,Reviewed!B:C,2,0)</f>
        <v>#N/A</v>
      </c>
      <c r="F1640" t="str">
        <f t="shared" si="55"/>
        <v/>
      </c>
    </row>
    <row r="1641" spans="3:6" x14ac:dyDescent="0.35">
      <c r="C1641" t="str">
        <f>IFERROR(ROUNDUP(VLOOKUP(F1641,'30Days-Baseline'!C:D,2,FALSE),0),"NotExist")</f>
        <v>NotExist</v>
      </c>
      <c r="D1641" t="str">
        <f t="shared" si="54"/>
        <v>New</v>
      </c>
      <c r="E1641" t="e">
        <f>VLOOKUP(A:A,Reviewed!B:C,2,0)</f>
        <v>#N/A</v>
      </c>
      <c r="F1641" t="str">
        <f t="shared" si="55"/>
        <v/>
      </c>
    </row>
    <row r="1642" spans="3:6" x14ac:dyDescent="0.35">
      <c r="C1642" t="str">
        <f>IFERROR(ROUNDUP(VLOOKUP(F1642,'30Days-Baseline'!C:D,2,FALSE),0),"NotExist")</f>
        <v>NotExist</v>
      </c>
      <c r="D1642" t="str">
        <f t="shared" si="54"/>
        <v>New</v>
      </c>
      <c r="E1642" t="e">
        <f>VLOOKUP(A:A,Reviewed!B:C,2,0)</f>
        <v>#N/A</v>
      </c>
      <c r="F1642" t="str">
        <f t="shared" si="55"/>
        <v/>
      </c>
    </row>
    <row r="1643" spans="3:6" x14ac:dyDescent="0.35">
      <c r="C1643" t="str">
        <f>IFERROR(ROUNDUP(VLOOKUP(F1643,'30Days-Baseline'!C:D,2,FALSE),0),"NotExist")</f>
        <v>NotExist</v>
      </c>
      <c r="D1643" t="str">
        <f t="shared" si="54"/>
        <v>New</v>
      </c>
      <c r="E1643" t="e">
        <f>VLOOKUP(A:A,Reviewed!B:C,2,0)</f>
        <v>#N/A</v>
      </c>
      <c r="F1643" t="str">
        <f t="shared" si="55"/>
        <v/>
      </c>
    </row>
    <row r="1644" spans="3:6" x14ac:dyDescent="0.35">
      <c r="C1644" t="str">
        <f>IFERROR(ROUNDUP(VLOOKUP(F1644,'30Days-Baseline'!C:D,2,FALSE),0),"NotExist")</f>
        <v>NotExist</v>
      </c>
      <c r="D1644" t="str">
        <f t="shared" si="54"/>
        <v>New</v>
      </c>
      <c r="E1644" t="e">
        <f>VLOOKUP(A:A,Reviewed!B:C,2,0)</f>
        <v>#N/A</v>
      </c>
      <c r="F1644" t="str">
        <f t="shared" si="55"/>
        <v/>
      </c>
    </row>
    <row r="1645" spans="3:6" x14ac:dyDescent="0.35">
      <c r="C1645" t="str">
        <f>IFERROR(ROUNDUP(VLOOKUP(F1645,'30Days-Baseline'!C:D,2,FALSE),0),"NotExist")</f>
        <v>NotExist</v>
      </c>
      <c r="D1645" t="str">
        <f t="shared" si="54"/>
        <v>New</v>
      </c>
      <c r="E1645" t="e">
        <f>VLOOKUP(A:A,Reviewed!B:C,2,0)</f>
        <v>#N/A</v>
      </c>
      <c r="F1645" t="str">
        <f t="shared" si="55"/>
        <v/>
      </c>
    </row>
    <row r="1646" spans="3:6" x14ac:dyDescent="0.35">
      <c r="C1646" t="str">
        <f>IFERROR(ROUNDUP(VLOOKUP(F1646,'30Days-Baseline'!C:D,2,FALSE),0),"NotExist")</f>
        <v>NotExist</v>
      </c>
      <c r="D1646" t="str">
        <f t="shared" si="54"/>
        <v>New</v>
      </c>
      <c r="E1646" t="e">
        <f>VLOOKUP(A:A,Reviewed!B:C,2,0)</f>
        <v>#N/A</v>
      </c>
      <c r="F1646" t="str">
        <f t="shared" si="55"/>
        <v/>
      </c>
    </row>
    <row r="1647" spans="3:6" x14ac:dyDescent="0.35">
      <c r="C1647" t="str">
        <f>IFERROR(ROUNDUP(VLOOKUP(F1647,'30Days-Baseline'!C:D,2,FALSE),0),"NotExist")</f>
        <v>NotExist</v>
      </c>
      <c r="D1647" t="str">
        <f t="shared" si="54"/>
        <v>New</v>
      </c>
      <c r="E1647" t="e">
        <f>VLOOKUP(A:A,Reviewed!B:C,2,0)</f>
        <v>#N/A</v>
      </c>
      <c r="F1647" t="str">
        <f t="shared" si="55"/>
        <v/>
      </c>
    </row>
    <row r="1648" spans="3:6" x14ac:dyDescent="0.35">
      <c r="C1648" t="str">
        <f>IFERROR(ROUNDUP(VLOOKUP(F1648,'30Days-Baseline'!C:D,2,FALSE),0),"NotExist")</f>
        <v>NotExist</v>
      </c>
      <c r="D1648" t="str">
        <f t="shared" si="54"/>
        <v>New</v>
      </c>
      <c r="E1648" t="e">
        <f>VLOOKUP(A:A,Reviewed!B:C,2,0)</f>
        <v>#N/A</v>
      </c>
      <c r="F1648" t="str">
        <f t="shared" si="55"/>
        <v/>
      </c>
    </row>
    <row r="1649" spans="3:6" x14ac:dyDescent="0.35">
      <c r="C1649" t="str">
        <f>IFERROR(ROUNDUP(VLOOKUP(F1649,'30Days-Baseline'!C:D,2,FALSE),0),"NotExist")</f>
        <v>NotExist</v>
      </c>
      <c r="D1649" t="str">
        <f t="shared" si="54"/>
        <v>New</v>
      </c>
      <c r="E1649" t="e">
        <f>VLOOKUP(A:A,Reviewed!B:C,2,0)</f>
        <v>#N/A</v>
      </c>
      <c r="F1649" t="str">
        <f t="shared" si="55"/>
        <v/>
      </c>
    </row>
    <row r="1650" spans="3:6" x14ac:dyDescent="0.35">
      <c r="C1650" t="str">
        <f>IFERROR(ROUNDUP(VLOOKUP(F1650,'30Days-Baseline'!C:D,2,FALSE),0),"NotExist")</f>
        <v>NotExist</v>
      </c>
      <c r="D1650" t="str">
        <f t="shared" si="54"/>
        <v>New</v>
      </c>
      <c r="E1650" t="e">
        <f>VLOOKUP(A:A,Reviewed!B:C,2,0)</f>
        <v>#N/A</v>
      </c>
      <c r="F1650" t="str">
        <f t="shared" si="55"/>
        <v/>
      </c>
    </row>
    <row r="1651" spans="3:6" x14ac:dyDescent="0.35">
      <c r="C1651" t="str">
        <f>IFERROR(ROUNDUP(VLOOKUP(F1651,'30Days-Baseline'!C:D,2,FALSE),0),"NotExist")</f>
        <v>NotExist</v>
      </c>
      <c r="D1651" t="str">
        <f t="shared" si="54"/>
        <v>New</v>
      </c>
      <c r="E1651" t="e">
        <f>VLOOKUP(A:A,Reviewed!B:C,2,0)</f>
        <v>#N/A</v>
      </c>
      <c r="F1651" t="str">
        <f t="shared" si="55"/>
        <v/>
      </c>
    </row>
    <row r="1652" spans="3:6" x14ac:dyDescent="0.35">
      <c r="C1652" t="str">
        <f>IFERROR(ROUNDUP(VLOOKUP(F1652,'30Days-Baseline'!C:D,2,FALSE),0),"NotExist")</f>
        <v>NotExist</v>
      </c>
      <c r="D1652" t="str">
        <f t="shared" si="54"/>
        <v>New</v>
      </c>
      <c r="E1652" t="e">
        <f>VLOOKUP(A:A,Reviewed!B:C,2,0)</f>
        <v>#N/A</v>
      </c>
      <c r="F1652" t="str">
        <f t="shared" si="55"/>
        <v/>
      </c>
    </row>
    <row r="1653" spans="3:6" x14ac:dyDescent="0.35">
      <c r="C1653" t="str">
        <f>IFERROR(ROUNDUP(VLOOKUP(F1653,'30Days-Baseline'!C:D,2,FALSE),0),"NotExist")</f>
        <v>NotExist</v>
      </c>
      <c r="D1653" t="str">
        <f t="shared" si="54"/>
        <v>New</v>
      </c>
      <c r="E1653" t="e">
        <f>VLOOKUP(A:A,Reviewed!B:C,2,0)</f>
        <v>#N/A</v>
      </c>
      <c r="F1653" t="str">
        <f t="shared" si="55"/>
        <v/>
      </c>
    </row>
    <row r="1654" spans="3:6" x14ac:dyDescent="0.35">
      <c r="C1654" t="str">
        <f>IFERROR(ROUNDUP(VLOOKUP(F1654,'30Days-Baseline'!C:D,2,FALSE),0),"NotExist")</f>
        <v>NotExist</v>
      </c>
      <c r="D1654" t="str">
        <f t="shared" si="54"/>
        <v>New</v>
      </c>
      <c r="E1654" t="e">
        <f>VLOOKUP(A:A,Reviewed!B:C,2,0)</f>
        <v>#N/A</v>
      </c>
      <c r="F1654" t="str">
        <f t="shared" si="55"/>
        <v/>
      </c>
    </row>
    <row r="1655" spans="3:6" x14ac:dyDescent="0.35">
      <c r="C1655" t="str">
        <f>IFERROR(ROUNDUP(VLOOKUP(F1655,'30Days-Baseline'!C:D,2,FALSE),0),"NotExist")</f>
        <v>NotExist</v>
      </c>
      <c r="D1655" t="str">
        <f t="shared" si="54"/>
        <v>New</v>
      </c>
      <c r="E1655" t="e">
        <f>VLOOKUP(A:A,Reviewed!B:C,2,0)</f>
        <v>#N/A</v>
      </c>
      <c r="F1655" t="str">
        <f t="shared" si="55"/>
        <v/>
      </c>
    </row>
    <row r="1656" spans="3:6" x14ac:dyDescent="0.35">
      <c r="C1656" t="str">
        <f>IFERROR(ROUNDUP(VLOOKUP(F1656,'30Days-Baseline'!C:D,2,FALSE),0),"NotExist")</f>
        <v>NotExist</v>
      </c>
      <c r="D1656" t="str">
        <f t="shared" si="54"/>
        <v>New</v>
      </c>
      <c r="E1656" t="e">
        <f>VLOOKUP(A:A,Reviewed!B:C,2,0)</f>
        <v>#N/A</v>
      </c>
      <c r="F1656" t="str">
        <f t="shared" si="55"/>
        <v/>
      </c>
    </row>
    <row r="1657" spans="3:6" x14ac:dyDescent="0.35">
      <c r="C1657" t="str">
        <f>IFERROR(ROUNDUP(VLOOKUP(F1657,'30Days-Baseline'!C:D,2,FALSE),0),"NotExist")</f>
        <v>NotExist</v>
      </c>
      <c r="D1657" t="str">
        <f t="shared" si="54"/>
        <v>New</v>
      </c>
      <c r="E1657" t="e">
        <f>VLOOKUP(A:A,Reviewed!B:C,2,0)</f>
        <v>#N/A</v>
      </c>
      <c r="F1657" t="str">
        <f t="shared" si="55"/>
        <v/>
      </c>
    </row>
    <row r="1658" spans="3:6" x14ac:dyDescent="0.35">
      <c r="C1658" t="str">
        <f>IFERROR(ROUNDUP(VLOOKUP(F1658,'30Days-Baseline'!C:D,2,FALSE),0),"NotExist")</f>
        <v>NotExist</v>
      </c>
      <c r="D1658" t="str">
        <f t="shared" si="54"/>
        <v>New</v>
      </c>
      <c r="E1658" t="e">
        <f>VLOOKUP(A:A,Reviewed!B:C,2,0)</f>
        <v>#N/A</v>
      </c>
      <c r="F1658" t="str">
        <f t="shared" si="55"/>
        <v/>
      </c>
    </row>
    <row r="1659" spans="3:6" x14ac:dyDescent="0.35">
      <c r="C1659" t="str">
        <f>IFERROR(ROUNDUP(VLOOKUP(F1659,'30Days-Baseline'!C:D,2,FALSE),0),"NotExist")</f>
        <v>NotExist</v>
      </c>
      <c r="D1659" t="str">
        <f t="shared" si="54"/>
        <v>New</v>
      </c>
      <c r="E1659" t="e">
        <f>VLOOKUP(A:A,Reviewed!B:C,2,0)</f>
        <v>#N/A</v>
      </c>
      <c r="F1659" t="str">
        <f t="shared" si="55"/>
        <v/>
      </c>
    </row>
    <row r="1660" spans="3:6" x14ac:dyDescent="0.35">
      <c r="C1660" t="str">
        <f>IFERROR(ROUNDUP(VLOOKUP(F1660,'30Days-Baseline'!C:D,2,FALSE),0),"NotExist")</f>
        <v>NotExist</v>
      </c>
      <c r="D1660" t="str">
        <f t="shared" si="54"/>
        <v>New</v>
      </c>
      <c r="E1660" t="e">
        <f>VLOOKUP(A:A,Reviewed!B:C,2,0)</f>
        <v>#N/A</v>
      </c>
      <c r="F1660" t="str">
        <f t="shared" si="55"/>
        <v/>
      </c>
    </row>
    <row r="1661" spans="3:6" x14ac:dyDescent="0.35">
      <c r="C1661" t="str">
        <f>IFERROR(ROUNDUP(VLOOKUP(F1661,'30Days-Baseline'!C:D,2,FALSE),0),"NotExist")</f>
        <v>NotExist</v>
      </c>
      <c r="D1661" t="str">
        <f t="shared" si="54"/>
        <v>New</v>
      </c>
      <c r="E1661" t="e">
        <f>VLOOKUP(A:A,Reviewed!B:C,2,0)</f>
        <v>#N/A</v>
      </c>
      <c r="F1661" t="str">
        <f t="shared" si="55"/>
        <v/>
      </c>
    </row>
    <row r="1662" spans="3:6" x14ac:dyDescent="0.35">
      <c r="C1662" t="str">
        <f>IFERROR(ROUNDUP(VLOOKUP(F1662,'30Days-Baseline'!C:D,2,FALSE),0),"NotExist")</f>
        <v>NotExist</v>
      </c>
      <c r="D1662" t="str">
        <f t="shared" si="54"/>
        <v>New</v>
      </c>
      <c r="E1662" t="e">
        <f>VLOOKUP(A:A,Reviewed!B:C,2,0)</f>
        <v>#N/A</v>
      </c>
      <c r="F1662" t="str">
        <f t="shared" si="55"/>
        <v/>
      </c>
    </row>
    <row r="1663" spans="3:6" x14ac:dyDescent="0.35">
      <c r="C1663" t="str">
        <f>IFERROR(ROUNDUP(VLOOKUP(F1663,'30Days-Baseline'!C:D,2,FALSE),0),"NotExist")</f>
        <v>NotExist</v>
      </c>
      <c r="D1663" t="str">
        <f t="shared" si="54"/>
        <v>New</v>
      </c>
      <c r="E1663" t="e">
        <f>VLOOKUP(A:A,Reviewed!B:C,2,0)</f>
        <v>#N/A</v>
      </c>
      <c r="F1663" t="str">
        <f t="shared" si="55"/>
        <v/>
      </c>
    </row>
    <row r="1664" spans="3:6" x14ac:dyDescent="0.35">
      <c r="C1664" t="str">
        <f>IFERROR(ROUNDUP(VLOOKUP(F1664,'30Days-Baseline'!C:D,2,FALSE),0),"NotExist")</f>
        <v>NotExist</v>
      </c>
      <c r="D1664" t="str">
        <f t="shared" si="54"/>
        <v>New</v>
      </c>
      <c r="E1664" t="e">
        <f>VLOOKUP(A:A,Reviewed!B:C,2,0)</f>
        <v>#N/A</v>
      </c>
      <c r="F1664" t="str">
        <f t="shared" si="55"/>
        <v/>
      </c>
    </row>
    <row r="1665" spans="3:6" x14ac:dyDescent="0.35">
      <c r="C1665" t="str">
        <f>IFERROR(ROUNDUP(VLOOKUP(F1665,'30Days-Baseline'!C:D,2,FALSE),0),"NotExist")</f>
        <v>NotExist</v>
      </c>
      <c r="D1665" t="str">
        <f t="shared" si="54"/>
        <v>New</v>
      </c>
      <c r="E1665" t="e">
        <f>VLOOKUP(A:A,Reviewed!B:C,2,0)</f>
        <v>#N/A</v>
      </c>
      <c r="F1665" t="str">
        <f t="shared" si="55"/>
        <v/>
      </c>
    </row>
    <row r="1666" spans="3:6" x14ac:dyDescent="0.35">
      <c r="C1666" t="str">
        <f>IFERROR(ROUNDUP(VLOOKUP(F1666,'30Days-Baseline'!C:D,2,FALSE),0),"NotExist")</f>
        <v>NotExist</v>
      </c>
      <c r="D1666" t="str">
        <f t="shared" si="54"/>
        <v>New</v>
      </c>
      <c r="E1666" t="e">
        <f>VLOOKUP(A:A,Reviewed!B:C,2,0)</f>
        <v>#N/A</v>
      </c>
      <c r="F1666" t="str">
        <f t="shared" si="55"/>
        <v/>
      </c>
    </row>
    <row r="1667" spans="3:6" x14ac:dyDescent="0.35">
      <c r="C1667" t="str">
        <f>IFERROR(ROUNDUP(VLOOKUP(F1667,'30Days-Baseline'!C:D,2,FALSE),0),"NotExist")</f>
        <v>NotExist</v>
      </c>
      <c r="D1667" t="str">
        <f t="shared" si="54"/>
        <v>New</v>
      </c>
      <c r="E1667" t="e">
        <f>VLOOKUP(A:A,Reviewed!B:C,2,0)</f>
        <v>#N/A</v>
      </c>
      <c r="F1667" t="str">
        <f t="shared" si="55"/>
        <v/>
      </c>
    </row>
    <row r="1668" spans="3:6" x14ac:dyDescent="0.35">
      <c r="C1668" t="str">
        <f>IFERROR(ROUNDUP(VLOOKUP(F1668,'30Days-Baseline'!C:D,2,FALSE),0),"NotExist")</f>
        <v>NotExist</v>
      </c>
      <c r="D1668" t="str">
        <f t="shared" si="54"/>
        <v>New</v>
      </c>
      <c r="E1668" t="e">
        <f>VLOOKUP(A:A,Reviewed!B:C,2,0)</f>
        <v>#N/A</v>
      </c>
      <c r="F1668" t="str">
        <f t="shared" si="55"/>
        <v/>
      </c>
    </row>
    <row r="1669" spans="3:6" x14ac:dyDescent="0.35">
      <c r="C1669" t="str">
        <f>IFERROR(ROUNDUP(VLOOKUP(F1669,'30Days-Baseline'!C:D,2,FALSE),0),"NotExist")</f>
        <v>NotExist</v>
      </c>
      <c r="D1669" t="str">
        <f t="shared" si="54"/>
        <v>New</v>
      </c>
      <c r="E1669" t="e">
        <f>VLOOKUP(A:A,Reviewed!B:C,2,0)</f>
        <v>#N/A</v>
      </c>
      <c r="F1669" t="str">
        <f t="shared" si="55"/>
        <v/>
      </c>
    </row>
    <row r="1670" spans="3:6" x14ac:dyDescent="0.35">
      <c r="C1670" t="str">
        <f>IFERROR(ROUNDUP(VLOOKUP(F1670,'30Days-Baseline'!C:D,2,FALSE),0),"NotExist")</f>
        <v>NotExist</v>
      </c>
      <c r="D1670" t="str">
        <f t="shared" si="54"/>
        <v>New</v>
      </c>
      <c r="E1670" t="e">
        <f>VLOOKUP(A:A,Reviewed!B:C,2,0)</f>
        <v>#N/A</v>
      </c>
      <c r="F1670" t="str">
        <f t="shared" si="55"/>
        <v/>
      </c>
    </row>
    <row r="1671" spans="3:6" x14ac:dyDescent="0.35">
      <c r="C1671" t="str">
        <f>IFERROR(ROUNDUP(VLOOKUP(F1671,'30Days-Baseline'!C:D,2,FALSE),0),"NotExist")</f>
        <v>NotExist</v>
      </c>
      <c r="D1671" t="str">
        <f t="shared" si="54"/>
        <v>New</v>
      </c>
      <c r="E1671" t="e">
        <f>VLOOKUP(A:A,Reviewed!B:C,2,0)</f>
        <v>#N/A</v>
      </c>
      <c r="F1671" t="str">
        <f t="shared" si="55"/>
        <v/>
      </c>
    </row>
    <row r="1672" spans="3:6" x14ac:dyDescent="0.35">
      <c r="C1672" t="str">
        <f>IFERROR(ROUNDUP(VLOOKUP(F1672,'30Days-Baseline'!C:D,2,FALSE),0),"NotExist")</f>
        <v>NotExist</v>
      </c>
      <c r="D1672" t="str">
        <f t="shared" si="54"/>
        <v>New</v>
      </c>
      <c r="E1672" t="e">
        <f>VLOOKUP(A:A,Reviewed!B:C,2,0)</f>
        <v>#N/A</v>
      </c>
      <c r="F1672" t="str">
        <f t="shared" si="55"/>
        <v/>
      </c>
    </row>
    <row r="1673" spans="3:6" x14ac:dyDescent="0.35">
      <c r="C1673" t="str">
        <f>IFERROR(ROUNDUP(VLOOKUP(F1673,'30Days-Baseline'!C:D,2,FALSE),0),"NotExist")</f>
        <v>NotExist</v>
      </c>
      <c r="D1673" t="str">
        <f t="shared" si="54"/>
        <v>New</v>
      </c>
      <c r="E1673" t="e">
        <f>VLOOKUP(A:A,Reviewed!B:C,2,0)</f>
        <v>#N/A</v>
      </c>
      <c r="F1673" t="str">
        <f t="shared" si="55"/>
        <v/>
      </c>
    </row>
    <row r="1674" spans="3:6" x14ac:dyDescent="0.35">
      <c r="C1674" t="str">
        <f>IFERROR(ROUNDUP(VLOOKUP(F1674,'30Days-Baseline'!C:D,2,FALSE),0),"NotExist")</f>
        <v>NotExist</v>
      </c>
      <c r="D1674" t="str">
        <f t="shared" si="54"/>
        <v>New</v>
      </c>
      <c r="E1674" t="e">
        <f>VLOOKUP(A:A,Reviewed!B:C,2,0)</f>
        <v>#N/A</v>
      </c>
      <c r="F1674" t="str">
        <f t="shared" si="55"/>
        <v/>
      </c>
    </row>
    <row r="1675" spans="3:6" x14ac:dyDescent="0.35">
      <c r="C1675" t="str">
        <f>IFERROR(ROUNDUP(VLOOKUP(F1675,'30Days-Baseline'!C:D,2,FALSE),0),"NotExist")</f>
        <v>NotExist</v>
      </c>
      <c r="D1675" t="str">
        <f t="shared" si="54"/>
        <v>New</v>
      </c>
      <c r="E1675" t="e">
        <f>VLOOKUP(A:A,Reviewed!B:C,2,0)</f>
        <v>#N/A</v>
      </c>
      <c r="F1675" t="str">
        <f t="shared" si="55"/>
        <v/>
      </c>
    </row>
    <row r="1676" spans="3:6" x14ac:dyDescent="0.35">
      <c r="C1676" t="str">
        <f>IFERROR(ROUNDUP(VLOOKUP(F1676,'30Days-Baseline'!C:D,2,FALSE),0),"NotExist")</f>
        <v>NotExist</v>
      </c>
      <c r="D1676" t="str">
        <f t="shared" si="54"/>
        <v>New</v>
      </c>
      <c r="E1676" t="e">
        <f>VLOOKUP(A:A,Reviewed!B:C,2,0)</f>
        <v>#N/A</v>
      </c>
      <c r="F1676" t="str">
        <f t="shared" si="55"/>
        <v/>
      </c>
    </row>
    <row r="1677" spans="3:6" x14ac:dyDescent="0.35">
      <c r="C1677" t="str">
        <f>IFERROR(ROUNDUP(VLOOKUP(F1677,'30Days-Baseline'!C:D,2,FALSE),0),"NotExist")</f>
        <v>NotExist</v>
      </c>
      <c r="D1677" t="str">
        <f t="shared" si="54"/>
        <v>New</v>
      </c>
      <c r="E1677" t="e">
        <f>VLOOKUP(A:A,Reviewed!B:C,2,0)</f>
        <v>#N/A</v>
      </c>
      <c r="F1677" t="str">
        <f t="shared" si="55"/>
        <v/>
      </c>
    </row>
    <row r="1678" spans="3:6" x14ac:dyDescent="0.35">
      <c r="C1678" t="str">
        <f>IFERROR(ROUNDUP(VLOOKUP(F1678,'30Days-Baseline'!C:D,2,FALSE),0),"NotExist")</f>
        <v>NotExist</v>
      </c>
      <c r="D1678" t="str">
        <f t="shared" si="54"/>
        <v>New</v>
      </c>
      <c r="E1678" t="e">
        <f>VLOOKUP(A:A,Reviewed!B:C,2,0)</f>
        <v>#N/A</v>
      </c>
      <c r="F1678" t="str">
        <f t="shared" si="55"/>
        <v/>
      </c>
    </row>
    <row r="1679" spans="3:6" x14ac:dyDescent="0.35">
      <c r="C1679" t="str">
        <f>IFERROR(ROUNDUP(VLOOKUP(F1679,'30Days-Baseline'!C:D,2,FALSE),0),"NotExist")</f>
        <v>NotExist</v>
      </c>
      <c r="D1679" t="str">
        <f t="shared" si="54"/>
        <v>New</v>
      </c>
      <c r="E1679" t="e">
        <f>VLOOKUP(A:A,Reviewed!B:C,2,0)</f>
        <v>#N/A</v>
      </c>
      <c r="F1679" t="str">
        <f t="shared" si="55"/>
        <v/>
      </c>
    </row>
    <row r="1680" spans="3:6" x14ac:dyDescent="0.35">
      <c r="C1680" t="str">
        <f>IFERROR(ROUNDUP(VLOOKUP(F1680,'30Days-Baseline'!C:D,2,FALSE),0),"NotExist")</f>
        <v>NotExist</v>
      </c>
      <c r="D1680" t="str">
        <f t="shared" si="54"/>
        <v>New</v>
      </c>
      <c r="E1680" t="e">
        <f>VLOOKUP(A:A,Reviewed!B:C,2,0)</f>
        <v>#N/A</v>
      </c>
      <c r="F1680" t="str">
        <f t="shared" si="55"/>
        <v/>
      </c>
    </row>
    <row r="1681" spans="3:6" x14ac:dyDescent="0.35">
      <c r="C1681" t="str">
        <f>IFERROR(ROUNDUP(VLOOKUP(F1681,'30Days-Baseline'!C:D,2,FALSE),0),"NotExist")</f>
        <v>NotExist</v>
      </c>
      <c r="D1681" t="str">
        <f t="shared" si="54"/>
        <v>New</v>
      </c>
      <c r="E1681" t="e">
        <f>VLOOKUP(A:A,Reviewed!B:C,2,0)</f>
        <v>#N/A</v>
      </c>
      <c r="F1681" t="str">
        <f t="shared" si="55"/>
        <v/>
      </c>
    </row>
    <row r="1682" spans="3:6" x14ac:dyDescent="0.35">
      <c r="C1682" t="str">
        <f>IFERROR(ROUNDUP(VLOOKUP(F1682,'30Days-Baseline'!C:D,2,FALSE),0),"NotExist")</f>
        <v>NotExist</v>
      </c>
      <c r="D1682" t="str">
        <f t="shared" si="54"/>
        <v>New</v>
      </c>
      <c r="E1682" t="e">
        <f>VLOOKUP(A:A,Reviewed!B:C,2,0)</f>
        <v>#N/A</v>
      </c>
      <c r="F1682" t="str">
        <f t="shared" si="55"/>
        <v/>
      </c>
    </row>
    <row r="1683" spans="3:6" x14ac:dyDescent="0.35">
      <c r="C1683" t="str">
        <f>IFERROR(ROUNDUP(VLOOKUP(F1683,'30Days-Baseline'!C:D,2,FALSE),0),"NotExist")</f>
        <v>NotExist</v>
      </c>
      <c r="D1683" t="str">
        <f t="shared" ref="D1683:D1746" si="56">IFERROR(IF(B1683&gt;ROUNDUP(C1683,0),"Elevated","Ok"),"New")</f>
        <v>New</v>
      </c>
      <c r="E1683" t="e">
        <f>VLOOKUP(A:A,Reviewed!B:C,2,0)</f>
        <v>#N/A</v>
      </c>
      <c r="F1683" t="str">
        <f t="shared" ref="F1683:F1746" si="57">LEFT(A1683,255)</f>
        <v/>
      </c>
    </row>
    <row r="1684" spans="3:6" x14ac:dyDescent="0.35">
      <c r="C1684" t="str">
        <f>IFERROR(ROUNDUP(VLOOKUP(F1684,'30Days-Baseline'!C:D,2,FALSE),0),"NotExist")</f>
        <v>NotExist</v>
      </c>
      <c r="D1684" t="str">
        <f t="shared" si="56"/>
        <v>New</v>
      </c>
      <c r="E1684" t="e">
        <f>VLOOKUP(A:A,Reviewed!B:C,2,0)</f>
        <v>#N/A</v>
      </c>
      <c r="F1684" t="str">
        <f t="shared" si="57"/>
        <v/>
      </c>
    </row>
    <row r="1685" spans="3:6" x14ac:dyDescent="0.35">
      <c r="C1685" t="str">
        <f>IFERROR(ROUNDUP(VLOOKUP(F1685,'30Days-Baseline'!C:D,2,FALSE),0),"NotExist")</f>
        <v>NotExist</v>
      </c>
      <c r="D1685" t="str">
        <f t="shared" si="56"/>
        <v>New</v>
      </c>
      <c r="E1685" t="e">
        <f>VLOOKUP(A:A,Reviewed!B:C,2,0)</f>
        <v>#N/A</v>
      </c>
      <c r="F1685" t="str">
        <f t="shared" si="57"/>
        <v/>
      </c>
    </row>
    <row r="1686" spans="3:6" x14ac:dyDescent="0.35">
      <c r="C1686" t="str">
        <f>IFERROR(ROUNDUP(VLOOKUP(F1686,'30Days-Baseline'!C:D,2,FALSE),0),"NotExist")</f>
        <v>NotExist</v>
      </c>
      <c r="D1686" t="str">
        <f t="shared" si="56"/>
        <v>New</v>
      </c>
      <c r="E1686" t="e">
        <f>VLOOKUP(A:A,Reviewed!B:C,2,0)</f>
        <v>#N/A</v>
      </c>
      <c r="F1686" t="str">
        <f t="shared" si="57"/>
        <v/>
      </c>
    </row>
    <row r="1687" spans="3:6" x14ac:dyDescent="0.35">
      <c r="C1687" t="str">
        <f>IFERROR(ROUNDUP(VLOOKUP(F1687,'30Days-Baseline'!C:D,2,FALSE),0),"NotExist")</f>
        <v>NotExist</v>
      </c>
      <c r="D1687" t="str">
        <f t="shared" si="56"/>
        <v>New</v>
      </c>
      <c r="E1687" t="e">
        <f>VLOOKUP(A:A,Reviewed!B:C,2,0)</f>
        <v>#N/A</v>
      </c>
      <c r="F1687" t="str">
        <f t="shared" si="57"/>
        <v/>
      </c>
    </row>
    <row r="1688" spans="3:6" x14ac:dyDescent="0.35">
      <c r="C1688" t="str">
        <f>IFERROR(ROUNDUP(VLOOKUP(F1688,'30Days-Baseline'!C:D,2,FALSE),0),"NotExist")</f>
        <v>NotExist</v>
      </c>
      <c r="D1688" t="str">
        <f t="shared" si="56"/>
        <v>New</v>
      </c>
      <c r="E1688" t="e">
        <f>VLOOKUP(A:A,Reviewed!B:C,2,0)</f>
        <v>#N/A</v>
      </c>
      <c r="F1688" t="str">
        <f t="shared" si="57"/>
        <v/>
      </c>
    </row>
    <row r="1689" spans="3:6" x14ac:dyDescent="0.35">
      <c r="C1689" t="str">
        <f>IFERROR(ROUNDUP(VLOOKUP(F1689,'30Days-Baseline'!C:D,2,FALSE),0),"NotExist")</f>
        <v>NotExist</v>
      </c>
      <c r="D1689" t="str">
        <f t="shared" si="56"/>
        <v>New</v>
      </c>
      <c r="E1689" t="e">
        <f>VLOOKUP(A:A,Reviewed!B:C,2,0)</f>
        <v>#N/A</v>
      </c>
      <c r="F1689" t="str">
        <f t="shared" si="57"/>
        <v/>
      </c>
    </row>
    <row r="1690" spans="3:6" x14ac:dyDescent="0.35">
      <c r="C1690" t="str">
        <f>IFERROR(ROUNDUP(VLOOKUP(F1690,'30Days-Baseline'!C:D,2,FALSE),0),"NotExist")</f>
        <v>NotExist</v>
      </c>
      <c r="D1690" t="str">
        <f t="shared" si="56"/>
        <v>New</v>
      </c>
      <c r="E1690" t="e">
        <f>VLOOKUP(A:A,Reviewed!B:C,2,0)</f>
        <v>#N/A</v>
      </c>
      <c r="F1690" t="str">
        <f t="shared" si="57"/>
        <v/>
      </c>
    </row>
    <row r="1691" spans="3:6" x14ac:dyDescent="0.35">
      <c r="C1691" t="str">
        <f>IFERROR(ROUNDUP(VLOOKUP(F1691,'30Days-Baseline'!C:D,2,FALSE),0),"NotExist")</f>
        <v>NotExist</v>
      </c>
      <c r="D1691" t="str">
        <f t="shared" si="56"/>
        <v>New</v>
      </c>
      <c r="E1691" t="e">
        <f>VLOOKUP(A:A,Reviewed!B:C,2,0)</f>
        <v>#N/A</v>
      </c>
      <c r="F1691" t="str">
        <f t="shared" si="57"/>
        <v/>
      </c>
    </row>
    <row r="1692" spans="3:6" x14ac:dyDescent="0.35">
      <c r="C1692" t="str">
        <f>IFERROR(ROUNDUP(VLOOKUP(F1692,'30Days-Baseline'!C:D,2,FALSE),0),"NotExist")</f>
        <v>NotExist</v>
      </c>
      <c r="D1692" t="str">
        <f t="shared" si="56"/>
        <v>New</v>
      </c>
      <c r="E1692" t="e">
        <f>VLOOKUP(A:A,Reviewed!B:C,2,0)</f>
        <v>#N/A</v>
      </c>
      <c r="F1692" t="str">
        <f t="shared" si="57"/>
        <v/>
      </c>
    </row>
    <row r="1693" spans="3:6" x14ac:dyDescent="0.35">
      <c r="C1693" t="str">
        <f>IFERROR(ROUNDUP(VLOOKUP(F1693,'30Days-Baseline'!C:D,2,FALSE),0),"NotExist")</f>
        <v>NotExist</v>
      </c>
      <c r="D1693" t="str">
        <f t="shared" si="56"/>
        <v>New</v>
      </c>
      <c r="E1693" t="e">
        <f>VLOOKUP(A:A,Reviewed!B:C,2,0)</f>
        <v>#N/A</v>
      </c>
      <c r="F1693" t="str">
        <f t="shared" si="57"/>
        <v/>
      </c>
    </row>
    <row r="1694" spans="3:6" x14ac:dyDescent="0.35">
      <c r="C1694" t="str">
        <f>IFERROR(ROUNDUP(VLOOKUP(F1694,'30Days-Baseline'!C:D,2,FALSE),0),"NotExist")</f>
        <v>NotExist</v>
      </c>
      <c r="D1694" t="str">
        <f t="shared" si="56"/>
        <v>New</v>
      </c>
      <c r="E1694" t="e">
        <f>VLOOKUP(A:A,Reviewed!B:C,2,0)</f>
        <v>#N/A</v>
      </c>
      <c r="F1694" t="str">
        <f t="shared" si="57"/>
        <v/>
      </c>
    </row>
    <row r="1695" spans="3:6" x14ac:dyDescent="0.35">
      <c r="C1695" t="str">
        <f>IFERROR(ROUNDUP(VLOOKUP(F1695,'30Days-Baseline'!C:D,2,FALSE),0),"NotExist")</f>
        <v>NotExist</v>
      </c>
      <c r="D1695" t="str">
        <f t="shared" si="56"/>
        <v>New</v>
      </c>
      <c r="E1695" t="e">
        <f>VLOOKUP(A:A,Reviewed!B:C,2,0)</f>
        <v>#N/A</v>
      </c>
      <c r="F1695" t="str">
        <f t="shared" si="57"/>
        <v/>
      </c>
    </row>
    <row r="1696" spans="3:6" x14ac:dyDescent="0.35">
      <c r="C1696" t="str">
        <f>IFERROR(ROUNDUP(VLOOKUP(F1696,'30Days-Baseline'!C:D,2,FALSE),0),"NotExist")</f>
        <v>NotExist</v>
      </c>
      <c r="D1696" t="str">
        <f t="shared" si="56"/>
        <v>New</v>
      </c>
      <c r="E1696" t="e">
        <f>VLOOKUP(A:A,Reviewed!B:C,2,0)</f>
        <v>#N/A</v>
      </c>
      <c r="F1696" t="str">
        <f t="shared" si="57"/>
        <v/>
      </c>
    </row>
    <row r="1697" spans="3:6" x14ac:dyDescent="0.35">
      <c r="C1697" t="str">
        <f>IFERROR(ROUNDUP(VLOOKUP(F1697,'30Days-Baseline'!C:D,2,FALSE),0),"NotExist")</f>
        <v>NotExist</v>
      </c>
      <c r="D1697" t="str">
        <f t="shared" si="56"/>
        <v>New</v>
      </c>
      <c r="E1697" t="e">
        <f>VLOOKUP(A:A,Reviewed!B:C,2,0)</f>
        <v>#N/A</v>
      </c>
      <c r="F1697" t="str">
        <f t="shared" si="57"/>
        <v/>
      </c>
    </row>
    <row r="1698" spans="3:6" x14ac:dyDescent="0.35">
      <c r="C1698" t="str">
        <f>IFERROR(ROUNDUP(VLOOKUP(F1698,'30Days-Baseline'!C:D,2,FALSE),0),"NotExist")</f>
        <v>NotExist</v>
      </c>
      <c r="D1698" t="str">
        <f t="shared" si="56"/>
        <v>New</v>
      </c>
      <c r="E1698" t="e">
        <f>VLOOKUP(A:A,Reviewed!B:C,2,0)</f>
        <v>#N/A</v>
      </c>
      <c r="F1698" t="str">
        <f t="shared" si="57"/>
        <v/>
      </c>
    </row>
    <row r="1699" spans="3:6" x14ac:dyDescent="0.35">
      <c r="C1699" t="str">
        <f>IFERROR(ROUNDUP(VLOOKUP(F1699,'30Days-Baseline'!C:D,2,FALSE),0),"NotExist")</f>
        <v>NotExist</v>
      </c>
      <c r="D1699" t="str">
        <f t="shared" si="56"/>
        <v>New</v>
      </c>
      <c r="E1699" t="e">
        <f>VLOOKUP(A:A,Reviewed!B:C,2,0)</f>
        <v>#N/A</v>
      </c>
      <c r="F1699" t="str">
        <f t="shared" si="57"/>
        <v/>
      </c>
    </row>
    <row r="1700" spans="3:6" x14ac:dyDescent="0.35">
      <c r="C1700" t="str">
        <f>IFERROR(ROUNDUP(VLOOKUP(F1700,'30Days-Baseline'!C:D,2,FALSE),0),"NotExist")</f>
        <v>NotExist</v>
      </c>
      <c r="D1700" t="str">
        <f t="shared" si="56"/>
        <v>New</v>
      </c>
      <c r="E1700" t="e">
        <f>VLOOKUP(A:A,Reviewed!B:C,2,0)</f>
        <v>#N/A</v>
      </c>
      <c r="F1700" t="str">
        <f t="shared" si="57"/>
        <v/>
      </c>
    </row>
    <row r="1701" spans="3:6" x14ac:dyDescent="0.35">
      <c r="C1701" t="str">
        <f>IFERROR(ROUNDUP(VLOOKUP(F1701,'30Days-Baseline'!C:D,2,FALSE),0),"NotExist")</f>
        <v>NotExist</v>
      </c>
      <c r="D1701" t="str">
        <f t="shared" si="56"/>
        <v>New</v>
      </c>
      <c r="E1701" t="e">
        <f>VLOOKUP(A:A,Reviewed!B:C,2,0)</f>
        <v>#N/A</v>
      </c>
      <c r="F1701" t="str">
        <f t="shared" si="57"/>
        <v/>
      </c>
    </row>
    <row r="1702" spans="3:6" x14ac:dyDescent="0.35">
      <c r="C1702" t="str">
        <f>IFERROR(ROUNDUP(VLOOKUP(F1702,'30Days-Baseline'!C:D,2,FALSE),0),"NotExist")</f>
        <v>NotExist</v>
      </c>
      <c r="D1702" t="str">
        <f t="shared" si="56"/>
        <v>New</v>
      </c>
      <c r="E1702" t="e">
        <f>VLOOKUP(A:A,Reviewed!B:C,2,0)</f>
        <v>#N/A</v>
      </c>
      <c r="F1702" t="str">
        <f t="shared" si="57"/>
        <v/>
      </c>
    </row>
    <row r="1703" spans="3:6" x14ac:dyDescent="0.35">
      <c r="C1703" t="str">
        <f>IFERROR(ROUNDUP(VLOOKUP(F1703,'30Days-Baseline'!C:D,2,FALSE),0),"NotExist")</f>
        <v>NotExist</v>
      </c>
      <c r="D1703" t="str">
        <f t="shared" si="56"/>
        <v>New</v>
      </c>
      <c r="E1703" t="e">
        <f>VLOOKUP(A:A,Reviewed!B:C,2,0)</f>
        <v>#N/A</v>
      </c>
      <c r="F1703" t="str">
        <f t="shared" si="57"/>
        <v/>
      </c>
    </row>
    <row r="1704" spans="3:6" x14ac:dyDescent="0.35">
      <c r="C1704" t="str">
        <f>IFERROR(ROUNDUP(VLOOKUP(F1704,'30Days-Baseline'!C:D,2,FALSE),0),"NotExist")</f>
        <v>NotExist</v>
      </c>
      <c r="D1704" t="str">
        <f t="shared" si="56"/>
        <v>New</v>
      </c>
      <c r="E1704" t="e">
        <f>VLOOKUP(A:A,Reviewed!B:C,2,0)</f>
        <v>#N/A</v>
      </c>
      <c r="F1704" t="str">
        <f t="shared" si="57"/>
        <v/>
      </c>
    </row>
    <row r="1705" spans="3:6" x14ac:dyDescent="0.35">
      <c r="C1705" t="str">
        <f>IFERROR(ROUNDUP(VLOOKUP(F1705,'30Days-Baseline'!C:D,2,FALSE),0),"NotExist")</f>
        <v>NotExist</v>
      </c>
      <c r="D1705" t="str">
        <f t="shared" si="56"/>
        <v>New</v>
      </c>
      <c r="E1705" t="e">
        <f>VLOOKUP(A:A,Reviewed!B:C,2,0)</f>
        <v>#N/A</v>
      </c>
      <c r="F1705" t="str">
        <f t="shared" si="57"/>
        <v/>
      </c>
    </row>
    <row r="1706" spans="3:6" x14ac:dyDescent="0.35">
      <c r="C1706" t="str">
        <f>IFERROR(ROUNDUP(VLOOKUP(F1706,'30Days-Baseline'!C:D,2,FALSE),0),"NotExist")</f>
        <v>NotExist</v>
      </c>
      <c r="D1706" t="str">
        <f t="shared" si="56"/>
        <v>New</v>
      </c>
      <c r="E1706" t="e">
        <f>VLOOKUP(A:A,Reviewed!B:C,2,0)</f>
        <v>#N/A</v>
      </c>
      <c r="F1706" t="str">
        <f t="shared" si="57"/>
        <v/>
      </c>
    </row>
    <row r="1707" spans="3:6" x14ac:dyDescent="0.35">
      <c r="C1707" t="str">
        <f>IFERROR(ROUNDUP(VLOOKUP(F1707,'30Days-Baseline'!C:D,2,FALSE),0),"NotExist")</f>
        <v>NotExist</v>
      </c>
      <c r="D1707" t="str">
        <f t="shared" si="56"/>
        <v>New</v>
      </c>
      <c r="E1707" t="e">
        <f>VLOOKUP(A:A,Reviewed!B:C,2,0)</f>
        <v>#N/A</v>
      </c>
      <c r="F1707" t="str">
        <f t="shared" si="57"/>
        <v/>
      </c>
    </row>
    <row r="1708" spans="3:6" x14ac:dyDescent="0.35">
      <c r="C1708" t="str">
        <f>IFERROR(ROUNDUP(VLOOKUP(F1708,'30Days-Baseline'!C:D,2,FALSE),0),"NotExist")</f>
        <v>NotExist</v>
      </c>
      <c r="D1708" t="str">
        <f t="shared" si="56"/>
        <v>New</v>
      </c>
      <c r="E1708" t="e">
        <f>VLOOKUP(A:A,Reviewed!B:C,2,0)</f>
        <v>#N/A</v>
      </c>
      <c r="F1708" t="str">
        <f t="shared" si="57"/>
        <v/>
      </c>
    </row>
    <row r="1709" spans="3:6" x14ac:dyDescent="0.35">
      <c r="C1709" t="str">
        <f>IFERROR(ROUNDUP(VLOOKUP(F1709,'30Days-Baseline'!C:D,2,FALSE),0),"NotExist")</f>
        <v>NotExist</v>
      </c>
      <c r="D1709" t="str">
        <f t="shared" si="56"/>
        <v>New</v>
      </c>
      <c r="E1709" t="e">
        <f>VLOOKUP(A:A,Reviewed!B:C,2,0)</f>
        <v>#N/A</v>
      </c>
      <c r="F1709" t="str">
        <f t="shared" si="57"/>
        <v/>
      </c>
    </row>
    <row r="1710" spans="3:6" x14ac:dyDescent="0.35">
      <c r="C1710" t="str">
        <f>IFERROR(ROUNDUP(VLOOKUP(F1710,'30Days-Baseline'!C:D,2,FALSE),0),"NotExist")</f>
        <v>NotExist</v>
      </c>
      <c r="D1710" t="str">
        <f t="shared" si="56"/>
        <v>New</v>
      </c>
      <c r="E1710" t="e">
        <f>VLOOKUP(A:A,Reviewed!B:C,2,0)</f>
        <v>#N/A</v>
      </c>
      <c r="F1710" t="str">
        <f t="shared" si="57"/>
        <v/>
      </c>
    </row>
    <row r="1711" spans="3:6" x14ac:dyDescent="0.35">
      <c r="C1711" t="str">
        <f>IFERROR(ROUNDUP(VLOOKUP(F1711,'30Days-Baseline'!C:D,2,FALSE),0),"NotExist")</f>
        <v>NotExist</v>
      </c>
      <c r="D1711" t="str">
        <f t="shared" si="56"/>
        <v>New</v>
      </c>
      <c r="E1711" t="e">
        <f>VLOOKUP(A:A,Reviewed!B:C,2,0)</f>
        <v>#N/A</v>
      </c>
      <c r="F1711" t="str">
        <f t="shared" si="57"/>
        <v/>
      </c>
    </row>
    <row r="1712" spans="3:6" x14ac:dyDescent="0.35">
      <c r="C1712" t="str">
        <f>IFERROR(ROUNDUP(VLOOKUP(F1712,'30Days-Baseline'!C:D,2,FALSE),0),"NotExist")</f>
        <v>NotExist</v>
      </c>
      <c r="D1712" t="str">
        <f t="shared" si="56"/>
        <v>New</v>
      </c>
      <c r="E1712" t="e">
        <f>VLOOKUP(A:A,Reviewed!B:C,2,0)</f>
        <v>#N/A</v>
      </c>
      <c r="F1712" t="str">
        <f t="shared" si="57"/>
        <v/>
      </c>
    </row>
    <row r="1713" spans="3:6" x14ac:dyDescent="0.35">
      <c r="C1713" t="str">
        <f>IFERROR(ROUNDUP(VLOOKUP(F1713,'30Days-Baseline'!C:D,2,FALSE),0),"NotExist")</f>
        <v>NotExist</v>
      </c>
      <c r="D1713" t="str">
        <f t="shared" si="56"/>
        <v>New</v>
      </c>
      <c r="E1713" t="e">
        <f>VLOOKUP(A:A,Reviewed!B:C,2,0)</f>
        <v>#N/A</v>
      </c>
      <c r="F1713" t="str">
        <f t="shared" si="57"/>
        <v/>
      </c>
    </row>
    <row r="1714" spans="3:6" x14ac:dyDescent="0.35">
      <c r="C1714" t="str">
        <f>IFERROR(ROUNDUP(VLOOKUP(F1714,'30Days-Baseline'!C:D,2,FALSE),0),"NotExist")</f>
        <v>NotExist</v>
      </c>
      <c r="D1714" t="str">
        <f t="shared" si="56"/>
        <v>New</v>
      </c>
      <c r="E1714" t="e">
        <f>VLOOKUP(A:A,Reviewed!B:C,2,0)</f>
        <v>#N/A</v>
      </c>
      <c r="F1714" t="str">
        <f t="shared" si="57"/>
        <v/>
      </c>
    </row>
    <row r="1715" spans="3:6" x14ac:dyDescent="0.35">
      <c r="C1715" t="str">
        <f>IFERROR(ROUNDUP(VLOOKUP(F1715,'30Days-Baseline'!C:D,2,FALSE),0),"NotExist")</f>
        <v>NotExist</v>
      </c>
      <c r="D1715" t="str">
        <f t="shared" si="56"/>
        <v>New</v>
      </c>
      <c r="E1715" t="e">
        <f>VLOOKUP(A:A,Reviewed!B:C,2,0)</f>
        <v>#N/A</v>
      </c>
      <c r="F1715" t="str">
        <f t="shared" si="57"/>
        <v/>
      </c>
    </row>
    <row r="1716" spans="3:6" x14ac:dyDescent="0.35">
      <c r="C1716" t="str">
        <f>IFERROR(ROUNDUP(VLOOKUP(F1716,'30Days-Baseline'!C:D,2,FALSE),0),"NotExist")</f>
        <v>NotExist</v>
      </c>
      <c r="D1716" t="str">
        <f t="shared" si="56"/>
        <v>New</v>
      </c>
      <c r="E1716" t="e">
        <f>VLOOKUP(A:A,Reviewed!B:C,2,0)</f>
        <v>#N/A</v>
      </c>
      <c r="F1716" t="str">
        <f t="shared" si="57"/>
        <v/>
      </c>
    </row>
    <row r="1717" spans="3:6" x14ac:dyDescent="0.35">
      <c r="C1717" t="str">
        <f>IFERROR(ROUNDUP(VLOOKUP(F1717,'30Days-Baseline'!C:D,2,FALSE),0),"NotExist")</f>
        <v>NotExist</v>
      </c>
      <c r="D1717" t="str">
        <f t="shared" si="56"/>
        <v>New</v>
      </c>
      <c r="E1717" t="e">
        <f>VLOOKUP(A:A,Reviewed!B:C,2,0)</f>
        <v>#N/A</v>
      </c>
      <c r="F1717" t="str">
        <f t="shared" si="57"/>
        <v/>
      </c>
    </row>
    <row r="1718" spans="3:6" x14ac:dyDescent="0.35">
      <c r="C1718" t="str">
        <f>IFERROR(ROUNDUP(VLOOKUP(F1718,'30Days-Baseline'!C:D,2,FALSE),0),"NotExist")</f>
        <v>NotExist</v>
      </c>
      <c r="D1718" t="str">
        <f t="shared" si="56"/>
        <v>New</v>
      </c>
      <c r="E1718" t="e">
        <f>VLOOKUP(A:A,Reviewed!B:C,2,0)</f>
        <v>#N/A</v>
      </c>
      <c r="F1718" t="str">
        <f t="shared" si="57"/>
        <v/>
      </c>
    </row>
    <row r="1719" spans="3:6" x14ac:dyDescent="0.35">
      <c r="C1719" t="str">
        <f>IFERROR(ROUNDUP(VLOOKUP(F1719,'30Days-Baseline'!C:D,2,FALSE),0),"NotExist")</f>
        <v>NotExist</v>
      </c>
      <c r="D1719" t="str">
        <f t="shared" si="56"/>
        <v>New</v>
      </c>
      <c r="E1719" t="e">
        <f>VLOOKUP(A:A,Reviewed!B:C,2,0)</f>
        <v>#N/A</v>
      </c>
      <c r="F1719" t="str">
        <f t="shared" si="57"/>
        <v/>
      </c>
    </row>
    <row r="1720" spans="3:6" x14ac:dyDescent="0.35">
      <c r="C1720" t="str">
        <f>IFERROR(ROUNDUP(VLOOKUP(F1720,'30Days-Baseline'!C:D,2,FALSE),0),"NotExist")</f>
        <v>NotExist</v>
      </c>
      <c r="D1720" t="str">
        <f t="shared" si="56"/>
        <v>New</v>
      </c>
      <c r="E1720" t="e">
        <f>VLOOKUP(A:A,Reviewed!B:C,2,0)</f>
        <v>#N/A</v>
      </c>
      <c r="F1720" t="str">
        <f t="shared" si="57"/>
        <v/>
      </c>
    </row>
    <row r="1721" spans="3:6" x14ac:dyDescent="0.35">
      <c r="C1721" t="str">
        <f>IFERROR(ROUNDUP(VLOOKUP(F1721,'30Days-Baseline'!C:D,2,FALSE),0),"NotExist")</f>
        <v>NotExist</v>
      </c>
      <c r="D1721" t="str">
        <f t="shared" si="56"/>
        <v>New</v>
      </c>
      <c r="E1721" t="e">
        <f>VLOOKUP(A:A,Reviewed!B:C,2,0)</f>
        <v>#N/A</v>
      </c>
      <c r="F1721" t="str">
        <f t="shared" si="57"/>
        <v/>
      </c>
    </row>
    <row r="1722" spans="3:6" x14ac:dyDescent="0.35">
      <c r="C1722" t="str">
        <f>IFERROR(ROUNDUP(VLOOKUP(F1722,'30Days-Baseline'!C:D,2,FALSE),0),"NotExist")</f>
        <v>NotExist</v>
      </c>
      <c r="D1722" t="str">
        <f t="shared" si="56"/>
        <v>New</v>
      </c>
      <c r="E1722" t="e">
        <f>VLOOKUP(A:A,Reviewed!B:C,2,0)</f>
        <v>#N/A</v>
      </c>
      <c r="F1722" t="str">
        <f t="shared" si="57"/>
        <v/>
      </c>
    </row>
    <row r="1723" spans="3:6" x14ac:dyDescent="0.35">
      <c r="C1723" t="str">
        <f>IFERROR(ROUNDUP(VLOOKUP(F1723,'30Days-Baseline'!C:D,2,FALSE),0),"NotExist")</f>
        <v>NotExist</v>
      </c>
      <c r="D1723" t="str">
        <f t="shared" si="56"/>
        <v>New</v>
      </c>
      <c r="E1723" t="e">
        <f>VLOOKUP(A:A,Reviewed!B:C,2,0)</f>
        <v>#N/A</v>
      </c>
      <c r="F1723" t="str">
        <f t="shared" si="57"/>
        <v/>
      </c>
    </row>
    <row r="1724" spans="3:6" x14ac:dyDescent="0.35">
      <c r="C1724" t="str">
        <f>IFERROR(ROUNDUP(VLOOKUP(F1724,'30Days-Baseline'!C:D,2,FALSE),0),"NotExist")</f>
        <v>NotExist</v>
      </c>
      <c r="D1724" t="str">
        <f t="shared" si="56"/>
        <v>New</v>
      </c>
      <c r="E1724" t="e">
        <f>VLOOKUP(A:A,Reviewed!B:C,2,0)</f>
        <v>#N/A</v>
      </c>
      <c r="F1724" t="str">
        <f t="shared" si="57"/>
        <v/>
      </c>
    </row>
    <row r="1725" spans="3:6" x14ac:dyDescent="0.35">
      <c r="C1725" t="str">
        <f>IFERROR(ROUNDUP(VLOOKUP(F1725,'30Days-Baseline'!C:D,2,FALSE),0),"NotExist")</f>
        <v>NotExist</v>
      </c>
      <c r="D1725" t="str">
        <f t="shared" si="56"/>
        <v>New</v>
      </c>
      <c r="E1725" t="e">
        <f>VLOOKUP(A:A,Reviewed!B:C,2,0)</f>
        <v>#N/A</v>
      </c>
      <c r="F1725" t="str">
        <f t="shared" si="57"/>
        <v/>
      </c>
    </row>
    <row r="1726" spans="3:6" x14ac:dyDescent="0.35">
      <c r="C1726" t="str">
        <f>IFERROR(ROUNDUP(VLOOKUP(F1726,'30Days-Baseline'!C:D,2,FALSE),0),"NotExist")</f>
        <v>NotExist</v>
      </c>
      <c r="D1726" t="str">
        <f t="shared" si="56"/>
        <v>New</v>
      </c>
      <c r="E1726" t="e">
        <f>VLOOKUP(A:A,Reviewed!B:C,2,0)</f>
        <v>#N/A</v>
      </c>
      <c r="F1726" t="str">
        <f t="shared" si="57"/>
        <v/>
      </c>
    </row>
    <row r="1727" spans="3:6" x14ac:dyDescent="0.35">
      <c r="C1727" t="str">
        <f>IFERROR(ROUNDUP(VLOOKUP(F1727,'30Days-Baseline'!C:D,2,FALSE),0),"NotExist")</f>
        <v>NotExist</v>
      </c>
      <c r="D1727" t="str">
        <f t="shared" si="56"/>
        <v>New</v>
      </c>
      <c r="E1727" t="e">
        <f>VLOOKUP(A:A,Reviewed!B:C,2,0)</f>
        <v>#N/A</v>
      </c>
      <c r="F1727" t="str">
        <f t="shared" si="57"/>
        <v/>
      </c>
    </row>
    <row r="1728" spans="3:6" x14ac:dyDescent="0.35">
      <c r="C1728" t="str">
        <f>IFERROR(ROUNDUP(VLOOKUP(F1728,'30Days-Baseline'!C:D,2,FALSE),0),"NotExist")</f>
        <v>NotExist</v>
      </c>
      <c r="D1728" t="str">
        <f t="shared" si="56"/>
        <v>New</v>
      </c>
      <c r="E1728" t="e">
        <f>VLOOKUP(A:A,Reviewed!B:C,2,0)</f>
        <v>#N/A</v>
      </c>
      <c r="F1728" t="str">
        <f t="shared" si="57"/>
        <v/>
      </c>
    </row>
    <row r="1729" spans="1:6" x14ac:dyDescent="0.35">
      <c r="C1729" t="str">
        <f>IFERROR(ROUNDUP(VLOOKUP(F1729,'30Days-Baseline'!C:D,2,FALSE),0),"NotExist")</f>
        <v>NotExist</v>
      </c>
      <c r="D1729" t="str">
        <f t="shared" si="56"/>
        <v>New</v>
      </c>
      <c r="E1729" t="e">
        <f>VLOOKUP(A:A,Reviewed!B:C,2,0)</f>
        <v>#N/A</v>
      </c>
      <c r="F1729" t="str">
        <f t="shared" si="57"/>
        <v/>
      </c>
    </row>
    <row r="1730" spans="1:6" x14ac:dyDescent="0.35">
      <c r="C1730" t="str">
        <f>IFERROR(ROUNDUP(VLOOKUP(F1730,'30Days-Baseline'!C:D,2,FALSE),0),"NotExist")</f>
        <v>NotExist</v>
      </c>
      <c r="D1730" t="str">
        <f t="shared" si="56"/>
        <v>New</v>
      </c>
      <c r="E1730" t="e">
        <f>VLOOKUP(A:A,Reviewed!B:C,2,0)</f>
        <v>#N/A</v>
      </c>
      <c r="F1730" t="str">
        <f t="shared" si="57"/>
        <v/>
      </c>
    </row>
    <row r="1731" spans="1:6" x14ac:dyDescent="0.35">
      <c r="C1731" t="str">
        <f>IFERROR(ROUNDUP(VLOOKUP(F1731,'30Days-Baseline'!C:D,2,FALSE),0),"NotExist")</f>
        <v>NotExist</v>
      </c>
      <c r="D1731" t="str">
        <f t="shared" si="56"/>
        <v>New</v>
      </c>
      <c r="E1731" t="e">
        <f>VLOOKUP(A:A,Reviewed!B:C,2,0)</f>
        <v>#N/A</v>
      </c>
      <c r="F1731" t="str">
        <f t="shared" si="57"/>
        <v/>
      </c>
    </row>
    <row r="1732" spans="1:6" x14ac:dyDescent="0.35">
      <c r="C1732" t="str">
        <f>IFERROR(ROUNDUP(VLOOKUP(F1732,'30Days-Baseline'!C:D,2,FALSE),0),"NotExist")</f>
        <v>NotExist</v>
      </c>
      <c r="D1732" t="str">
        <f t="shared" si="56"/>
        <v>New</v>
      </c>
      <c r="E1732" t="e">
        <f>VLOOKUP(A:A,Reviewed!B:C,2,0)</f>
        <v>#N/A</v>
      </c>
      <c r="F1732" t="str">
        <f t="shared" si="57"/>
        <v/>
      </c>
    </row>
    <row r="1733" spans="1:6" x14ac:dyDescent="0.35">
      <c r="C1733" t="str">
        <f>IFERROR(ROUNDUP(VLOOKUP(F1733,'30Days-Baseline'!C:D,2,FALSE),0),"NotExist")</f>
        <v>NotExist</v>
      </c>
      <c r="D1733" t="str">
        <f t="shared" si="56"/>
        <v>New</v>
      </c>
      <c r="E1733" t="e">
        <f>VLOOKUP(A:A,Reviewed!B:C,2,0)</f>
        <v>#N/A</v>
      </c>
      <c r="F1733" t="str">
        <f t="shared" si="57"/>
        <v/>
      </c>
    </row>
    <row r="1734" spans="1:6" x14ac:dyDescent="0.35">
      <c r="C1734" t="str">
        <f>IFERROR(ROUNDUP(VLOOKUP(F1734,'30Days-Baseline'!C:D,2,FALSE),0),"NotExist")</f>
        <v>NotExist</v>
      </c>
      <c r="D1734" t="str">
        <f t="shared" si="56"/>
        <v>New</v>
      </c>
      <c r="E1734" t="e">
        <f>VLOOKUP(A:A,Reviewed!B:C,2,0)</f>
        <v>#N/A</v>
      </c>
      <c r="F1734" t="str">
        <f t="shared" si="57"/>
        <v/>
      </c>
    </row>
    <row r="1735" spans="1:6" x14ac:dyDescent="0.35">
      <c r="C1735" t="str">
        <f>IFERROR(ROUNDUP(VLOOKUP(F1735,'30Days-Baseline'!C:D,2,FALSE),0),"NotExist")</f>
        <v>NotExist</v>
      </c>
      <c r="D1735" t="str">
        <f t="shared" si="56"/>
        <v>New</v>
      </c>
      <c r="E1735" t="e">
        <f>VLOOKUP(A:A,Reviewed!B:C,2,0)</f>
        <v>#N/A</v>
      </c>
      <c r="F1735" t="str">
        <f t="shared" si="57"/>
        <v/>
      </c>
    </row>
    <row r="1736" spans="1:6" x14ac:dyDescent="0.35">
      <c r="C1736" t="str">
        <f>IFERROR(ROUNDUP(VLOOKUP(F1736,'30Days-Baseline'!C:D,2,FALSE),0),"NotExist")</f>
        <v>NotExist</v>
      </c>
      <c r="D1736" t="str">
        <f t="shared" si="56"/>
        <v>New</v>
      </c>
      <c r="E1736" t="e">
        <f>VLOOKUP(A:A,Reviewed!B:C,2,0)</f>
        <v>#N/A</v>
      </c>
      <c r="F1736" t="str">
        <f t="shared" si="57"/>
        <v/>
      </c>
    </row>
    <row r="1737" spans="1:6" x14ac:dyDescent="0.35">
      <c r="C1737" t="str">
        <f>IFERROR(ROUNDUP(VLOOKUP(F1737,'30Days-Baseline'!C:D,2,FALSE),0),"NotExist")</f>
        <v>NotExist</v>
      </c>
      <c r="D1737" t="str">
        <f t="shared" si="56"/>
        <v>New</v>
      </c>
      <c r="E1737" t="e">
        <f>VLOOKUP(A:A,Reviewed!B:C,2,0)</f>
        <v>#N/A</v>
      </c>
      <c r="F1737" t="str">
        <f t="shared" si="57"/>
        <v/>
      </c>
    </row>
    <row r="1738" spans="1:6" x14ac:dyDescent="0.35">
      <c r="C1738" t="str">
        <f>IFERROR(ROUNDUP(VLOOKUP(F1738,'30Days-Baseline'!C:D,2,FALSE),0),"NotExist")</f>
        <v>NotExist</v>
      </c>
      <c r="D1738" t="str">
        <f t="shared" si="56"/>
        <v>New</v>
      </c>
      <c r="E1738" t="e">
        <f>VLOOKUP(A:A,Reviewed!B:C,2,0)</f>
        <v>#N/A</v>
      </c>
      <c r="F1738" t="str">
        <f t="shared" si="57"/>
        <v/>
      </c>
    </row>
    <row r="1739" spans="1:6" x14ac:dyDescent="0.35">
      <c r="A1739" s="4"/>
      <c r="C1739" t="str">
        <f>IFERROR(ROUNDUP(VLOOKUP(F1739,'30Days-Baseline'!C:D,2,FALSE),0),"NotExist")</f>
        <v>NotExist</v>
      </c>
      <c r="D1739" t="str">
        <f t="shared" si="56"/>
        <v>New</v>
      </c>
      <c r="E1739" t="e">
        <f>VLOOKUP(A:A,Reviewed!B:C,2,0)</f>
        <v>#N/A</v>
      </c>
      <c r="F1739" t="str">
        <f t="shared" si="57"/>
        <v/>
      </c>
    </row>
    <row r="1740" spans="1:6" x14ac:dyDescent="0.35">
      <c r="A1740" s="4"/>
      <c r="C1740" t="str">
        <f>IFERROR(ROUNDUP(VLOOKUP(F1740,'30Days-Baseline'!C:D,2,FALSE),0),"NotExist")</f>
        <v>NotExist</v>
      </c>
      <c r="D1740" t="str">
        <f t="shared" si="56"/>
        <v>New</v>
      </c>
      <c r="E1740" t="e">
        <f>VLOOKUP(A:A,Reviewed!B:C,2,0)</f>
        <v>#N/A</v>
      </c>
      <c r="F1740" t="str">
        <f t="shared" si="57"/>
        <v/>
      </c>
    </row>
    <row r="1741" spans="1:6" x14ac:dyDescent="0.35">
      <c r="A1741" s="4"/>
      <c r="C1741" t="str">
        <f>IFERROR(ROUNDUP(VLOOKUP(F1741,'30Days-Baseline'!C:D,2,FALSE),0),"NotExist")</f>
        <v>NotExist</v>
      </c>
      <c r="D1741" t="str">
        <f t="shared" si="56"/>
        <v>New</v>
      </c>
      <c r="E1741" t="e">
        <f>VLOOKUP(A:A,Reviewed!B:C,2,0)</f>
        <v>#N/A</v>
      </c>
      <c r="F1741" t="str">
        <f t="shared" si="57"/>
        <v/>
      </c>
    </row>
    <row r="1742" spans="1:6" x14ac:dyDescent="0.35">
      <c r="A1742" s="4"/>
      <c r="C1742" t="str">
        <f>IFERROR(ROUNDUP(VLOOKUP(F1742,'30Days-Baseline'!C:D,2,FALSE),0),"NotExist")</f>
        <v>NotExist</v>
      </c>
      <c r="D1742" t="str">
        <f t="shared" si="56"/>
        <v>New</v>
      </c>
      <c r="E1742" t="e">
        <f>VLOOKUP(A:A,Reviewed!B:C,2,0)</f>
        <v>#N/A</v>
      </c>
      <c r="F1742" t="str">
        <f t="shared" si="57"/>
        <v/>
      </c>
    </row>
    <row r="1743" spans="1:6" x14ac:dyDescent="0.35">
      <c r="A1743" s="4"/>
      <c r="C1743" t="str">
        <f>IFERROR(ROUNDUP(VLOOKUP(F1743,'30Days-Baseline'!C:D,2,FALSE),0),"NotExist")</f>
        <v>NotExist</v>
      </c>
      <c r="D1743" t="str">
        <f t="shared" si="56"/>
        <v>New</v>
      </c>
      <c r="E1743" t="e">
        <f>VLOOKUP(A:A,Reviewed!B:C,2,0)</f>
        <v>#N/A</v>
      </c>
      <c r="F1743" t="str">
        <f t="shared" si="57"/>
        <v/>
      </c>
    </row>
    <row r="1744" spans="1:6" x14ac:dyDescent="0.35">
      <c r="A1744" s="4"/>
      <c r="C1744" t="str">
        <f>IFERROR(ROUNDUP(VLOOKUP(F1744,'30Days-Baseline'!C:D,2,FALSE),0),"NotExist")</f>
        <v>NotExist</v>
      </c>
      <c r="D1744" t="str">
        <f t="shared" si="56"/>
        <v>New</v>
      </c>
      <c r="E1744" t="e">
        <f>VLOOKUP(A:A,Reviewed!B:C,2,0)</f>
        <v>#N/A</v>
      </c>
      <c r="F1744" t="str">
        <f t="shared" si="57"/>
        <v/>
      </c>
    </row>
    <row r="1745" spans="3:6" x14ac:dyDescent="0.35">
      <c r="C1745" t="str">
        <f>IFERROR(ROUNDUP(VLOOKUP(F1745,'30Days-Baseline'!C:D,2,FALSE),0),"NotExist")</f>
        <v>NotExist</v>
      </c>
      <c r="D1745" t="str">
        <f t="shared" si="56"/>
        <v>New</v>
      </c>
      <c r="E1745" t="e">
        <f>VLOOKUP(A:A,Reviewed!B:C,2,0)</f>
        <v>#N/A</v>
      </c>
      <c r="F1745" t="str">
        <f t="shared" si="57"/>
        <v/>
      </c>
    </row>
    <row r="1746" spans="3:6" x14ac:dyDescent="0.35">
      <c r="C1746" t="str">
        <f>IFERROR(ROUNDUP(VLOOKUP(F1746,'30Days-Baseline'!C:D,2,FALSE),0),"NotExist")</f>
        <v>NotExist</v>
      </c>
      <c r="D1746" t="str">
        <f t="shared" si="56"/>
        <v>New</v>
      </c>
      <c r="E1746" t="e">
        <f>VLOOKUP(A:A,Reviewed!B:C,2,0)</f>
        <v>#N/A</v>
      </c>
      <c r="F1746" t="str">
        <f t="shared" si="57"/>
        <v/>
      </c>
    </row>
    <row r="1747" spans="3:6" x14ac:dyDescent="0.35">
      <c r="C1747" t="str">
        <f>IFERROR(ROUNDUP(VLOOKUP(F1747,'30Days-Baseline'!C:D,2,FALSE),0),"NotExist")</f>
        <v>NotExist</v>
      </c>
      <c r="D1747" t="str">
        <f t="shared" ref="D1747:D1810" si="58">IFERROR(IF(B1747&gt;ROUNDUP(C1747,0),"Elevated","Ok"),"New")</f>
        <v>New</v>
      </c>
      <c r="E1747" t="e">
        <f>VLOOKUP(A:A,Reviewed!B:C,2,0)</f>
        <v>#N/A</v>
      </c>
      <c r="F1747" t="str">
        <f t="shared" ref="F1747:F1810" si="59">LEFT(A1747,255)</f>
        <v/>
      </c>
    </row>
    <row r="1748" spans="3:6" x14ac:dyDescent="0.35">
      <c r="C1748" t="str">
        <f>IFERROR(ROUNDUP(VLOOKUP(F1748,'30Days-Baseline'!C:D,2,FALSE),0),"NotExist")</f>
        <v>NotExist</v>
      </c>
      <c r="D1748" t="str">
        <f t="shared" si="58"/>
        <v>New</v>
      </c>
      <c r="E1748" t="e">
        <f>VLOOKUP(A:A,Reviewed!B:C,2,0)</f>
        <v>#N/A</v>
      </c>
      <c r="F1748" t="str">
        <f t="shared" si="59"/>
        <v/>
      </c>
    </row>
    <row r="1749" spans="3:6" x14ac:dyDescent="0.35">
      <c r="C1749" t="str">
        <f>IFERROR(ROUNDUP(VLOOKUP(F1749,'30Days-Baseline'!C:D,2,FALSE),0),"NotExist")</f>
        <v>NotExist</v>
      </c>
      <c r="D1749" t="str">
        <f t="shared" si="58"/>
        <v>New</v>
      </c>
      <c r="E1749" t="e">
        <f>VLOOKUP(A:A,Reviewed!B:C,2,0)</f>
        <v>#N/A</v>
      </c>
      <c r="F1749" t="str">
        <f t="shared" si="59"/>
        <v/>
      </c>
    </row>
    <row r="1750" spans="3:6" x14ac:dyDescent="0.35">
      <c r="C1750" t="str">
        <f>IFERROR(ROUNDUP(VLOOKUP(F1750,'30Days-Baseline'!C:D,2,FALSE),0),"NotExist")</f>
        <v>NotExist</v>
      </c>
      <c r="D1750" t="str">
        <f t="shared" si="58"/>
        <v>New</v>
      </c>
      <c r="E1750" t="e">
        <f>VLOOKUP(A:A,Reviewed!B:C,2,0)</f>
        <v>#N/A</v>
      </c>
      <c r="F1750" t="str">
        <f t="shared" si="59"/>
        <v/>
      </c>
    </row>
    <row r="1751" spans="3:6" x14ac:dyDescent="0.35">
      <c r="C1751" t="str">
        <f>IFERROR(ROUNDUP(VLOOKUP(F1751,'30Days-Baseline'!C:D,2,FALSE),0),"NotExist")</f>
        <v>NotExist</v>
      </c>
      <c r="D1751" t="str">
        <f t="shared" si="58"/>
        <v>New</v>
      </c>
      <c r="E1751" t="e">
        <f>VLOOKUP(A:A,Reviewed!B:C,2,0)</f>
        <v>#N/A</v>
      </c>
      <c r="F1751" t="str">
        <f t="shared" si="59"/>
        <v/>
      </c>
    </row>
    <row r="1752" spans="3:6" x14ac:dyDescent="0.35">
      <c r="C1752" t="str">
        <f>IFERROR(ROUNDUP(VLOOKUP(F1752,'30Days-Baseline'!C:D,2,FALSE),0),"NotExist")</f>
        <v>NotExist</v>
      </c>
      <c r="D1752" t="str">
        <f t="shared" si="58"/>
        <v>New</v>
      </c>
      <c r="E1752" t="e">
        <f>VLOOKUP(A:A,Reviewed!B:C,2,0)</f>
        <v>#N/A</v>
      </c>
      <c r="F1752" t="str">
        <f t="shared" si="59"/>
        <v/>
      </c>
    </row>
    <row r="1753" spans="3:6" x14ac:dyDescent="0.35">
      <c r="C1753" t="str">
        <f>IFERROR(ROUNDUP(VLOOKUP(F1753,'30Days-Baseline'!C:D,2,FALSE),0),"NotExist")</f>
        <v>NotExist</v>
      </c>
      <c r="D1753" t="str">
        <f t="shared" si="58"/>
        <v>New</v>
      </c>
      <c r="E1753" t="e">
        <f>VLOOKUP(A:A,Reviewed!B:C,2,0)</f>
        <v>#N/A</v>
      </c>
      <c r="F1753" t="str">
        <f t="shared" si="59"/>
        <v/>
      </c>
    </row>
    <row r="1754" spans="3:6" x14ac:dyDescent="0.35">
      <c r="C1754" t="str">
        <f>IFERROR(ROUNDUP(VLOOKUP(F1754,'30Days-Baseline'!C:D,2,FALSE),0),"NotExist")</f>
        <v>NotExist</v>
      </c>
      <c r="D1754" t="str">
        <f t="shared" si="58"/>
        <v>New</v>
      </c>
      <c r="E1754" t="e">
        <f>VLOOKUP(A:A,Reviewed!B:C,2,0)</f>
        <v>#N/A</v>
      </c>
      <c r="F1754" t="str">
        <f t="shared" si="59"/>
        <v/>
      </c>
    </row>
    <row r="1755" spans="3:6" x14ac:dyDescent="0.35">
      <c r="C1755" t="str">
        <f>IFERROR(ROUNDUP(VLOOKUP(F1755,'30Days-Baseline'!C:D,2,FALSE),0),"NotExist")</f>
        <v>NotExist</v>
      </c>
      <c r="D1755" t="str">
        <f t="shared" si="58"/>
        <v>New</v>
      </c>
      <c r="E1755" t="e">
        <f>VLOOKUP(A:A,Reviewed!B:C,2,0)</f>
        <v>#N/A</v>
      </c>
      <c r="F1755" t="str">
        <f t="shared" si="59"/>
        <v/>
      </c>
    </row>
    <row r="1756" spans="3:6" x14ac:dyDescent="0.35">
      <c r="C1756" t="str">
        <f>IFERROR(ROUNDUP(VLOOKUP(F1756,'30Days-Baseline'!C:D,2,FALSE),0),"NotExist")</f>
        <v>NotExist</v>
      </c>
      <c r="D1756" t="str">
        <f t="shared" si="58"/>
        <v>New</v>
      </c>
      <c r="E1756" t="e">
        <f>VLOOKUP(A:A,Reviewed!B:C,2,0)</f>
        <v>#N/A</v>
      </c>
      <c r="F1756" t="str">
        <f t="shared" si="59"/>
        <v/>
      </c>
    </row>
    <row r="1757" spans="3:6" x14ac:dyDescent="0.35">
      <c r="C1757" t="str">
        <f>IFERROR(ROUNDUP(VLOOKUP(F1757,'30Days-Baseline'!C:D,2,FALSE),0),"NotExist")</f>
        <v>NotExist</v>
      </c>
      <c r="D1757" t="str">
        <f t="shared" si="58"/>
        <v>New</v>
      </c>
      <c r="E1757" t="e">
        <f>VLOOKUP(A:A,Reviewed!B:C,2,0)</f>
        <v>#N/A</v>
      </c>
      <c r="F1757" t="str">
        <f t="shared" si="59"/>
        <v/>
      </c>
    </row>
    <row r="1758" spans="3:6" x14ac:dyDescent="0.35">
      <c r="C1758" t="str">
        <f>IFERROR(ROUNDUP(VLOOKUP(F1758,'30Days-Baseline'!C:D,2,FALSE),0),"NotExist")</f>
        <v>NotExist</v>
      </c>
      <c r="D1758" t="str">
        <f t="shared" si="58"/>
        <v>New</v>
      </c>
      <c r="E1758" t="e">
        <f>VLOOKUP(A:A,Reviewed!B:C,2,0)</f>
        <v>#N/A</v>
      </c>
      <c r="F1758" t="str">
        <f t="shared" si="59"/>
        <v/>
      </c>
    </row>
    <row r="1759" spans="3:6" x14ac:dyDescent="0.35">
      <c r="C1759" t="str">
        <f>IFERROR(ROUNDUP(VLOOKUP(F1759,'30Days-Baseline'!C:D,2,FALSE),0),"NotExist")</f>
        <v>NotExist</v>
      </c>
      <c r="D1759" t="str">
        <f t="shared" si="58"/>
        <v>New</v>
      </c>
      <c r="E1759" t="e">
        <f>VLOOKUP(A:A,Reviewed!B:C,2,0)</f>
        <v>#N/A</v>
      </c>
      <c r="F1759" t="str">
        <f t="shared" si="59"/>
        <v/>
      </c>
    </row>
    <row r="1760" spans="3:6" x14ac:dyDescent="0.35">
      <c r="C1760" t="str">
        <f>IFERROR(ROUNDUP(VLOOKUP(F1760,'30Days-Baseline'!C:D,2,FALSE),0),"NotExist")</f>
        <v>NotExist</v>
      </c>
      <c r="D1760" t="str">
        <f t="shared" si="58"/>
        <v>New</v>
      </c>
      <c r="E1760" t="e">
        <f>VLOOKUP(A:A,Reviewed!B:C,2,0)</f>
        <v>#N/A</v>
      </c>
      <c r="F1760" t="str">
        <f t="shared" si="59"/>
        <v/>
      </c>
    </row>
    <row r="1761" spans="3:6" x14ac:dyDescent="0.35">
      <c r="C1761" t="str">
        <f>IFERROR(ROUNDUP(VLOOKUP(F1761,'30Days-Baseline'!C:D,2,FALSE),0),"NotExist")</f>
        <v>NotExist</v>
      </c>
      <c r="D1761" t="str">
        <f t="shared" si="58"/>
        <v>New</v>
      </c>
      <c r="E1761" t="e">
        <f>VLOOKUP(A:A,Reviewed!B:C,2,0)</f>
        <v>#N/A</v>
      </c>
      <c r="F1761" t="str">
        <f t="shared" si="59"/>
        <v/>
      </c>
    </row>
    <row r="1762" spans="3:6" x14ac:dyDescent="0.35">
      <c r="C1762" t="str">
        <f>IFERROR(ROUNDUP(VLOOKUP(F1762,'30Days-Baseline'!C:D,2,FALSE),0),"NotExist")</f>
        <v>NotExist</v>
      </c>
      <c r="D1762" t="str">
        <f t="shared" si="58"/>
        <v>New</v>
      </c>
      <c r="E1762" t="e">
        <f>VLOOKUP(A:A,Reviewed!B:C,2,0)</f>
        <v>#N/A</v>
      </c>
      <c r="F1762" t="str">
        <f t="shared" si="59"/>
        <v/>
      </c>
    </row>
    <row r="1763" spans="3:6" x14ac:dyDescent="0.35">
      <c r="C1763" t="str">
        <f>IFERROR(ROUNDUP(VLOOKUP(F1763,'30Days-Baseline'!C:D,2,FALSE),0),"NotExist")</f>
        <v>NotExist</v>
      </c>
      <c r="D1763" t="str">
        <f t="shared" si="58"/>
        <v>New</v>
      </c>
      <c r="E1763" t="e">
        <f>VLOOKUP(A:A,Reviewed!B:C,2,0)</f>
        <v>#N/A</v>
      </c>
      <c r="F1763" t="str">
        <f t="shared" si="59"/>
        <v/>
      </c>
    </row>
    <row r="1764" spans="3:6" x14ac:dyDescent="0.35">
      <c r="C1764" t="str">
        <f>IFERROR(ROUNDUP(VLOOKUP(F1764,'30Days-Baseline'!C:D,2,FALSE),0),"NotExist")</f>
        <v>NotExist</v>
      </c>
      <c r="D1764" t="str">
        <f t="shared" si="58"/>
        <v>New</v>
      </c>
      <c r="E1764" t="e">
        <f>VLOOKUP(A:A,Reviewed!B:C,2,0)</f>
        <v>#N/A</v>
      </c>
      <c r="F1764" t="str">
        <f t="shared" si="59"/>
        <v/>
      </c>
    </row>
    <row r="1765" spans="3:6" x14ac:dyDescent="0.35">
      <c r="C1765" t="str">
        <f>IFERROR(ROUNDUP(VLOOKUP(F1765,'30Days-Baseline'!C:D,2,FALSE),0),"NotExist")</f>
        <v>NotExist</v>
      </c>
      <c r="D1765" t="str">
        <f t="shared" si="58"/>
        <v>New</v>
      </c>
      <c r="E1765" t="e">
        <f>VLOOKUP(A:A,Reviewed!B:C,2,0)</f>
        <v>#N/A</v>
      </c>
      <c r="F1765" t="str">
        <f t="shared" si="59"/>
        <v/>
      </c>
    </row>
    <row r="1766" spans="3:6" x14ac:dyDescent="0.35">
      <c r="C1766" t="str">
        <f>IFERROR(ROUNDUP(VLOOKUP(F1766,'30Days-Baseline'!C:D,2,FALSE),0),"NotExist")</f>
        <v>NotExist</v>
      </c>
      <c r="D1766" t="str">
        <f t="shared" si="58"/>
        <v>New</v>
      </c>
      <c r="E1766" t="e">
        <f>VLOOKUP(A:A,Reviewed!B:C,2,0)</f>
        <v>#N/A</v>
      </c>
      <c r="F1766" t="str">
        <f t="shared" si="59"/>
        <v/>
      </c>
    </row>
    <row r="1767" spans="3:6" x14ac:dyDescent="0.35">
      <c r="C1767" t="str">
        <f>IFERROR(ROUNDUP(VLOOKUP(F1767,'30Days-Baseline'!C:D,2,FALSE),0),"NotExist")</f>
        <v>NotExist</v>
      </c>
      <c r="D1767" t="str">
        <f t="shared" si="58"/>
        <v>New</v>
      </c>
      <c r="E1767" t="e">
        <f>VLOOKUP(A:A,Reviewed!B:C,2,0)</f>
        <v>#N/A</v>
      </c>
      <c r="F1767" t="str">
        <f t="shared" si="59"/>
        <v/>
      </c>
    </row>
    <row r="1768" spans="3:6" x14ac:dyDescent="0.35">
      <c r="C1768" t="str">
        <f>IFERROR(ROUNDUP(VLOOKUP(F1768,'30Days-Baseline'!C:D,2,FALSE),0),"NotExist")</f>
        <v>NotExist</v>
      </c>
      <c r="D1768" t="str">
        <f t="shared" si="58"/>
        <v>New</v>
      </c>
      <c r="E1768" t="e">
        <f>VLOOKUP(A:A,Reviewed!B:C,2,0)</f>
        <v>#N/A</v>
      </c>
      <c r="F1768" t="str">
        <f t="shared" si="59"/>
        <v/>
      </c>
    </row>
    <row r="1769" spans="3:6" x14ac:dyDescent="0.35">
      <c r="C1769" t="str">
        <f>IFERROR(ROUNDUP(VLOOKUP(F1769,'30Days-Baseline'!C:D,2,FALSE),0),"NotExist")</f>
        <v>NotExist</v>
      </c>
      <c r="D1769" t="str">
        <f t="shared" si="58"/>
        <v>New</v>
      </c>
      <c r="E1769" t="e">
        <f>VLOOKUP(A:A,Reviewed!B:C,2,0)</f>
        <v>#N/A</v>
      </c>
      <c r="F1769" t="str">
        <f t="shared" si="59"/>
        <v/>
      </c>
    </row>
    <row r="1770" spans="3:6" x14ac:dyDescent="0.35">
      <c r="C1770" t="str">
        <f>IFERROR(ROUNDUP(VLOOKUP(F1770,'30Days-Baseline'!C:D,2,FALSE),0),"NotExist")</f>
        <v>NotExist</v>
      </c>
      <c r="D1770" t="str">
        <f t="shared" si="58"/>
        <v>New</v>
      </c>
      <c r="E1770" t="e">
        <f>VLOOKUP(A:A,Reviewed!B:C,2,0)</f>
        <v>#N/A</v>
      </c>
      <c r="F1770" t="str">
        <f t="shared" si="59"/>
        <v/>
      </c>
    </row>
    <row r="1771" spans="3:6" x14ac:dyDescent="0.35">
      <c r="C1771" t="str">
        <f>IFERROR(ROUNDUP(VLOOKUP(F1771,'30Days-Baseline'!C:D,2,FALSE),0),"NotExist")</f>
        <v>NotExist</v>
      </c>
      <c r="D1771" t="str">
        <f t="shared" si="58"/>
        <v>New</v>
      </c>
      <c r="E1771" t="e">
        <f>VLOOKUP(A:A,Reviewed!B:C,2,0)</f>
        <v>#N/A</v>
      </c>
      <c r="F1771" t="str">
        <f t="shared" si="59"/>
        <v/>
      </c>
    </row>
    <row r="1772" spans="3:6" x14ac:dyDescent="0.35">
      <c r="C1772" t="str">
        <f>IFERROR(ROUNDUP(VLOOKUP(F1772,'30Days-Baseline'!C:D,2,FALSE),0),"NotExist")</f>
        <v>NotExist</v>
      </c>
      <c r="D1772" t="str">
        <f t="shared" si="58"/>
        <v>New</v>
      </c>
      <c r="E1772" t="e">
        <f>VLOOKUP(A:A,Reviewed!B:C,2,0)</f>
        <v>#N/A</v>
      </c>
      <c r="F1772" t="str">
        <f t="shared" si="59"/>
        <v/>
      </c>
    </row>
    <row r="1773" spans="3:6" x14ac:dyDescent="0.35">
      <c r="C1773" t="str">
        <f>IFERROR(ROUNDUP(VLOOKUP(F1773,'30Days-Baseline'!C:D,2,FALSE),0),"NotExist")</f>
        <v>NotExist</v>
      </c>
      <c r="D1773" t="str">
        <f t="shared" si="58"/>
        <v>New</v>
      </c>
      <c r="E1773" t="e">
        <f>VLOOKUP(A:A,Reviewed!B:C,2,0)</f>
        <v>#N/A</v>
      </c>
      <c r="F1773" t="str">
        <f t="shared" si="59"/>
        <v/>
      </c>
    </row>
    <row r="1774" spans="3:6" x14ac:dyDescent="0.35">
      <c r="C1774" t="str">
        <f>IFERROR(ROUNDUP(VLOOKUP(F1774,'30Days-Baseline'!C:D,2,FALSE),0),"NotExist")</f>
        <v>NotExist</v>
      </c>
      <c r="D1774" t="str">
        <f t="shared" si="58"/>
        <v>New</v>
      </c>
      <c r="E1774" t="e">
        <f>VLOOKUP(A:A,Reviewed!B:C,2,0)</f>
        <v>#N/A</v>
      </c>
      <c r="F1774" t="str">
        <f t="shared" si="59"/>
        <v/>
      </c>
    </row>
    <row r="1775" spans="3:6" x14ac:dyDescent="0.35">
      <c r="C1775" t="str">
        <f>IFERROR(ROUNDUP(VLOOKUP(F1775,'30Days-Baseline'!C:D,2,FALSE),0),"NotExist")</f>
        <v>NotExist</v>
      </c>
      <c r="D1775" t="str">
        <f t="shared" si="58"/>
        <v>New</v>
      </c>
      <c r="E1775" t="e">
        <f>VLOOKUP(A:A,Reviewed!B:C,2,0)</f>
        <v>#N/A</v>
      </c>
      <c r="F1775" t="str">
        <f t="shared" si="59"/>
        <v/>
      </c>
    </row>
    <row r="1776" spans="3:6" x14ac:dyDescent="0.35">
      <c r="C1776" t="str">
        <f>IFERROR(ROUNDUP(VLOOKUP(F1776,'30Days-Baseline'!C:D,2,FALSE),0),"NotExist")</f>
        <v>NotExist</v>
      </c>
      <c r="D1776" t="str">
        <f t="shared" si="58"/>
        <v>New</v>
      </c>
      <c r="E1776" t="e">
        <f>VLOOKUP(A:A,Reviewed!B:C,2,0)</f>
        <v>#N/A</v>
      </c>
      <c r="F1776" t="str">
        <f t="shared" si="59"/>
        <v/>
      </c>
    </row>
    <row r="1777" spans="3:6" x14ac:dyDescent="0.35">
      <c r="C1777" t="str">
        <f>IFERROR(ROUNDUP(VLOOKUP(F1777,'30Days-Baseline'!C:D,2,FALSE),0),"NotExist")</f>
        <v>NotExist</v>
      </c>
      <c r="D1777" t="str">
        <f t="shared" si="58"/>
        <v>New</v>
      </c>
      <c r="E1777" t="e">
        <f>VLOOKUP(A:A,Reviewed!B:C,2,0)</f>
        <v>#N/A</v>
      </c>
      <c r="F1777" t="str">
        <f t="shared" si="59"/>
        <v/>
      </c>
    </row>
    <row r="1778" spans="3:6" x14ac:dyDescent="0.35">
      <c r="C1778" t="str">
        <f>IFERROR(ROUNDUP(VLOOKUP(F1778,'30Days-Baseline'!C:D,2,FALSE),0),"NotExist")</f>
        <v>NotExist</v>
      </c>
      <c r="D1778" t="str">
        <f t="shared" si="58"/>
        <v>New</v>
      </c>
      <c r="E1778" t="e">
        <f>VLOOKUP(A:A,Reviewed!B:C,2,0)</f>
        <v>#N/A</v>
      </c>
      <c r="F1778" t="str">
        <f t="shared" si="59"/>
        <v/>
      </c>
    </row>
    <row r="1779" spans="3:6" x14ac:dyDescent="0.35">
      <c r="C1779" t="str">
        <f>IFERROR(ROUNDUP(VLOOKUP(F1779,'30Days-Baseline'!C:D,2,FALSE),0),"NotExist")</f>
        <v>NotExist</v>
      </c>
      <c r="D1779" t="str">
        <f t="shared" si="58"/>
        <v>New</v>
      </c>
      <c r="E1779" t="e">
        <f>VLOOKUP(A:A,Reviewed!B:C,2,0)</f>
        <v>#N/A</v>
      </c>
      <c r="F1779" t="str">
        <f t="shared" si="59"/>
        <v/>
      </c>
    </row>
    <row r="1780" spans="3:6" x14ac:dyDescent="0.35">
      <c r="C1780" t="str">
        <f>IFERROR(ROUNDUP(VLOOKUP(F1780,'30Days-Baseline'!C:D,2,FALSE),0),"NotExist")</f>
        <v>NotExist</v>
      </c>
      <c r="D1780" t="str">
        <f t="shared" si="58"/>
        <v>New</v>
      </c>
      <c r="E1780" t="e">
        <f>VLOOKUP(A:A,Reviewed!B:C,2,0)</f>
        <v>#N/A</v>
      </c>
      <c r="F1780" t="str">
        <f t="shared" si="59"/>
        <v/>
      </c>
    </row>
    <row r="1781" spans="3:6" x14ac:dyDescent="0.35">
      <c r="C1781" t="str">
        <f>IFERROR(ROUNDUP(VLOOKUP(F1781,'30Days-Baseline'!C:D,2,FALSE),0),"NotExist")</f>
        <v>NotExist</v>
      </c>
      <c r="D1781" t="str">
        <f t="shared" si="58"/>
        <v>New</v>
      </c>
      <c r="E1781" t="e">
        <f>VLOOKUP(A:A,Reviewed!B:C,2,0)</f>
        <v>#N/A</v>
      </c>
      <c r="F1781" t="str">
        <f t="shared" si="59"/>
        <v/>
      </c>
    </row>
    <row r="1782" spans="3:6" x14ac:dyDescent="0.35">
      <c r="C1782" t="str">
        <f>IFERROR(ROUNDUP(VLOOKUP(F1782,'30Days-Baseline'!C:D,2,FALSE),0),"NotExist")</f>
        <v>NotExist</v>
      </c>
      <c r="D1782" t="str">
        <f t="shared" si="58"/>
        <v>New</v>
      </c>
      <c r="E1782" t="e">
        <f>VLOOKUP(A:A,Reviewed!B:C,2,0)</f>
        <v>#N/A</v>
      </c>
      <c r="F1782" t="str">
        <f t="shared" si="59"/>
        <v/>
      </c>
    </row>
    <row r="1783" spans="3:6" x14ac:dyDescent="0.35">
      <c r="C1783" t="str">
        <f>IFERROR(ROUNDUP(VLOOKUP(F1783,'30Days-Baseline'!C:D,2,FALSE),0),"NotExist")</f>
        <v>NotExist</v>
      </c>
      <c r="D1783" t="str">
        <f t="shared" si="58"/>
        <v>New</v>
      </c>
      <c r="E1783" t="e">
        <f>VLOOKUP(A:A,Reviewed!B:C,2,0)</f>
        <v>#N/A</v>
      </c>
      <c r="F1783" t="str">
        <f t="shared" si="59"/>
        <v/>
      </c>
    </row>
    <row r="1784" spans="3:6" x14ac:dyDescent="0.35">
      <c r="C1784" t="str">
        <f>IFERROR(ROUNDUP(VLOOKUP(F1784,'30Days-Baseline'!C:D,2,FALSE),0),"NotExist")</f>
        <v>NotExist</v>
      </c>
      <c r="D1784" t="str">
        <f t="shared" si="58"/>
        <v>New</v>
      </c>
      <c r="E1784" t="e">
        <f>VLOOKUP(A:A,Reviewed!B:C,2,0)</f>
        <v>#N/A</v>
      </c>
      <c r="F1784" t="str">
        <f t="shared" si="59"/>
        <v/>
      </c>
    </row>
    <row r="1785" spans="3:6" x14ac:dyDescent="0.35">
      <c r="C1785" t="str">
        <f>IFERROR(ROUNDUP(VLOOKUP(F1785,'30Days-Baseline'!C:D,2,FALSE),0),"NotExist")</f>
        <v>NotExist</v>
      </c>
      <c r="D1785" t="str">
        <f t="shared" si="58"/>
        <v>New</v>
      </c>
      <c r="E1785" t="e">
        <f>VLOOKUP(A:A,Reviewed!B:C,2,0)</f>
        <v>#N/A</v>
      </c>
      <c r="F1785" t="str">
        <f t="shared" si="59"/>
        <v/>
      </c>
    </row>
    <row r="1786" spans="3:6" x14ac:dyDescent="0.35">
      <c r="C1786" t="str">
        <f>IFERROR(ROUNDUP(VLOOKUP(F1786,'30Days-Baseline'!C:D,2,FALSE),0),"NotExist")</f>
        <v>NotExist</v>
      </c>
      <c r="D1786" t="str">
        <f t="shared" si="58"/>
        <v>New</v>
      </c>
      <c r="E1786" t="e">
        <f>VLOOKUP(A:A,Reviewed!B:C,2,0)</f>
        <v>#N/A</v>
      </c>
      <c r="F1786" t="str">
        <f t="shared" si="59"/>
        <v/>
      </c>
    </row>
    <row r="1787" spans="3:6" x14ac:dyDescent="0.35">
      <c r="C1787" t="str">
        <f>IFERROR(ROUNDUP(VLOOKUP(F1787,'30Days-Baseline'!C:D,2,FALSE),0),"NotExist")</f>
        <v>NotExist</v>
      </c>
      <c r="D1787" t="str">
        <f t="shared" si="58"/>
        <v>New</v>
      </c>
      <c r="E1787" t="e">
        <f>VLOOKUP(A:A,Reviewed!B:C,2,0)</f>
        <v>#N/A</v>
      </c>
      <c r="F1787" t="str">
        <f t="shared" si="59"/>
        <v/>
      </c>
    </row>
    <row r="1788" spans="3:6" x14ac:dyDescent="0.35">
      <c r="C1788" t="str">
        <f>IFERROR(ROUNDUP(VLOOKUP(F1788,'30Days-Baseline'!C:D,2,FALSE),0),"NotExist")</f>
        <v>NotExist</v>
      </c>
      <c r="D1788" t="str">
        <f t="shared" si="58"/>
        <v>New</v>
      </c>
      <c r="E1788" t="e">
        <f>VLOOKUP(A:A,Reviewed!B:C,2,0)</f>
        <v>#N/A</v>
      </c>
      <c r="F1788" t="str">
        <f t="shared" si="59"/>
        <v/>
      </c>
    </row>
    <row r="1789" spans="3:6" x14ac:dyDescent="0.35">
      <c r="C1789" t="str">
        <f>IFERROR(ROUNDUP(VLOOKUP(F1789,'30Days-Baseline'!C:D,2,FALSE),0),"NotExist")</f>
        <v>NotExist</v>
      </c>
      <c r="D1789" t="str">
        <f t="shared" si="58"/>
        <v>New</v>
      </c>
      <c r="E1789" t="e">
        <f>VLOOKUP(A:A,Reviewed!B:C,2,0)</f>
        <v>#N/A</v>
      </c>
      <c r="F1789" t="str">
        <f t="shared" si="59"/>
        <v/>
      </c>
    </row>
    <row r="1790" spans="3:6" x14ac:dyDescent="0.35">
      <c r="C1790" t="str">
        <f>IFERROR(ROUNDUP(VLOOKUP(F1790,'30Days-Baseline'!C:D,2,FALSE),0),"NotExist")</f>
        <v>NotExist</v>
      </c>
      <c r="D1790" t="str">
        <f t="shared" si="58"/>
        <v>New</v>
      </c>
      <c r="E1790" t="e">
        <f>VLOOKUP(A:A,Reviewed!B:C,2,0)</f>
        <v>#N/A</v>
      </c>
      <c r="F1790" t="str">
        <f t="shared" si="59"/>
        <v/>
      </c>
    </row>
    <row r="1791" spans="3:6" x14ac:dyDescent="0.35">
      <c r="C1791" t="str">
        <f>IFERROR(ROUNDUP(VLOOKUP(F1791,'30Days-Baseline'!C:D,2,FALSE),0),"NotExist")</f>
        <v>NotExist</v>
      </c>
      <c r="D1791" t="str">
        <f t="shared" si="58"/>
        <v>New</v>
      </c>
      <c r="E1791" t="e">
        <f>VLOOKUP(A:A,Reviewed!B:C,2,0)</f>
        <v>#N/A</v>
      </c>
      <c r="F1791" t="str">
        <f t="shared" si="59"/>
        <v/>
      </c>
    </row>
    <row r="1792" spans="3:6" x14ac:dyDescent="0.35">
      <c r="C1792" t="str">
        <f>IFERROR(ROUNDUP(VLOOKUP(F1792,'30Days-Baseline'!C:D,2,FALSE),0),"NotExist")</f>
        <v>NotExist</v>
      </c>
      <c r="D1792" t="str">
        <f t="shared" si="58"/>
        <v>New</v>
      </c>
      <c r="E1792" t="e">
        <f>VLOOKUP(A:A,Reviewed!B:C,2,0)</f>
        <v>#N/A</v>
      </c>
      <c r="F1792" t="str">
        <f t="shared" si="59"/>
        <v/>
      </c>
    </row>
    <row r="1793" spans="3:6" x14ac:dyDescent="0.35">
      <c r="C1793" t="str">
        <f>IFERROR(ROUNDUP(VLOOKUP(F1793,'30Days-Baseline'!C:D,2,FALSE),0),"NotExist")</f>
        <v>NotExist</v>
      </c>
      <c r="D1793" t="str">
        <f t="shared" si="58"/>
        <v>New</v>
      </c>
      <c r="E1793" t="e">
        <f>VLOOKUP(A:A,Reviewed!B:C,2,0)</f>
        <v>#N/A</v>
      </c>
      <c r="F1793" t="str">
        <f t="shared" si="59"/>
        <v/>
      </c>
    </row>
    <row r="1794" spans="3:6" x14ac:dyDescent="0.35">
      <c r="C1794" t="str">
        <f>IFERROR(ROUNDUP(VLOOKUP(F1794,'30Days-Baseline'!C:D,2,FALSE),0),"NotExist")</f>
        <v>NotExist</v>
      </c>
      <c r="D1794" t="str">
        <f t="shared" si="58"/>
        <v>New</v>
      </c>
      <c r="E1794" t="e">
        <f>VLOOKUP(A:A,Reviewed!B:C,2,0)</f>
        <v>#N/A</v>
      </c>
      <c r="F1794" t="str">
        <f t="shared" si="59"/>
        <v/>
      </c>
    </row>
    <row r="1795" spans="3:6" x14ac:dyDescent="0.35">
      <c r="C1795" t="str">
        <f>IFERROR(ROUNDUP(VLOOKUP(F1795,'30Days-Baseline'!C:D,2,FALSE),0),"NotExist")</f>
        <v>NotExist</v>
      </c>
      <c r="D1795" t="str">
        <f t="shared" si="58"/>
        <v>New</v>
      </c>
      <c r="E1795" t="e">
        <f>VLOOKUP(A:A,Reviewed!B:C,2,0)</f>
        <v>#N/A</v>
      </c>
      <c r="F1795" t="str">
        <f t="shared" si="59"/>
        <v/>
      </c>
    </row>
    <row r="1796" spans="3:6" x14ac:dyDescent="0.35">
      <c r="C1796" t="str">
        <f>IFERROR(ROUNDUP(VLOOKUP(F1796,'30Days-Baseline'!C:D,2,FALSE),0),"NotExist")</f>
        <v>NotExist</v>
      </c>
      <c r="D1796" t="str">
        <f t="shared" si="58"/>
        <v>New</v>
      </c>
      <c r="E1796" t="e">
        <f>VLOOKUP(A:A,Reviewed!B:C,2,0)</f>
        <v>#N/A</v>
      </c>
      <c r="F1796" t="str">
        <f t="shared" si="59"/>
        <v/>
      </c>
    </row>
    <row r="1797" spans="3:6" x14ac:dyDescent="0.35">
      <c r="C1797" t="str">
        <f>IFERROR(ROUNDUP(VLOOKUP(F1797,'30Days-Baseline'!C:D,2,FALSE),0),"NotExist")</f>
        <v>NotExist</v>
      </c>
      <c r="D1797" t="str">
        <f t="shared" si="58"/>
        <v>New</v>
      </c>
      <c r="E1797" t="e">
        <f>VLOOKUP(A:A,Reviewed!B:C,2,0)</f>
        <v>#N/A</v>
      </c>
      <c r="F1797" t="str">
        <f t="shared" si="59"/>
        <v/>
      </c>
    </row>
    <row r="1798" spans="3:6" x14ac:dyDescent="0.35">
      <c r="C1798" t="str">
        <f>IFERROR(ROUNDUP(VLOOKUP(F1798,'30Days-Baseline'!C:D,2,FALSE),0),"NotExist")</f>
        <v>NotExist</v>
      </c>
      <c r="D1798" t="str">
        <f t="shared" si="58"/>
        <v>New</v>
      </c>
      <c r="E1798" t="e">
        <f>VLOOKUP(A:A,Reviewed!B:C,2,0)</f>
        <v>#N/A</v>
      </c>
      <c r="F1798" t="str">
        <f t="shared" si="59"/>
        <v/>
      </c>
    </row>
    <row r="1799" spans="3:6" x14ac:dyDescent="0.35">
      <c r="C1799" t="str">
        <f>IFERROR(ROUNDUP(VLOOKUP(F1799,'30Days-Baseline'!C:D,2,FALSE),0),"NotExist")</f>
        <v>NotExist</v>
      </c>
      <c r="D1799" t="str">
        <f t="shared" si="58"/>
        <v>New</v>
      </c>
      <c r="E1799" t="e">
        <f>VLOOKUP(A:A,Reviewed!B:C,2,0)</f>
        <v>#N/A</v>
      </c>
      <c r="F1799" t="str">
        <f t="shared" si="59"/>
        <v/>
      </c>
    </row>
    <row r="1800" spans="3:6" x14ac:dyDescent="0.35">
      <c r="C1800" t="str">
        <f>IFERROR(ROUNDUP(VLOOKUP(F1800,'30Days-Baseline'!C:D,2,FALSE),0),"NotExist")</f>
        <v>NotExist</v>
      </c>
      <c r="D1800" t="str">
        <f t="shared" si="58"/>
        <v>New</v>
      </c>
      <c r="E1800" t="e">
        <f>VLOOKUP(A:A,Reviewed!B:C,2,0)</f>
        <v>#N/A</v>
      </c>
      <c r="F1800" t="str">
        <f t="shared" si="59"/>
        <v/>
      </c>
    </row>
    <row r="1801" spans="3:6" x14ac:dyDescent="0.35">
      <c r="C1801" t="str">
        <f>IFERROR(ROUNDUP(VLOOKUP(F1801,'30Days-Baseline'!C:D,2,FALSE),0),"NotExist")</f>
        <v>NotExist</v>
      </c>
      <c r="D1801" t="str">
        <f t="shared" si="58"/>
        <v>New</v>
      </c>
      <c r="E1801" t="e">
        <f>VLOOKUP(A:A,Reviewed!B:C,2,0)</f>
        <v>#N/A</v>
      </c>
      <c r="F1801" t="str">
        <f t="shared" si="59"/>
        <v/>
      </c>
    </row>
    <row r="1802" spans="3:6" x14ac:dyDescent="0.35">
      <c r="C1802" t="str">
        <f>IFERROR(ROUNDUP(VLOOKUP(F1802,'30Days-Baseline'!C:D,2,FALSE),0),"NotExist")</f>
        <v>NotExist</v>
      </c>
      <c r="D1802" t="str">
        <f t="shared" si="58"/>
        <v>New</v>
      </c>
      <c r="E1802" t="e">
        <f>VLOOKUP(A:A,Reviewed!B:C,2,0)</f>
        <v>#N/A</v>
      </c>
      <c r="F1802" t="str">
        <f t="shared" si="59"/>
        <v/>
      </c>
    </row>
    <row r="1803" spans="3:6" x14ac:dyDescent="0.35">
      <c r="C1803" t="str">
        <f>IFERROR(ROUNDUP(VLOOKUP(F1803,'30Days-Baseline'!C:D,2,FALSE),0),"NotExist")</f>
        <v>NotExist</v>
      </c>
      <c r="D1803" t="str">
        <f t="shared" si="58"/>
        <v>New</v>
      </c>
      <c r="E1803" t="e">
        <f>VLOOKUP(A:A,Reviewed!B:C,2,0)</f>
        <v>#N/A</v>
      </c>
      <c r="F1803" t="str">
        <f t="shared" si="59"/>
        <v/>
      </c>
    </row>
    <row r="1804" spans="3:6" x14ac:dyDescent="0.35">
      <c r="C1804" t="str">
        <f>IFERROR(ROUNDUP(VLOOKUP(F1804,'30Days-Baseline'!C:D,2,FALSE),0),"NotExist")</f>
        <v>NotExist</v>
      </c>
      <c r="D1804" t="str">
        <f t="shared" si="58"/>
        <v>New</v>
      </c>
      <c r="E1804" t="e">
        <f>VLOOKUP(A:A,Reviewed!B:C,2,0)</f>
        <v>#N/A</v>
      </c>
      <c r="F1804" t="str">
        <f t="shared" si="59"/>
        <v/>
      </c>
    </row>
    <row r="1805" spans="3:6" x14ac:dyDescent="0.35">
      <c r="C1805" t="str">
        <f>IFERROR(ROUNDUP(VLOOKUP(F1805,'30Days-Baseline'!C:D,2,FALSE),0),"NotExist")</f>
        <v>NotExist</v>
      </c>
      <c r="D1805" t="str">
        <f t="shared" si="58"/>
        <v>New</v>
      </c>
      <c r="E1805" t="e">
        <f>VLOOKUP(A:A,Reviewed!B:C,2,0)</f>
        <v>#N/A</v>
      </c>
      <c r="F1805" t="str">
        <f t="shared" si="59"/>
        <v/>
      </c>
    </row>
    <row r="1806" spans="3:6" x14ac:dyDescent="0.35">
      <c r="C1806" t="str">
        <f>IFERROR(ROUNDUP(VLOOKUP(F1806,'30Days-Baseline'!C:D,2,FALSE),0),"NotExist")</f>
        <v>NotExist</v>
      </c>
      <c r="D1806" t="str">
        <f t="shared" si="58"/>
        <v>New</v>
      </c>
      <c r="E1806" t="e">
        <f>VLOOKUP(A:A,Reviewed!B:C,2,0)</f>
        <v>#N/A</v>
      </c>
      <c r="F1806" t="str">
        <f t="shared" si="59"/>
        <v/>
      </c>
    </row>
    <row r="1807" spans="3:6" x14ac:dyDescent="0.35">
      <c r="C1807" t="str">
        <f>IFERROR(ROUNDUP(VLOOKUP(F1807,'30Days-Baseline'!C:D,2,FALSE),0),"NotExist")</f>
        <v>NotExist</v>
      </c>
      <c r="D1807" t="str">
        <f t="shared" si="58"/>
        <v>New</v>
      </c>
      <c r="E1807" t="e">
        <f>VLOOKUP(A:A,Reviewed!B:C,2,0)</f>
        <v>#N/A</v>
      </c>
      <c r="F1807" t="str">
        <f t="shared" si="59"/>
        <v/>
      </c>
    </row>
    <row r="1808" spans="3:6" x14ac:dyDescent="0.35">
      <c r="C1808" t="str">
        <f>IFERROR(ROUNDUP(VLOOKUP(F1808,'30Days-Baseline'!C:D,2,FALSE),0),"NotExist")</f>
        <v>NotExist</v>
      </c>
      <c r="D1808" t="str">
        <f t="shared" si="58"/>
        <v>New</v>
      </c>
      <c r="E1808" t="e">
        <f>VLOOKUP(A:A,Reviewed!B:C,2,0)</f>
        <v>#N/A</v>
      </c>
      <c r="F1808" t="str">
        <f t="shared" si="59"/>
        <v/>
      </c>
    </row>
    <row r="1809" spans="3:6" x14ac:dyDescent="0.35">
      <c r="C1809" t="str">
        <f>IFERROR(ROUNDUP(VLOOKUP(F1809,'30Days-Baseline'!C:D,2,FALSE),0),"NotExist")</f>
        <v>NotExist</v>
      </c>
      <c r="D1809" t="str">
        <f t="shared" si="58"/>
        <v>New</v>
      </c>
      <c r="E1809" t="e">
        <f>VLOOKUP(A:A,Reviewed!B:C,2,0)</f>
        <v>#N/A</v>
      </c>
      <c r="F1809" t="str">
        <f t="shared" si="59"/>
        <v/>
      </c>
    </row>
    <row r="1810" spans="3:6" x14ac:dyDescent="0.35">
      <c r="C1810" t="str">
        <f>IFERROR(ROUNDUP(VLOOKUP(F1810,'30Days-Baseline'!C:D,2,FALSE),0),"NotExist")</f>
        <v>NotExist</v>
      </c>
      <c r="D1810" t="str">
        <f t="shared" si="58"/>
        <v>New</v>
      </c>
      <c r="E1810" t="e">
        <f>VLOOKUP(A:A,Reviewed!B:C,2,0)</f>
        <v>#N/A</v>
      </c>
      <c r="F1810" t="str">
        <f t="shared" si="59"/>
        <v/>
      </c>
    </row>
    <row r="1811" spans="3:6" x14ac:dyDescent="0.35">
      <c r="C1811" t="str">
        <f>IFERROR(ROUNDUP(VLOOKUP(F1811,'30Days-Baseline'!C:D,2,FALSE),0),"NotExist")</f>
        <v>NotExist</v>
      </c>
      <c r="D1811" t="str">
        <f t="shared" ref="D1811:D1874" si="60">IFERROR(IF(B1811&gt;ROUNDUP(C1811,0),"Elevated","Ok"),"New")</f>
        <v>New</v>
      </c>
      <c r="E1811" t="e">
        <f>VLOOKUP(A:A,Reviewed!B:C,2,0)</f>
        <v>#N/A</v>
      </c>
      <c r="F1811" t="str">
        <f t="shared" ref="F1811:F1874" si="61">LEFT(A1811,255)</f>
        <v/>
      </c>
    </row>
    <row r="1812" spans="3:6" x14ac:dyDescent="0.35">
      <c r="C1812" t="str">
        <f>IFERROR(ROUNDUP(VLOOKUP(F1812,'30Days-Baseline'!C:D,2,FALSE),0),"NotExist")</f>
        <v>NotExist</v>
      </c>
      <c r="D1812" t="str">
        <f t="shared" si="60"/>
        <v>New</v>
      </c>
      <c r="E1812" t="e">
        <f>VLOOKUP(A:A,Reviewed!B:C,2,0)</f>
        <v>#N/A</v>
      </c>
      <c r="F1812" t="str">
        <f t="shared" si="61"/>
        <v/>
      </c>
    </row>
    <row r="1813" spans="3:6" x14ac:dyDescent="0.35">
      <c r="C1813" t="str">
        <f>IFERROR(ROUNDUP(VLOOKUP(F1813,'30Days-Baseline'!C:D,2,FALSE),0),"NotExist")</f>
        <v>NotExist</v>
      </c>
      <c r="D1813" t="str">
        <f t="shared" si="60"/>
        <v>New</v>
      </c>
      <c r="E1813" t="e">
        <f>VLOOKUP(A:A,Reviewed!B:C,2,0)</f>
        <v>#N/A</v>
      </c>
      <c r="F1813" t="str">
        <f t="shared" si="61"/>
        <v/>
      </c>
    </row>
    <row r="1814" spans="3:6" x14ac:dyDescent="0.35">
      <c r="C1814" t="str">
        <f>IFERROR(ROUNDUP(VLOOKUP(F1814,'30Days-Baseline'!C:D,2,FALSE),0),"NotExist")</f>
        <v>NotExist</v>
      </c>
      <c r="D1814" t="str">
        <f t="shared" si="60"/>
        <v>New</v>
      </c>
      <c r="E1814" t="e">
        <f>VLOOKUP(A:A,Reviewed!B:C,2,0)</f>
        <v>#N/A</v>
      </c>
      <c r="F1814" t="str">
        <f t="shared" si="61"/>
        <v/>
      </c>
    </row>
    <row r="1815" spans="3:6" x14ac:dyDescent="0.35">
      <c r="C1815" t="str">
        <f>IFERROR(ROUNDUP(VLOOKUP(F1815,'30Days-Baseline'!C:D,2,FALSE),0),"NotExist")</f>
        <v>NotExist</v>
      </c>
      <c r="D1815" t="str">
        <f t="shared" si="60"/>
        <v>New</v>
      </c>
      <c r="E1815" t="e">
        <f>VLOOKUP(A:A,Reviewed!B:C,2,0)</f>
        <v>#N/A</v>
      </c>
      <c r="F1815" t="str">
        <f t="shared" si="61"/>
        <v/>
      </c>
    </row>
    <row r="1816" spans="3:6" x14ac:dyDescent="0.35">
      <c r="C1816" t="str">
        <f>IFERROR(ROUNDUP(VLOOKUP(F1816,'30Days-Baseline'!C:D,2,FALSE),0),"NotExist")</f>
        <v>NotExist</v>
      </c>
      <c r="D1816" t="str">
        <f t="shared" si="60"/>
        <v>New</v>
      </c>
      <c r="E1816" t="e">
        <f>VLOOKUP(A:A,Reviewed!B:C,2,0)</f>
        <v>#N/A</v>
      </c>
      <c r="F1816" t="str">
        <f t="shared" si="61"/>
        <v/>
      </c>
    </row>
    <row r="1817" spans="3:6" x14ac:dyDescent="0.35">
      <c r="C1817" t="str">
        <f>IFERROR(ROUNDUP(VLOOKUP(F1817,'30Days-Baseline'!C:D,2,FALSE),0),"NotExist")</f>
        <v>NotExist</v>
      </c>
      <c r="D1817" t="str">
        <f t="shared" si="60"/>
        <v>New</v>
      </c>
      <c r="E1817" t="e">
        <f>VLOOKUP(A:A,Reviewed!B:C,2,0)</f>
        <v>#N/A</v>
      </c>
      <c r="F1817" t="str">
        <f t="shared" si="61"/>
        <v/>
      </c>
    </row>
    <row r="1818" spans="3:6" x14ac:dyDescent="0.35">
      <c r="C1818" t="str">
        <f>IFERROR(ROUNDUP(VLOOKUP(F1818,'30Days-Baseline'!C:D,2,FALSE),0),"NotExist")</f>
        <v>NotExist</v>
      </c>
      <c r="D1818" t="str">
        <f t="shared" si="60"/>
        <v>New</v>
      </c>
      <c r="E1818" t="e">
        <f>VLOOKUP(A:A,Reviewed!B:C,2,0)</f>
        <v>#N/A</v>
      </c>
      <c r="F1818" t="str">
        <f t="shared" si="61"/>
        <v/>
      </c>
    </row>
    <row r="1819" spans="3:6" x14ac:dyDescent="0.35">
      <c r="C1819" t="str">
        <f>IFERROR(ROUNDUP(VLOOKUP(F1819,'30Days-Baseline'!C:D,2,FALSE),0),"NotExist")</f>
        <v>NotExist</v>
      </c>
      <c r="D1819" t="str">
        <f t="shared" si="60"/>
        <v>New</v>
      </c>
      <c r="E1819" t="e">
        <f>VLOOKUP(A:A,Reviewed!B:C,2,0)</f>
        <v>#N/A</v>
      </c>
      <c r="F1819" t="str">
        <f t="shared" si="61"/>
        <v/>
      </c>
    </row>
    <row r="1820" spans="3:6" x14ac:dyDescent="0.35">
      <c r="C1820" t="str">
        <f>IFERROR(ROUNDUP(VLOOKUP(F1820,'30Days-Baseline'!C:D,2,FALSE),0),"NotExist")</f>
        <v>NotExist</v>
      </c>
      <c r="D1820" t="str">
        <f t="shared" si="60"/>
        <v>New</v>
      </c>
      <c r="E1820" t="e">
        <f>VLOOKUP(A:A,Reviewed!B:C,2,0)</f>
        <v>#N/A</v>
      </c>
      <c r="F1820" t="str">
        <f t="shared" si="61"/>
        <v/>
      </c>
    </row>
    <row r="1821" spans="3:6" x14ac:dyDescent="0.35">
      <c r="C1821" t="str">
        <f>IFERROR(ROUNDUP(VLOOKUP(F1821,'30Days-Baseline'!C:D,2,FALSE),0),"NotExist")</f>
        <v>NotExist</v>
      </c>
      <c r="D1821" t="str">
        <f t="shared" si="60"/>
        <v>New</v>
      </c>
      <c r="E1821" t="e">
        <f>VLOOKUP(A:A,Reviewed!B:C,2,0)</f>
        <v>#N/A</v>
      </c>
      <c r="F1821" t="str">
        <f t="shared" si="61"/>
        <v/>
      </c>
    </row>
    <row r="1822" spans="3:6" x14ac:dyDescent="0.35">
      <c r="C1822" t="str">
        <f>IFERROR(ROUNDUP(VLOOKUP(F1822,'30Days-Baseline'!C:D,2,FALSE),0),"NotExist")</f>
        <v>NotExist</v>
      </c>
      <c r="D1822" t="str">
        <f t="shared" si="60"/>
        <v>New</v>
      </c>
      <c r="E1822" t="e">
        <f>VLOOKUP(A:A,Reviewed!B:C,2,0)</f>
        <v>#N/A</v>
      </c>
      <c r="F1822" t="str">
        <f t="shared" si="61"/>
        <v/>
      </c>
    </row>
    <row r="1823" spans="3:6" x14ac:dyDescent="0.35">
      <c r="C1823" t="str">
        <f>IFERROR(ROUNDUP(VLOOKUP(F1823,'30Days-Baseline'!C:D,2,FALSE),0),"NotExist")</f>
        <v>NotExist</v>
      </c>
      <c r="D1823" t="str">
        <f t="shared" si="60"/>
        <v>New</v>
      </c>
      <c r="E1823" t="e">
        <f>VLOOKUP(A:A,Reviewed!B:C,2,0)</f>
        <v>#N/A</v>
      </c>
      <c r="F1823" t="str">
        <f t="shared" si="61"/>
        <v/>
      </c>
    </row>
    <row r="1824" spans="3:6" x14ac:dyDescent="0.35">
      <c r="C1824" t="str">
        <f>IFERROR(ROUNDUP(VLOOKUP(F1824,'30Days-Baseline'!C:D,2,FALSE),0),"NotExist")</f>
        <v>NotExist</v>
      </c>
      <c r="D1824" t="str">
        <f t="shared" si="60"/>
        <v>New</v>
      </c>
      <c r="E1824" t="e">
        <f>VLOOKUP(A:A,Reviewed!B:C,2,0)</f>
        <v>#N/A</v>
      </c>
      <c r="F1824" t="str">
        <f t="shared" si="61"/>
        <v/>
      </c>
    </row>
    <row r="1825" spans="1:6" x14ac:dyDescent="0.35">
      <c r="C1825" t="str">
        <f>IFERROR(ROUNDUP(VLOOKUP(F1825,'30Days-Baseline'!C:D,2,FALSE),0),"NotExist")</f>
        <v>NotExist</v>
      </c>
      <c r="D1825" t="str">
        <f t="shared" si="60"/>
        <v>New</v>
      </c>
      <c r="E1825" t="e">
        <f>VLOOKUP(A:A,Reviewed!B:C,2,0)</f>
        <v>#N/A</v>
      </c>
      <c r="F1825" t="str">
        <f t="shared" si="61"/>
        <v/>
      </c>
    </row>
    <row r="1826" spans="1:6" x14ac:dyDescent="0.35">
      <c r="C1826" t="str">
        <f>IFERROR(ROUNDUP(VLOOKUP(F1826,'30Days-Baseline'!C:D,2,FALSE),0),"NotExist")</f>
        <v>NotExist</v>
      </c>
      <c r="D1826" t="str">
        <f t="shared" si="60"/>
        <v>New</v>
      </c>
      <c r="E1826" t="e">
        <f>VLOOKUP(A:A,Reviewed!B:C,2,0)</f>
        <v>#N/A</v>
      </c>
      <c r="F1826" t="str">
        <f t="shared" si="61"/>
        <v/>
      </c>
    </row>
    <row r="1827" spans="1:6" x14ac:dyDescent="0.35">
      <c r="C1827" t="str">
        <f>IFERROR(ROUNDUP(VLOOKUP(F1827,'30Days-Baseline'!C:D,2,FALSE),0),"NotExist")</f>
        <v>NotExist</v>
      </c>
      <c r="D1827" t="str">
        <f t="shared" si="60"/>
        <v>New</v>
      </c>
      <c r="E1827" t="e">
        <f>VLOOKUP(A:A,Reviewed!B:C,2,0)</f>
        <v>#N/A</v>
      </c>
      <c r="F1827" t="str">
        <f t="shared" si="61"/>
        <v/>
      </c>
    </row>
    <row r="1828" spans="1:6" x14ac:dyDescent="0.35">
      <c r="C1828" t="str">
        <f>IFERROR(ROUNDUP(VLOOKUP(F1828,'30Days-Baseline'!C:D,2,FALSE),0),"NotExist")</f>
        <v>NotExist</v>
      </c>
      <c r="D1828" t="str">
        <f t="shared" si="60"/>
        <v>New</v>
      </c>
      <c r="E1828" t="e">
        <f>VLOOKUP(A:A,Reviewed!B:C,2,0)</f>
        <v>#N/A</v>
      </c>
      <c r="F1828" t="str">
        <f t="shared" si="61"/>
        <v/>
      </c>
    </row>
    <row r="1829" spans="1:6" x14ac:dyDescent="0.35">
      <c r="C1829" t="str">
        <f>IFERROR(ROUNDUP(VLOOKUP(F1829,'30Days-Baseline'!C:D,2,FALSE),0),"NotExist")</f>
        <v>NotExist</v>
      </c>
      <c r="D1829" t="str">
        <f t="shared" si="60"/>
        <v>New</v>
      </c>
      <c r="E1829" t="e">
        <f>VLOOKUP(A:A,Reviewed!B:C,2,0)</f>
        <v>#N/A</v>
      </c>
      <c r="F1829" t="str">
        <f t="shared" si="61"/>
        <v/>
      </c>
    </row>
    <row r="1830" spans="1:6" x14ac:dyDescent="0.35">
      <c r="C1830" t="str">
        <f>IFERROR(ROUNDUP(VLOOKUP(F1830,'30Days-Baseline'!C:D,2,FALSE),0),"NotExist")</f>
        <v>NotExist</v>
      </c>
      <c r="D1830" t="str">
        <f t="shared" si="60"/>
        <v>New</v>
      </c>
      <c r="E1830" t="e">
        <f>VLOOKUP(A:A,Reviewed!B:C,2,0)</f>
        <v>#N/A</v>
      </c>
      <c r="F1830" t="str">
        <f t="shared" si="61"/>
        <v/>
      </c>
    </row>
    <row r="1831" spans="1:6" x14ac:dyDescent="0.35">
      <c r="C1831" t="str">
        <f>IFERROR(ROUNDUP(VLOOKUP(F1831,'30Days-Baseline'!C:D,2,FALSE),0),"NotExist")</f>
        <v>NotExist</v>
      </c>
      <c r="D1831" t="str">
        <f t="shared" si="60"/>
        <v>New</v>
      </c>
      <c r="E1831" t="e">
        <f>VLOOKUP(A:A,Reviewed!B:C,2,0)</f>
        <v>#N/A</v>
      </c>
      <c r="F1831" t="str">
        <f t="shared" si="61"/>
        <v/>
      </c>
    </row>
    <row r="1832" spans="1:6" x14ac:dyDescent="0.35">
      <c r="C1832" t="str">
        <f>IFERROR(ROUNDUP(VLOOKUP(F1832,'30Days-Baseline'!C:D,2,FALSE),0),"NotExist")</f>
        <v>NotExist</v>
      </c>
      <c r="D1832" t="str">
        <f t="shared" si="60"/>
        <v>New</v>
      </c>
      <c r="E1832" t="e">
        <f>VLOOKUP(A:A,Reviewed!B:C,2,0)</f>
        <v>#N/A</v>
      </c>
      <c r="F1832" t="str">
        <f t="shared" si="61"/>
        <v/>
      </c>
    </row>
    <row r="1833" spans="1:6" x14ac:dyDescent="0.35">
      <c r="C1833" t="str">
        <f>IFERROR(ROUNDUP(VLOOKUP(F1833,'30Days-Baseline'!C:D,2,FALSE),0),"NotExist")</f>
        <v>NotExist</v>
      </c>
      <c r="D1833" t="str">
        <f t="shared" si="60"/>
        <v>New</v>
      </c>
      <c r="E1833" t="e">
        <f>VLOOKUP(A:A,Reviewed!B:C,2,0)</f>
        <v>#N/A</v>
      </c>
      <c r="F1833" t="str">
        <f t="shared" si="61"/>
        <v/>
      </c>
    </row>
    <row r="1834" spans="1:6" x14ac:dyDescent="0.35">
      <c r="C1834" t="str">
        <f>IFERROR(ROUNDUP(VLOOKUP(F1834,'30Days-Baseline'!C:D,2,FALSE),0),"NotExist")</f>
        <v>NotExist</v>
      </c>
      <c r="D1834" t="str">
        <f t="shared" si="60"/>
        <v>New</v>
      </c>
      <c r="E1834" t="e">
        <f>VLOOKUP(A:A,Reviewed!B:C,2,0)</f>
        <v>#N/A</v>
      </c>
      <c r="F1834" t="str">
        <f t="shared" si="61"/>
        <v/>
      </c>
    </row>
    <row r="1835" spans="1:6" x14ac:dyDescent="0.35">
      <c r="C1835" t="str">
        <f>IFERROR(ROUNDUP(VLOOKUP(F1835,'30Days-Baseline'!C:D,2,FALSE),0),"NotExist")</f>
        <v>NotExist</v>
      </c>
      <c r="D1835" t="str">
        <f t="shared" si="60"/>
        <v>New</v>
      </c>
      <c r="E1835" t="e">
        <f>VLOOKUP(A:A,Reviewed!B:C,2,0)</f>
        <v>#N/A</v>
      </c>
      <c r="F1835" t="str">
        <f t="shared" si="61"/>
        <v/>
      </c>
    </row>
    <row r="1836" spans="1:6" x14ac:dyDescent="0.35">
      <c r="C1836" t="str">
        <f>IFERROR(ROUNDUP(VLOOKUP(F1836,'30Days-Baseline'!C:D,2,FALSE),0),"NotExist")</f>
        <v>NotExist</v>
      </c>
      <c r="D1836" t="str">
        <f t="shared" si="60"/>
        <v>New</v>
      </c>
      <c r="E1836" t="e">
        <f>VLOOKUP(A:A,Reviewed!B:C,2,0)</f>
        <v>#N/A</v>
      </c>
      <c r="F1836" t="str">
        <f t="shared" si="61"/>
        <v/>
      </c>
    </row>
    <row r="1837" spans="1:6" x14ac:dyDescent="0.35">
      <c r="A1837" s="4"/>
      <c r="C1837" t="str">
        <f>IFERROR(ROUNDUP(VLOOKUP(F1837,'30Days-Baseline'!C:D,2,FALSE),0),"NotExist")</f>
        <v>NotExist</v>
      </c>
      <c r="D1837" t="str">
        <f t="shared" si="60"/>
        <v>New</v>
      </c>
      <c r="E1837" t="e">
        <f>VLOOKUP(A:A,Reviewed!B:C,2,0)</f>
        <v>#N/A</v>
      </c>
      <c r="F1837" t="str">
        <f t="shared" si="61"/>
        <v/>
      </c>
    </row>
    <row r="1838" spans="1:6" x14ac:dyDescent="0.35">
      <c r="C1838" t="str">
        <f>IFERROR(ROUNDUP(VLOOKUP(F1838,'30Days-Baseline'!C:D,2,FALSE),0),"NotExist")</f>
        <v>NotExist</v>
      </c>
      <c r="D1838" t="str">
        <f t="shared" si="60"/>
        <v>New</v>
      </c>
      <c r="E1838" t="e">
        <f>VLOOKUP(A:A,Reviewed!B:C,2,0)</f>
        <v>#N/A</v>
      </c>
      <c r="F1838" t="str">
        <f t="shared" si="61"/>
        <v/>
      </c>
    </row>
    <row r="1839" spans="1:6" x14ac:dyDescent="0.35">
      <c r="C1839" t="str">
        <f>IFERROR(ROUNDUP(VLOOKUP(F1839,'30Days-Baseline'!C:D,2,FALSE),0),"NotExist")</f>
        <v>NotExist</v>
      </c>
      <c r="D1839" t="str">
        <f t="shared" si="60"/>
        <v>New</v>
      </c>
      <c r="E1839" t="e">
        <f>VLOOKUP(A:A,Reviewed!B:C,2,0)</f>
        <v>#N/A</v>
      </c>
      <c r="F1839" t="str">
        <f t="shared" si="61"/>
        <v/>
      </c>
    </row>
    <row r="1840" spans="1:6" x14ac:dyDescent="0.35">
      <c r="C1840" t="str">
        <f>IFERROR(ROUNDUP(VLOOKUP(F1840,'30Days-Baseline'!C:D,2,FALSE),0),"NotExist")</f>
        <v>NotExist</v>
      </c>
      <c r="D1840" t="str">
        <f t="shared" si="60"/>
        <v>New</v>
      </c>
      <c r="E1840" t="e">
        <f>VLOOKUP(A:A,Reviewed!B:C,2,0)</f>
        <v>#N/A</v>
      </c>
      <c r="F1840" t="str">
        <f t="shared" si="61"/>
        <v/>
      </c>
    </row>
    <row r="1841" spans="3:6" x14ac:dyDescent="0.35">
      <c r="C1841" t="str">
        <f>IFERROR(ROUNDUP(VLOOKUP(F1841,'30Days-Baseline'!C:D,2,FALSE),0),"NotExist")</f>
        <v>NotExist</v>
      </c>
      <c r="D1841" t="str">
        <f t="shared" si="60"/>
        <v>New</v>
      </c>
      <c r="E1841" t="e">
        <f>VLOOKUP(A:A,Reviewed!B:C,2,0)</f>
        <v>#N/A</v>
      </c>
      <c r="F1841" t="str">
        <f t="shared" si="61"/>
        <v/>
      </c>
    </row>
    <row r="1842" spans="3:6" x14ac:dyDescent="0.35">
      <c r="C1842" t="str">
        <f>IFERROR(ROUNDUP(VLOOKUP(F1842,'30Days-Baseline'!C:D,2,FALSE),0),"NotExist")</f>
        <v>NotExist</v>
      </c>
      <c r="D1842" t="str">
        <f t="shared" si="60"/>
        <v>New</v>
      </c>
      <c r="E1842" t="e">
        <f>VLOOKUP(A:A,Reviewed!B:C,2,0)</f>
        <v>#N/A</v>
      </c>
      <c r="F1842" t="str">
        <f t="shared" si="61"/>
        <v/>
      </c>
    </row>
    <row r="1843" spans="3:6" x14ac:dyDescent="0.35">
      <c r="C1843" t="str">
        <f>IFERROR(ROUNDUP(VLOOKUP(F1843,'30Days-Baseline'!C:D,2,FALSE),0),"NotExist")</f>
        <v>NotExist</v>
      </c>
      <c r="D1843" t="str">
        <f t="shared" si="60"/>
        <v>New</v>
      </c>
      <c r="E1843" t="e">
        <f>VLOOKUP(A:A,Reviewed!B:C,2,0)</f>
        <v>#N/A</v>
      </c>
      <c r="F1843" t="str">
        <f t="shared" si="61"/>
        <v/>
      </c>
    </row>
    <row r="1844" spans="3:6" x14ac:dyDescent="0.35">
      <c r="C1844" t="str">
        <f>IFERROR(ROUNDUP(VLOOKUP(F1844,'30Days-Baseline'!C:D,2,FALSE),0),"NotExist")</f>
        <v>NotExist</v>
      </c>
      <c r="D1844" t="str">
        <f t="shared" si="60"/>
        <v>New</v>
      </c>
      <c r="E1844" t="e">
        <f>VLOOKUP(A:A,Reviewed!B:C,2,0)</f>
        <v>#N/A</v>
      </c>
      <c r="F1844" t="str">
        <f t="shared" si="61"/>
        <v/>
      </c>
    </row>
    <row r="1845" spans="3:6" x14ac:dyDescent="0.35">
      <c r="C1845" t="str">
        <f>IFERROR(ROUNDUP(VLOOKUP(F1845,'30Days-Baseline'!C:D,2,FALSE),0),"NotExist")</f>
        <v>NotExist</v>
      </c>
      <c r="D1845" t="str">
        <f t="shared" si="60"/>
        <v>New</v>
      </c>
      <c r="E1845" t="e">
        <f>VLOOKUP(A:A,Reviewed!B:C,2,0)</f>
        <v>#N/A</v>
      </c>
      <c r="F1845" t="str">
        <f t="shared" si="61"/>
        <v/>
      </c>
    </row>
    <row r="1846" spans="3:6" x14ac:dyDescent="0.35">
      <c r="C1846" t="str">
        <f>IFERROR(ROUNDUP(VLOOKUP(F1846,'30Days-Baseline'!C:D,2,FALSE),0),"NotExist")</f>
        <v>NotExist</v>
      </c>
      <c r="D1846" t="str">
        <f t="shared" si="60"/>
        <v>New</v>
      </c>
      <c r="E1846" t="e">
        <f>VLOOKUP(A:A,Reviewed!B:C,2,0)</f>
        <v>#N/A</v>
      </c>
      <c r="F1846" t="str">
        <f t="shared" si="61"/>
        <v/>
      </c>
    </row>
    <row r="1847" spans="3:6" x14ac:dyDescent="0.35">
      <c r="C1847" t="str">
        <f>IFERROR(ROUNDUP(VLOOKUP(F1847,'30Days-Baseline'!C:D,2,FALSE),0),"NotExist")</f>
        <v>NotExist</v>
      </c>
      <c r="D1847" t="str">
        <f t="shared" si="60"/>
        <v>New</v>
      </c>
      <c r="E1847" t="e">
        <f>VLOOKUP(A:A,Reviewed!B:C,2,0)</f>
        <v>#N/A</v>
      </c>
      <c r="F1847" t="str">
        <f t="shared" si="61"/>
        <v/>
      </c>
    </row>
    <row r="1848" spans="3:6" x14ac:dyDescent="0.35">
      <c r="C1848" t="str">
        <f>IFERROR(ROUNDUP(VLOOKUP(F1848,'30Days-Baseline'!C:D,2,FALSE),0),"NotExist")</f>
        <v>NotExist</v>
      </c>
      <c r="D1848" t="str">
        <f t="shared" si="60"/>
        <v>New</v>
      </c>
      <c r="E1848" t="e">
        <f>VLOOKUP(A:A,Reviewed!B:C,2,0)</f>
        <v>#N/A</v>
      </c>
      <c r="F1848" t="str">
        <f t="shared" si="61"/>
        <v/>
      </c>
    </row>
    <row r="1849" spans="3:6" x14ac:dyDescent="0.35">
      <c r="C1849" t="str">
        <f>IFERROR(ROUNDUP(VLOOKUP(F1849,'30Days-Baseline'!C:D,2,FALSE),0),"NotExist")</f>
        <v>NotExist</v>
      </c>
      <c r="D1849" t="str">
        <f t="shared" si="60"/>
        <v>New</v>
      </c>
      <c r="E1849" t="e">
        <f>VLOOKUP(A:A,Reviewed!B:C,2,0)</f>
        <v>#N/A</v>
      </c>
      <c r="F1849" t="str">
        <f t="shared" si="61"/>
        <v/>
      </c>
    </row>
    <row r="1850" spans="3:6" x14ac:dyDescent="0.35">
      <c r="C1850" t="str">
        <f>IFERROR(ROUNDUP(VLOOKUP(F1850,'30Days-Baseline'!C:D,2,FALSE),0),"NotExist")</f>
        <v>NotExist</v>
      </c>
      <c r="D1850" t="str">
        <f t="shared" si="60"/>
        <v>New</v>
      </c>
      <c r="E1850" t="e">
        <f>VLOOKUP(A:A,Reviewed!B:C,2,0)</f>
        <v>#N/A</v>
      </c>
      <c r="F1850" t="str">
        <f t="shared" si="61"/>
        <v/>
      </c>
    </row>
    <row r="1851" spans="3:6" x14ac:dyDescent="0.35">
      <c r="C1851" t="str">
        <f>IFERROR(ROUNDUP(VLOOKUP(F1851,'30Days-Baseline'!C:D,2,FALSE),0),"NotExist")</f>
        <v>NotExist</v>
      </c>
      <c r="D1851" t="str">
        <f t="shared" si="60"/>
        <v>New</v>
      </c>
      <c r="E1851" t="e">
        <f>VLOOKUP(A:A,Reviewed!B:C,2,0)</f>
        <v>#N/A</v>
      </c>
      <c r="F1851" t="str">
        <f t="shared" si="61"/>
        <v/>
      </c>
    </row>
    <row r="1852" spans="3:6" x14ac:dyDescent="0.35">
      <c r="C1852" t="str">
        <f>IFERROR(ROUNDUP(VLOOKUP(F1852,'30Days-Baseline'!C:D,2,FALSE),0),"NotExist")</f>
        <v>NotExist</v>
      </c>
      <c r="D1852" t="str">
        <f t="shared" si="60"/>
        <v>New</v>
      </c>
      <c r="E1852" t="e">
        <f>VLOOKUP(A:A,Reviewed!B:C,2,0)</f>
        <v>#N/A</v>
      </c>
      <c r="F1852" t="str">
        <f t="shared" si="61"/>
        <v/>
      </c>
    </row>
    <row r="1853" spans="3:6" x14ac:dyDescent="0.35">
      <c r="C1853" t="str">
        <f>IFERROR(ROUNDUP(VLOOKUP(F1853,'30Days-Baseline'!C:D,2,FALSE),0),"NotExist")</f>
        <v>NotExist</v>
      </c>
      <c r="D1853" t="str">
        <f t="shared" si="60"/>
        <v>New</v>
      </c>
      <c r="E1853" t="e">
        <f>VLOOKUP(A:A,Reviewed!B:C,2,0)</f>
        <v>#N/A</v>
      </c>
      <c r="F1853" t="str">
        <f t="shared" si="61"/>
        <v/>
      </c>
    </row>
    <row r="1854" spans="3:6" x14ac:dyDescent="0.35">
      <c r="C1854" t="str">
        <f>IFERROR(ROUNDUP(VLOOKUP(F1854,'30Days-Baseline'!C:D,2,FALSE),0),"NotExist")</f>
        <v>NotExist</v>
      </c>
      <c r="D1854" t="str">
        <f t="shared" si="60"/>
        <v>New</v>
      </c>
      <c r="E1854" t="e">
        <f>VLOOKUP(A:A,Reviewed!B:C,2,0)</f>
        <v>#N/A</v>
      </c>
      <c r="F1854" t="str">
        <f t="shared" si="61"/>
        <v/>
      </c>
    </row>
    <row r="1855" spans="3:6" x14ac:dyDescent="0.35">
      <c r="C1855" t="str">
        <f>IFERROR(ROUNDUP(VLOOKUP(F1855,'30Days-Baseline'!C:D,2,FALSE),0),"NotExist")</f>
        <v>NotExist</v>
      </c>
      <c r="D1855" t="str">
        <f t="shared" si="60"/>
        <v>New</v>
      </c>
      <c r="E1855" t="e">
        <f>VLOOKUP(A:A,Reviewed!B:C,2,0)</f>
        <v>#N/A</v>
      </c>
      <c r="F1855" t="str">
        <f t="shared" si="61"/>
        <v/>
      </c>
    </row>
    <row r="1856" spans="3:6" x14ac:dyDescent="0.35">
      <c r="C1856" t="str">
        <f>IFERROR(ROUNDUP(VLOOKUP(F1856,'30Days-Baseline'!C:D,2,FALSE),0),"NotExist")</f>
        <v>NotExist</v>
      </c>
      <c r="D1856" t="str">
        <f t="shared" si="60"/>
        <v>New</v>
      </c>
      <c r="E1856" t="e">
        <f>VLOOKUP(A:A,Reviewed!B:C,2,0)</f>
        <v>#N/A</v>
      </c>
      <c r="F1856" t="str">
        <f t="shared" si="61"/>
        <v/>
      </c>
    </row>
    <row r="1857" spans="3:6" x14ac:dyDescent="0.35">
      <c r="C1857" t="str">
        <f>IFERROR(ROUNDUP(VLOOKUP(F1857,'30Days-Baseline'!C:D,2,FALSE),0),"NotExist")</f>
        <v>NotExist</v>
      </c>
      <c r="D1857" t="str">
        <f t="shared" si="60"/>
        <v>New</v>
      </c>
      <c r="E1857" t="e">
        <f>VLOOKUP(A:A,Reviewed!B:C,2,0)</f>
        <v>#N/A</v>
      </c>
      <c r="F1857" t="str">
        <f t="shared" si="61"/>
        <v/>
      </c>
    </row>
    <row r="1858" spans="3:6" x14ac:dyDescent="0.35">
      <c r="C1858" t="str">
        <f>IFERROR(ROUNDUP(VLOOKUP(F1858,'30Days-Baseline'!C:D,2,FALSE),0),"NotExist")</f>
        <v>NotExist</v>
      </c>
      <c r="D1858" t="str">
        <f t="shared" si="60"/>
        <v>New</v>
      </c>
      <c r="E1858" t="e">
        <f>VLOOKUP(A:A,Reviewed!B:C,2,0)</f>
        <v>#N/A</v>
      </c>
      <c r="F1858" t="str">
        <f t="shared" si="61"/>
        <v/>
      </c>
    </row>
    <row r="1859" spans="3:6" x14ac:dyDescent="0.35">
      <c r="C1859" t="str">
        <f>IFERROR(ROUNDUP(VLOOKUP(F1859,'30Days-Baseline'!C:D,2,FALSE),0),"NotExist")</f>
        <v>NotExist</v>
      </c>
      <c r="D1859" t="str">
        <f t="shared" si="60"/>
        <v>New</v>
      </c>
      <c r="E1859" t="e">
        <f>VLOOKUP(A:A,Reviewed!B:C,2,0)</f>
        <v>#N/A</v>
      </c>
      <c r="F1859" t="str">
        <f t="shared" si="61"/>
        <v/>
      </c>
    </row>
    <row r="1860" spans="3:6" x14ac:dyDescent="0.35">
      <c r="C1860" t="str">
        <f>IFERROR(ROUNDUP(VLOOKUP(F1860,'30Days-Baseline'!C:D,2,FALSE),0),"NotExist")</f>
        <v>NotExist</v>
      </c>
      <c r="D1860" t="str">
        <f t="shared" si="60"/>
        <v>New</v>
      </c>
      <c r="E1860" t="e">
        <f>VLOOKUP(A:A,Reviewed!B:C,2,0)</f>
        <v>#N/A</v>
      </c>
      <c r="F1860" t="str">
        <f t="shared" si="61"/>
        <v/>
      </c>
    </row>
    <row r="1861" spans="3:6" x14ac:dyDescent="0.35">
      <c r="C1861" t="str">
        <f>IFERROR(ROUNDUP(VLOOKUP(F1861,'30Days-Baseline'!C:D,2,FALSE),0),"NotExist")</f>
        <v>NotExist</v>
      </c>
      <c r="D1861" t="str">
        <f t="shared" si="60"/>
        <v>New</v>
      </c>
      <c r="E1861" t="e">
        <f>VLOOKUP(A:A,Reviewed!B:C,2,0)</f>
        <v>#N/A</v>
      </c>
      <c r="F1861" t="str">
        <f t="shared" si="61"/>
        <v/>
      </c>
    </row>
    <row r="1862" spans="3:6" x14ac:dyDescent="0.35">
      <c r="C1862" t="str">
        <f>IFERROR(ROUNDUP(VLOOKUP(F1862,'30Days-Baseline'!C:D,2,FALSE),0),"NotExist")</f>
        <v>NotExist</v>
      </c>
      <c r="D1862" t="str">
        <f t="shared" si="60"/>
        <v>New</v>
      </c>
      <c r="E1862" t="e">
        <f>VLOOKUP(A:A,Reviewed!B:C,2,0)</f>
        <v>#N/A</v>
      </c>
      <c r="F1862" t="str">
        <f t="shared" si="61"/>
        <v/>
      </c>
    </row>
    <row r="1863" spans="3:6" x14ac:dyDescent="0.35">
      <c r="C1863" t="str">
        <f>IFERROR(ROUNDUP(VLOOKUP(F1863,'30Days-Baseline'!C:D,2,FALSE),0),"NotExist")</f>
        <v>NotExist</v>
      </c>
      <c r="D1863" t="str">
        <f t="shared" si="60"/>
        <v>New</v>
      </c>
      <c r="E1863" t="e">
        <f>VLOOKUP(A:A,Reviewed!B:C,2,0)</f>
        <v>#N/A</v>
      </c>
      <c r="F1863" t="str">
        <f t="shared" si="61"/>
        <v/>
      </c>
    </row>
    <row r="1864" spans="3:6" x14ac:dyDescent="0.35">
      <c r="C1864" t="str">
        <f>IFERROR(ROUNDUP(VLOOKUP(F1864,'30Days-Baseline'!C:D,2,FALSE),0),"NotExist")</f>
        <v>NotExist</v>
      </c>
      <c r="D1864" t="str">
        <f t="shared" si="60"/>
        <v>New</v>
      </c>
      <c r="E1864" t="e">
        <f>VLOOKUP(A:A,Reviewed!B:C,2,0)</f>
        <v>#N/A</v>
      </c>
      <c r="F1864" t="str">
        <f t="shared" si="61"/>
        <v/>
      </c>
    </row>
    <row r="1865" spans="3:6" x14ac:dyDescent="0.35">
      <c r="C1865" t="str">
        <f>IFERROR(ROUNDUP(VLOOKUP(F1865,'30Days-Baseline'!C:D,2,FALSE),0),"NotExist")</f>
        <v>NotExist</v>
      </c>
      <c r="D1865" t="str">
        <f t="shared" si="60"/>
        <v>New</v>
      </c>
      <c r="E1865" t="e">
        <f>VLOOKUP(A:A,Reviewed!B:C,2,0)</f>
        <v>#N/A</v>
      </c>
      <c r="F1865" t="str">
        <f t="shared" si="61"/>
        <v/>
      </c>
    </row>
    <row r="1866" spans="3:6" x14ac:dyDescent="0.35">
      <c r="C1866" t="str">
        <f>IFERROR(ROUNDUP(VLOOKUP(F1866,'30Days-Baseline'!C:D,2,FALSE),0),"NotExist")</f>
        <v>NotExist</v>
      </c>
      <c r="D1866" t="str">
        <f t="shared" si="60"/>
        <v>New</v>
      </c>
      <c r="E1866" t="e">
        <f>VLOOKUP(A:A,Reviewed!B:C,2,0)</f>
        <v>#N/A</v>
      </c>
      <c r="F1866" t="str">
        <f t="shared" si="61"/>
        <v/>
      </c>
    </row>
    <row r="1867" spans="3:6" x14ac:dyDescent="0.35">
      <c r="C1867" t="str">
        <f>IFERROR(ROUNDUP(VLOOKUP(F1867,'30Days-Baseline'!C:D,2,FALSE),0),"NotExist")</f>
        <v>NotExist</v>
      </c>
      <c r="D1867" t="str">
        <f t="shared" si="60"/>
        <v>New</v>
      </c>
      <c r="E1867" t="e">
        <f>VLOOKUP(A:A,Reviewed!B:C,2,0)</f>
        <v>#N/A</v>
      </c>
      <c r="F1867" t="str">
        <f t="shared" si="61"/>
        <v/>
      </c>
    </row>
    <row r="1868" spans="3:6" x14ac:dyDescent="0.35">
      <c r="C1868" t="str">
        <f>IFERROR(ROUNDUP(VLOOKUP(F1868,'30Days-Baseline'!C:D,2,FALSE),0),"NotExist")</f>
        <v>NotExist</v>
      </c>
      <c r="D1868" t="str">
        <f t="shared" si="60"/>
        <v>New</v>
      </c>
      <c r="E1868" t="e">
        <f>VLOOKUP(A:A,Reviewed!B:C,2,0)</f>
        <v>#N/A</v>
      </c>
      <c r="F1868" t="str">
        <f t="shared" si="61"/>
        <v/>
      </c>
    </row>
    <row r="1869" spans="3:6" x14ac:dyDescent="0.35">
      <c r="C1869" t="str">
        <f>IFERROR(ROUNDUP(VLOOKUP(F1869,'30Days-Baseline'!C:D,2,FALSE),0),"NotExist")</f>
        <v>NotExist</v>
      </c>
      <c r="D1869" t="str">
        <f t="shared" si="60"/>
        <v>New</v>
      </c>
      <c r="E1869" t="e">
        <f>VLOOKUP(A:A,Reviewed!B:C,2,0)</f>
        <v>#N/A</v>
      </c>
      <c r="F1869" t="str">
        <f t="shared" si="61"/>
        <v/>
      </c>
    </row>
    <row r="1870" spans="3:6" x14ac:dyDescent="0.35">
      <c r="C1870" t="str">
        <f>IFERROR(ROUNDUP(VLOOKUP(F1870,'30Days-Baseline'!C:D,2,FALSE),0),"NotExist")</f>
        <v>NotExist</v>
      </c>
      <c r="D1870" t="str">
        <f t="shared" si="60"/>
        <v>New</v>
      </c>
      <c r="E1870" t="e">
        <f>VLOOKUP(A:A,Reviewed!B:C,2,0)</f>
        <v>#N/A</v>
      </c>
      <c r="F1870" t="str">
        <f t="shared" si="61"/>
        <v/>
      </c>
    </row>
    <row r="1871" spans="3:6" x14ac:dyDescent="0.35">
      <c r="C1871" t="str">
        <f>IFERROR(ROUNDUP(VLOOKUP(F1871,'30Days-Baseline'!C:D,2,FALSE),0),"NotExist")</f>
        <v>NotExist</v>
      </c>
      <c r="D1871" t="str">
        <f t="shared" si="60"/>
        <v>New</v>
      </c>
      <c r="E1871" t="e">
        <f>VLOOKUP(A:A,Reviewed!B:C,2,0)</f>
        <v>#N/A</v>
      </c>
      <c r="F1871" t="str">
        <f t="shared" si="61"/>
        <v/>
      </c>
    </row>
    <row r="1872" spans="3:6" x14ac:dyDescent="0.35">
      <c r="C1872" t="str">
        <f>IFERROR(ROUNDUP(VLOOKUP(F1872,'30Days-Baseline'!C:D,2,FALSE),0),"NotExist")</f>
        <v>NotExist</v>
      </c>
      <c r="D1872" t="str">
        <f t="shared" si="60"/>
        <v>New</v>
      </c>
      <c r="E1872" t="e">
        <f>VLOOKUP(A:A,Reviewed!B:C,2,0)</f>
        <v>#N/A</v>
      </c>
      <c r="F1872" t="str">
        <f t="shared" si="61"/>
        <v/>
      </c>
    </row>
    <row r="1873" spans="3:6" x14ac:dyDescent="0.35">
      <c r="C1873" t="str">
        <f>IFERROR(ROUNDUP(VLOOKUP(F1873,'30Days-Baseline'!C:D,2,FALSE),0),"NotExist")</f>
        <v>NotExist</v>
      </c>
      <c r="D1873" t="str">
        <f t="shared" si="60"/>
        <v>New</v>
      </c>
      <c r="E1873" t="e">
        <f>VLOOKUP(A:A,Reviewed!B:C,2,0)</f>
        <v>#N/A</v>
      </c>
      <c r="F1873" t="str">
        <f t="shared" si="61"/>
        <v/>
      </c>
    </row>
    <row r="1874" spans="3:6" x14ac:dyDescent="0.35">
      <c r="C1874" t="str">
        <f>IFERROR(ROUNDUP(VLOOKUP(F1874,'30Days-Baseline'!C:D,2,FALSE),0),"NotExist")</f>
        <v>NotExist</v>
      </c>
      <c r="D1874" t="str">
        <f t="shared" si="60"/>
        <v>New</v>
      </c>
      <c r="E1874" t="e">
        <f>VLOOKUP(A:A,Reviewed!B:C,2,0)</f>
        <v>#N/A</v>
      </c>
      <c r="F1874" t="str">
        <f t="shared" si="61"/>
        <v/>
      </c>
    </row>
    <row r="1875" spans="3:6" x14ac:dyDescent="0.35">
      <c r="C1875" t="str">
        <f>IFERROR(ROUNDUP(VLOOKUP(F1875,'30Days-Baseline'!C:D,2,FALSE),0),"NotExist")</f>
        <v>NotExist</v>
      </c>
      <c r="D1875" t="str">
        <f t="shared" ref="D1875:D1938" si="62">IFERROR(IF(B1875&gt;ROUNDUP(C1875,0),"Elevated","Ok"),"New")</f>
        <v>New</v>
      </c>
      <c r="E1875" t="e">
        <f>VLOOKUP(A:A,Reviewed!B:C,2,0)</f>
        <v>#N/A</v>
      </c>
      <c r="F1875" t="str">
        <f t="shared" ref="F1875:F1938" si="63">LEFT(A1875,255)</f>
        <v/>
      </c>
    </row>
    <row r="1876" spans="3:6" x14ac:dyDescent="0.35">
      <c r="C1876" t="str">
        <f>IFERROR(ROUNDUP(VLOOKUP(F1876,'30Days-Baseline'!C:D,2,FALSE),0),"NotExist")</f>
        <v>NotExist</v>
      </c>
      <c r="D1876" t="str">
        <f t="shared" si="62"/>
        <v>New</v>
      </c>
      <c r="E1876" t="e">
        <f>VLOOKUP(A:A,Reviewed!B:C,2,0)</f>
        <v>#N/A</v>
      </c>
      <c r="F1876" t="str">
        <f t="shared" si="63"/>
        <v/>
      </c>
    </row>
    <row r="1877" spans="3:6" x14ac:dyDescent="0.35">
      <c r="C1877" t="str">
        <f>IFERROR(ROUNDUP(VLOOKUP(F1877,'30Days-Baseline'!C:D,2,FALSE),0),"NotExist")</f>
        <v>NotExist</v>
      </c>
      <c r="D1877" t="str">
        <f t="shared" si="62"/>
        <v>New</v>
      </c>
      <c r="E1877" t="e">
        <f>VLOOKUP(A:A,Reviewed!B:C,2,0)</f>
        <v>#N/A</v>
      </c>
      <c r="F1877" t="str">
        <f t="shared" si="63"/>
        <v/>
      </c>
    </row>
    <row r="1878" spans="3:6" x14ac:dyDescent="0.35">
      <c r="C1878" t="str">
        <f>IFERROR(ROUNDUP(VLOOKUP(F1878,'30Days-Baseline'!C:D,2,FALSE),0),"NotExist")</f>
        <v>NotExist</v>
      </c>
      <c r="D1878" t="str">
        <f t="shared" si="62"/>
        <v>New</v>
      </c>
      <c r="E1878" t="e">
        <f>VLOOKUP(A:A,Reviewed!B:C,2,0)</f>
        <v>#N/A</v>
      </c>
      <c r="F1878" t="str">
        <f t="shared" si="63"/>
        <v/>
      </c>
    </row>
    <row r="1879" spans="3:6" x14ac:dyDescent="0.35">
      <c r="C1879" t="str">
        <f>IFERROR(ROUNDUP(VLOOKUP(F1879,'30Days-Baseline'!C:D,2,FALSE),0),"NotExist")</f>
        <v>NotExist</v>
      </c>
      <c r="D1879" t="str">
        <f t="shared" si="62"/>
        <v>New</v>
      </c>
      <c r="E1879" t="e">
        <f>VLOOKUP(A:A,Reviewed!B:C,2,0)</f>
        <v>#N/A</v>
      </c>
      <c r="F1879" t="str">
        <f t="shared" si="63"/>
        <v/>
      </c>
    </row>
    <row r="1880" spans="3:6" x14ac:dyDescent="0.35">
      <c r="C1880" t="str">
        <f>IFERROR(ROUNDUP(VLOOKUP(F1880,'30Days-Baseline'!C:D,2,FALSE),0),"NotExist")</f>
        <v>NotExist</v>
      </c>
      <c r="D1880" t="str">
        <f t="shared" si="62"/>
        <v>New</v>
      </c>
      <c r="E1880" t="e">
        <f>VLOOKUP(A:A,Reviewed!B:C,2,0)</f>
        <v>#N/A</v>
      </c>
      <c r="F1880" t="str">
        <f t="shared" si="63"/>
        <v/>
      </c>
    </row>
    <row r="1881" spans="3:6" x14ac:dyDescent="0.35">
      <c r="C1881" t="str">
        <f>IFERROR(ROUNDUP(VLOOKUP(F1881,'30Days-Baseline'!C:D,2,FALSE),0),"NotExist")</f>
        <v>NotExist</v>
      </c>
      <c r="D1881" t="str">
        <f t="shared" si="62"/>
        <v>New</v>
      </c>
      <c r="E1881" t="e">
        <f>VLOOKUP(A:A,Reviewed!B:C,2,0)</f>
        <v>#N/A</v>
      </c>
      <c r="F1881" t="str">
        <f t="shared" si="63"/>
        <v/>
      </c>
    </row>
    <row r="1882" spans="3:6" x14ac:dyDescent="0.35">
      <c r="C1882" t="str">
        <f>IFERROR(ROUNDUP(VLOOKUP(F1882,'30Days-Baseline'!C:D,2,FALSE),0),"NotExist")</f>
        <v>NotExist</v>
      </c>
      <c r="D1882" t="str">
        <f t="shared" si="62"/>
        <v>New</v>
      </c>
      <c r="E1882" t="e">
        <f>VLOOKUP(A:A,Reviewed!B:C,2,0)</f>
        <v>#N/A</v>
      </c>
      <c r="F1882" t="str">
        <f t="shared" si="63"/>
        <v/>
      </c>
    </row>
    <row r="1883" spans="3:6" x14ac:dyDescent="0.35">
      <c r="C1883" t="str">
        <f>IFERROR(ROUNDUP(VLOOKUP(F1883,'30Days-Baseline'!C:D,2,FALSE),0),"NotExist")</f>
        <v>NotExist</v>
      </c>
      <c r="D1883" t="str">
        <f t="shared" si="62"/>
        <v>New</v>
      </c>
      <c r="E1883" t="e">
        <f>VLOOKUP(A:A,Reviewed!B:C,2,0)</f>
        <v>#N/A</v>
      </c>
      <c r="F1883" t="str">
        <f t="shared" si="63"/>
        <v/>
      </c>
    </row>
    <row r="1884" spans="3:6" x14ac:dyDescent="0.35">
      <c r="C1884" t="str">
        <f>IFERROR(ROUNDUP(VLOOKUP(F1884,'30Days-Baseline'!C:D,2,FALSE),0),"NotExist")</f>
        <v>NotExist</v>
      </c>
      <c r="D1884" t="str">
        <f t="shared" si="62"/>
        <v>New</v>
      </c>
      <c r="E1884" t="e">
        <f>VLOOKUP(A:A,Reviewed!B:C,2,0)</f>
        <v>#N/A</v>
      </c>
      <c r="F1884" t="str">
        <f t="shared" si="63"/>
        <v/>
      </c>
    </row>
    <row r="1885" spans="3:6" x14ac:dyDescent="0.35">
      <c r="C1885" t="str">
        <f>IFERROR(ROUNDUP(VLOOKUP(F1885,'30Days-Baseline'!C:D,2,FALSE),0),"NotExist")</f>
        <v>NotExist</v>
      </c>
      <c r="D1885" t="str">
        <f t="shared" si="62"/>
        <v>New</v>
      </c>
      <c r="E1885" t="e">
        <f>VLOOKUP(A:A,Reviewed!B:C,2,0)</f>
        <v>#N/A</v>
      </c>
      <c r="F1885" t="str">
        <f t="shared" si="63"/>
        <v/>
      </c>
    </row>
    <row r="1886" spans="3:6" x14ac:dyDescent="0.35">
      <c r="C1886" t="str">
        <f>IFERROR(ROUNDUP(VLOOKUP(F1886,'30Days-Baseline'!C:D,2,FALSE),0),"NotExist")</f>
        <v>NotExist</v>
      </c>
      <c r="D1886" t="str">
        <f t="shared" si="62"/>
        <v>New</v>
      </c>
      <c r="E1886" t="e">
        <f>VLOOKUP(A:A,Reviewed!B:C,2,0)</f>
        <v>#N/A</v>
      </c>
      <c r="F1886" t="str">
        <f t="shared" si="63"/>
        <v/>
      </c>
    </row>
    <row r="1887" spans="3:6" x14ac:dyDescent="0.35">
      <c r="C1887" t="str">
        <f>IFERROR(ROUNDUP(VLOOKUP(F1887,'30Days-Baseline'!C:D,2,FALSE),0),"NotExist")</f>
        <v>NotExist</v>
      </c>
      <c r="D1887" t="str">
        <f t="shared" si="62"/>
        <v>New</v>
      </c>
      <c r="E1887" t="e">
        <f>VLOOKUP(A:A,Reviewed!B:C,2,0)</f>
        <v>#N/A</v>
      </c>
      <c r="F1887" t="str">
        <f t="shared" si="63"/>
        <v/>
      </c>
    </row>
    <row r="1888" spans="3:6" x14ac:dyDescent="0.35">
      <c r="C1888" t="str">
        <f>IFERROR(ROUNDUP(VLOOKUP(F1888,'30Days-Baseline'!C:D,2,FALSE),0),"NotExist")</f>
        <v>NotExist</v>
      </c>
      <c r="D1888" t="str">
        <f t="shared" si="62"/>
        <v>New</v>
      </c>
      <c r="E1888" t="e">
        <f>VLOOKUP(A:A,Reviewed!B:C,2,0)</f>
        <v>#N/A</v>
      </c>
      <c r="F1888" t="str">
        <f t="shared" si="63"/>
        <v/>
      </c>
    </row>
    <row r="1889" spans="3:6" x14ac:dyDescent="0.35">
      <c r="C1889" t="str">
        <f>IFERROR(ROUNDUP(VLOOKUP(F1889,'30Days-Baseline'!C:D,2,FALSE),0),"NotExist")</f>
        <v>NotExist</v>
      </c>
      <c r="D1889" t="str">
        <f t="shared" si="62"/>
        <v>New</v>
      </c>
      <c r="E1889" t="e">
        <f>VLOOKUP(A:A,Reviewed!B:C,2,0)</f>
        <v>#N/A</v>
      </c>
      <c r="F1889" t="str">
        <f t="shared" si="63"/>
        <v/>
      </c>
    </row>
    <row r="1890" spans="3:6" x14ac:dyDescent="0.35">
      <c r="C1890" t="str">
        <f>IFERROR(ROUNDUP(VLOOKUP(F1890,'30Days-Baseline'!C:D,2,FALSE),0),"NotExist")</f>
        <v>NotExist</v>
      </c>
      <c r="D1890" t="str">
        <f t="shared" si="62"/>
        <v>New</v>
      </c>
      <c r="E1890" t="e">
        <f>VLOOKUP(A:A,Reviewed!B:C,2,0)</f>
        <v>#N/A</v>
      </c>
      <c r="F1890" t="str">
        <f t="shared" si="63"/>
        <v/>
      </c>
    </row>
    <row r="1891" spans="3:6" x14ac:dyDescent="0.35">
      <c r="C1891" t="str">
        <f>IFERROR(ROUNDUP(VLOOKUP(F1891,'30Days-Baseline'!C:D,2,FALSE),0),"NotExist")</f>
        <v>NotExist</v>
      </c>
      <c r="D1891" t="str">
        <f t="shared" si="62"/>
        <v>New</v>
      </c>
      <c r="E1891" t="e">
        <f>VLOOKUP(A:A,Reviewed!B:C,2,0)</f>
        <v>#N/A</v>
      </c>
      <c r="F1891" t="str">
        <f t="shared" si="63"/>
        <v/>
      </c>
    </row>
    <row r="1892" spans="3:6" x14ac:dyDescent="0.35">
      <c r="C1892" t="str">
        <f>IFERROR(ROUNDUP(VLOOKUP(F1892,'30Days-Baseline'!C:D,2,FALSE),0),"NotExist")</f>
        <v>NotExist</v>
      </c>
      <c r="D1892" t="str">
        <f t="shared" si="62"/>
        <v>New</v>
      </c>
      <c r="E1892" t="e">
        <f>VLOOKUP(A:A,Reviewed!B:C,2,0)</f>
        <v>#N/A</v>
      </c>
      <c r="F1892" t="str">
        <f t="shared" si="63"/>
        <v/>
      </c>
    </row>
    <row r="1893" spans="3:6" x14ac:dyDescent="0.35">
      <c r="C1893" t="str">
        <f>IFERROR(ROUNDUP(VLOOKUP(F1893,'30Days-Baseline'!C:D,2,FALSE),0),"NotExist")</f>
        <v>NotExist</v>
      </c>
      <c r="D1893" t="str">
        <f t="shared" si="62"/>
        <v>New</v>
      </c>
      <c r="E1893" t="e">
        <f>VLOOKUP(A:A,Reviewed!B:C,2,0)</f>
        <v>#N/A</v>
      </c>
      <c r="F1893" t="str">
        <f t="shared" si="63"/>
        <v/>
      </c>
    </row>
    <row r="1894" spans="3:6" x14ac:dyDescent="0.35">
      <c r="C1894" t="str">
        <f>IFERROR(ROUNDUP(VLOOKUP(F1894,'30Days-Baseline'!C:D,2,FALSE),0),"NotExist")</f>
        <v>NotExist</v>
      </c>
      <c r="D1894" t="str">
        <f t="shared" si="62"/>
        <v>New</v>
      </c>
      <c r="E1894" t="e">
        <f>VLOOKUP(A:A,Reviewed!B:C,2,0)</f>
        <v>#N/A</v>
      </c>
      <c r="F1894" t="str">
        <f t="shared" si="63"/>
        <v/>
      </c>
    </row>
    <row r="1895" spans="3:6" x14ac:dyDescent="0.35">
      <c r="C1895" t="str">
        <f>IFERROR(ROUNDUP(VLOOKUP(F1895,'30Days-Baseline'!C:D,2,FALSE),0),"NotExist")</f>
        <v>NotExist</v>
      </c>
      <c r="D1895" t="str">
        <f t="shared" si="62"/>
        <v>New</v>
      </c>
      <c r="E1895" t="e">
        <f>VLOOKUP(A:A,Reviewed!B:C,2,0)</f>
        <v>#N/A</v>
      </c>
      <c r="F1895" t="str">
        <f t="shared" si="63"/>
        <v/>
      </c>
    </row>
    <row r="1896" spans="3:6" x14ac:dyDescent="0.35">
      <c r="C1896" t="str">
        <f>IFERROR(ROUNDUP(VLOOKUP(F1896,'30Days-Baseline'!C:D,2,FALSE),0),"NotExist")</f>
        <v>NotExist</v>
      </c>
      <c r="D1896" t="str">
        <f t="shared" si="62"/>
        <v>New</v>
      </c>
      <c r="E1896" t="e">
        <f>VLOOKUP(A:A,Reviewed!B:C,2,0)</f>
        <v>#N/A</v>
      </c>
      <c r="F1896" t="str">
        <f t="shared" si="63"/>
        <v/>
      </c>
    </row>
    <row r="1897" spans="3:6" x14ac:dyDescent="0.35">
      <c r="C1897" t="str">
        <f>IFERROR(ROUNDUP(VLOOKUP(F1897,'30Days-Baseline'!C:D,2,FALSE),0),"NotExist")</f>
        <v>NotExist</v>
      </c>
      <c r="D1897" t="str">
        <f t="shared" si="62"/>
        <v>New</v>
      </c>
      <c r="E1897" t="e">
        <f>VLOOKUP(A:A,Reviewed!B:C,2,0)</f>
        <v>#N/A</v>
      </c>
      <c r="F1897" t="str">
        <f t="shared" si="63"/>
        <v/>
      </c>
    </row>
    <row r="1898" spans="3:6" x14ac:dyDescent="0.35">
      <c r="C1898" t="str">
        <f>IFERROR(ROUNDUP(VLOOKUP(F1898,'30Days-Baseline'!C:D,2,FALSE),0),"NotExist")</f>
        <v>NotExist</v>
      </c>
      <c r="D1898" t="str">
        <f t="shared" si="62"/>
        <v>New</v>
      </c>
      <c r="E1898" t="e">
        <f>VLOOKUP(A:A,Reviewed!B:C,2,0)</f>
        <v>#N/A</v>
      </c>
      <c r="F1898" t="str">
        <f t="shared" si="63"/>
        <v/>
      </c>
    </row>
    <row r="1899" spans="3:6" x14ac:dyDescent="0.35">
      <c r="C1899" t="str">
        <f>IFERROR(ROUNDUP(VLOOKUP(F1899,'30Days-Baseline'!C:D,2,FALSE),0),"NotExist")</f>
        <v>NotExist</v>
      </c>
      <c r="D1899" t="str">
        <f t="shared" si="62"/>
        <v>New</v>
      </c>
      <c r="E1899" t="e">
        <f>VLOOKUP(A:A,Reviewed!B:C,2,0)</f>
        <v>#N/A</v>
      </c>
      <c r="F1899" t="str">
        <f t="shared" si="63"/>
        <v/>
      </c>
    </row>
    <row r="1900" spans="3:6" x14ac:dyDescent="0.35">
      <c r="C1900" t="str">
        <f>IFERROR(ROUNDUP(VLOOKUP(F1900,'30Days-Baseline'!C:D,2,FALSE),0),"NotExist")</f>
        <v>NotExist</v>
      </c>
      <c r="D1900" t="str">
        <f t="shared" si="62"/>
        <v>New</v>
      </c>
      <c r="E1900" t="e">
        <f>VLOOKUP(A:A,Reviewed!B:C,2,0)</f>
        <v>#N/A</v>
      </c>
      <c r="F1900" t="str">
        <f t="shared" si="63"/>
        <v/>
      </c>
    </row>
    <row r="1901" spans="3:6" x14ac:dyDescent="0.35">
      <c r="C1901" t="str">
        <f>IFERROR(ROUNDUP(VLOOKUP(F1901,'30Days-Baseline'!C:D,2,FALSE),0),"NotExist")</f>
        <v>NotExist</v>
      </c>
      <c r="D1901" t="str">
        <f t="shared" si="62"/>
        <v>New</v>
      </c>
      <c r="E1901" t="e">
        <f>VLOOKUP(A:A,Reviewed!B:C,2,0)</f>
        <v>#N/A</v>
      </c>
      <c r="F1901" t="str">
        <f t="shared" si="63"/>
        <v/>
      </c>
    </row>
    <row r="1902" spans="3:6" x14ac:dyDescent="0.35">
      <c r="C1902" t="str">
        <f>IFERROR(ROUNDUP(VLOOKUP(F1902,'30Days-Baseline'!C:D,2,FALSE),0),"NotExist")</f>
        <v>NotExist</v>
      </c>
      <c r="D1902" t="str">
        <f t="shared" si="62"/>
        <v>New</v>
      </c>
      <c r="E1902" t="e">
        <f>VLOOKUP(A:A,Reviewed!B:C,2,0)</f>
        <v>#N/A</v>
      </c>
      <c r="F1902" t="str">
        <f t="shared" si="63"/>
        <v/>
      </c>
    </row>
    <row r="1903" spans="3:6" x14ac:dyDescent="0.35">
      <c r="C1903" t="str">
        <f>IFERROR(ROUNDUP(VLOOKUP(F1903,'30Days-Baseline'!C:D,2,FALSE),0),"NotExist")</f>
        <v>NotExist</v>
      </c>
      <c r="D1903" t="str">
        <f t="shared" si="62"/>
        <v>New</v>
      </c>
      <c r="E1903" t="e">
        <f>VLOOKUP(A:A,Reviewed!B:C,2,0)</f>
        <v>#N/A</v>
      </c>
      <c r="F1903" t="str">
        <f t="shared" si="63"/>
        <v/>
      </c>
    </row>
    <row r="1904" spans="3:6" x14ac:dyDescent="0.35">
      <c r="C1904" t="str">
        <f>IFERROR(ROUNDUP(VLOOKUP(F1904,'30Days-Baseline'!C:D,2,FALSE),0),"NotExist")</f>
        <v>NotExist</v>
      </c>
      <c r="D1904" t="str">
        <f t="shared" si="62"/>
        <v>New</v>
      </c>
      <c r="E1904" t="e">
        <f>VLOOKUP(A:A,Reviewed!B:C,2,0)</f>
        <v>#N/A</v>
      </c>
      <c r="F1904" t="str">
        <f t="shared" si="63"/>
        <v/>
      </c>
    </row>
    <row r="1905" spans="3:6" x14ac:dyDescent="0.35">
      <c r="C1905" t="str">
        <f>IFERROR(ROUNDUP(VLOOKUP(F1905,'30Days-Baseline'!C:D,2,FALSE),0),"NotExist")</f>
        <v>NotExist</v>
      </c>
      <c r="D1905" t="str">
        <f t="shared" si="62"/>
        <v>New</v>
      </c>
      <c r="E1905" t="e">
        <f>VLOOKUP(A:A,Reviewed!B:C,2,0)</f>
        <v>#N/A</v>
      </c>
      <c r="F1905" t="str">
        <f t="shared" si="63"/>
        <v/>
      </c>
    </row>
    <row r="1906" spans="3:6" x14ac:dyDescent="0.35">
      <c r="C1906" t="str">
        <f>IFERROR(ROUNDUP(VLOOKUP(F1906,'30Days-Baseline'!C:D,2,FALSE),0),"NotExist")</f>
        <v>NotExist</v>
      </c>
      <c r="D1906" t="str">
        <f t="shared" si="62"/>
        <v>New</v>
      </c>
      <c r="E1906" t="e">
        <f>VLOOKUP(A:A,Reviewed!B:C,2,0)</f>
        <v>#N/A</v>
      </c>
      <c r="F1906" t="str">
        <f t="shared" si="63"/>
        <v/>
      </c>
    </row>
    <row r="1907" spans="3:6" x14ac:dyDescent="0.35">
      <c r="C1907" t="str">
        <f>IFERROR(ROUNDUP(VLOOKUP(F1907,'30Days-Baseline'!C:D,2,FALSE),0),"NotExist")</f>
        <v>NotExist</v>
      </c>
      <c r="D1907" t="str">
        <f t="shared" si="62"/>
        <v>New</v>
      </c>
      <c r="E1907" t="e">
        <f>VLOOKUP(A:A,Reviewed!B:C,2,0)</f>
        <v>#N/A</v>
      </c>
      <c r="F1907" t="str">
        <f t="shared" si="63"/>
        <v/>
      </c>
    </row>
    <row r="1908" spans="3:6" x14ac:dyDescent="0.35">
      <c r="C1908" t="str">
        <f>IFERROR(ROUNDUP(VLOOKUP(F1908,'30Days-Baseline'!C:D,2,FALSE),0),"NotExist")</f>
        <v>NotExist</v>
      </c>
      <c r="D1908" t="str">
        <f t="shared" si="62"/>
        <v>New</v>
      </c>
      <c r="E1908" t="e">
        <f>VLOOKUP(A:A,Reviewed!B:C,2,0)</f>
        <v>#N/A</v>
      </c>
      <c r="F1908" t="str">
        <f t="shared" si="63"/>
        <v/>
      </c>
    </row>
    <row r="1909" spans="3:6" x14ac:dyDescent="0.35">
      <c r="C1909" t="str">
        <f>IFERROR(ROUNDUP(VLOOKUP(F1909,'30Days-Baseline'!C:D,2,FALSE),0),"NotExist")</f>
        <v>NotExist</v>
      </c>
      <c r="D1909" t="str">
        <f t="shared" si="62"/>
        <v>New</v>
      </c>
      <c r="E1909" t="e">
        <f>VLOOKUP(A:A,Reviewed!B:C,2,0)</f>
        <v>#N/A</v>
      </c>
      <c r="F1909" t="str">
        <f t="shared" si="63"/>
        <v/>
      </c>
    </row>
    <row r="1910" spans="3:6" x14ac:dyDescent="0.35">
      <c r="C1910" t="str">
        <f>IFERROR(ROUNDUP(VLOOKUP(F1910,'30Days-Baseline'!C:D,2,FALSE),0),"NotExist")</f>
        <v>NotExist</v>
      </c>
      <c r="D1910" t="str">
        <f t="shared" si="62"/>
        <v>New</v>
      </c>
      <c r="E1910" t="e">
        <f>VLOOKUP(A:A,Reviewed!B:C,2,0)</f>
        <v>#N/A</v>
      </c>
      <c r="F1910" t="str">
        <f t="shared" si="63"/>
        <v/>
      </c>
    </row>
    <row r="1911" spans="3:6" x14ac:dyDescent="0.35">
      <c r="C1911" t="str">
        <f>IFERROR(ROUNDUP(VLOOKUP(F1911,'30Days-Baseline'!C:D,2,FALSE),0),"NotExist")</f>
        <v>NotExist</v>
      </c>
      <c r="D1911" t="str">
        <f t="shared" si="62"/>
        <v>New</v>
      </c>
      <c r="E1911" t="e">
        <f>VLOOKUP(A:A,Reviewed!B:C,2,0)</f>
        <v>#N/A</v>
      </c>
      <c r="F1911" t="str">
        <f t="shared" si="63"/>
        <v/>
      </c>
    </row>
    <row r="1912" spans="3:6" x14ac:dyDescent="0.35">
      <c r="C1912" t="str">
        <f>IFERROR(ROUNDUP(VLOOKUP(F1912,'30Days-Baseline'!C:D,2,FALSE),0),"NotExist")</f>
        <v>NotExist</v>
      </c>
      <c r="D1912" t="str">
        <f t="shared" si="62"/>
        <v>New</v>
      </c>
      <c r="E1912" t="e">
        <f>VLOOKUP(A:A,Reviewed!B:C,2,0)</f>
        <v>#N/A</v>
      </c>
      <c r="F1912" t="str">
        <f t="shared" si="63"/>
        <v/>
      </c>
    </row>
    <row r="1913" spans="3:6" x14ac:dyDescent="0.35">
      <c r="C1913" t="str">
        <f>IFERROR(ROUNDUP(VLOOKUP(F1913,'30Days-Baseline'!C:D,2,FALSE),0),"NotExist")</f>
        <v>NotExist</v>
      </c>
      <c r="D1913" t="str">
        <f t="shared" si="62"/>
        <v>New</v>
      </c>
      <c r="E1913" t="e">
        <f>VLOOKUP(A:A,Reviewed!B:C,2,0)</f>
        <v>#N/A</v>
      </c>
      <c r="F1913" t="str">
        <f t="shared" si="63"/>
        <v/>
      </c>
    </row>
    <row r="1914" spans="3:6" x14ac:dyDescent="0.35">
      <c r="C1914" t="str">
        <f>IFERROR(ROUNDUP(VLOOKUP(F1914,'30Days-Baseline'!C:D,2,FALSE),0),"NotExist")</f>
        <v>NotExist</v>
      </c>
      <c r="D1914" t="str">
        <f t="shared" si="62"/>
        <v>New</v>
      </c>
      <c r="E1914" t="e">
        <f>VLOOKUP(A:A,Reviewed!B:C,2,0)</f>
        <v>#N/A</v>
      </c>
      <c r="F1914" t="str">
        <f t="shared" si="63"/>
        <v/>
      </c>
    </row>
    <row r="1915" spans="3:6" x14ac:dyDescent="0.35">
      <c r="C1915" t="str">
        <f>IFERROR(ROUNDUP(VLOOKUP(F1915,'30Days-Baseline'!C:D,2,FALSE),0),"NotExist")</f>
        <v>NotExist</v>
      </c>
      <c r="D1915" t="str">
        <f t="shared" si="62"/>
        <v>New</v>
      </c>
      <c r="E1915" t="e">
        <f>VLOOKUP(A:A,Reviewed!B:C,2,0)</f>
        <v>#N/A</v>
      </c>
      <c r="F1915" t="str">
        <f t="shared" si="63"/>
        <v/>
      </c>
    </row>
    <row r="1916" spans="3:6" x14ac:dyDescent="0.35">
      <c r="C1916" t="str">
        <f>IFERROR(ROUNDUP(VLOOKUP(F1916,'30Days-Baseline'!C:D,2,FALSE),0),"NotExist")</f>
        <v>NotExist</v>
      </c>
      <c r="D1916" t="str">
        <f t="shared" si="62"/>
        <v>New</v>
      </c>
      <c r="E1916" t="e">
        <f>VLOOKUP(A:A,Reviewed!B:C,2,0)</f>
        <v>#N/A</v>
      </c>
      <c r="F1916" t="str">
        <f t="shared" si="63"/>
        <v/>
      </c>
    </row>
    <row r="1917" spans="3:6" x14ac:dyDescent="0.35">
      <c r="C1917" t="str">
        <f>IFERROR(ROUNDUP(VLOOKUP(F1917,'30Days-Baseline'!C:D,2,FALSE),0),"NotExist")</f>
        <v>NotExist</v>
      </c>
      <c r="D1917" t="str">
        <f t="shared" si="62"/>
        <v>New</v>
      </c>
      <c r="E1917" t="e">
        <f>VLOOKUP(A:A,Reviewed!B:C,2,0)</f>
        <v>#N/A</v>
      </c>
      <c r="F1917" t="str">
        <f t="shared" si="63"/>
        <v/>
      </c>
    </row>
    <row r="1918" spans="3:6" x14ac:dyDescent="0.35">
      <c r="C1918" t="str">
        <f>IFERROR(ROUNDUP(VLOOKUP(F1918,'30Days-Baseline'!C:D,2,FALSE),0),"NotExist")</f>
        <v>NotExist</v>
      </c>
      <c r="D1918" t="str">
        <f t="shared" si="62"/>
        <v>New</v>
      </c>
      <c r="E1918" t="e">
        <f>VLOOKUP(A:A,Reviewed!B:C,2,0)</f>
        <v>#N/A</v>
      </c>
      <c r="F1918" t="str">
        <f t="shared" si="63"/>
        <v/>
      </c>
    </row>
    <row r="1919" spans="3:6" x14ac:dyDescent="0.35">
      <c r="C1919" t="str">
        <f>IFERROR(ROUNDUP(VLOOKUP(F1919,'30Days-Baseline'!C:D,2,FALSE),0),"NotExist")</f>
        <v>NotExist</v>
      </c>
      <c r="D1919" t="str">
        <f t="shared" si="62"/>
        <v>New</v>
      </c>
      <c r="E1919" t="e">
        <f>VLOOKUP(A:A,Reviewed!B:C,2,0)</f>
        <v>#N/A</v>
      </c>
      <c r="F1919" t="str">
        <f t="shared" si="63"/>
        <v/>
      </c>
    </row>
    <row r="1920" spans="3:6" x14ac:dyDescent="0.35">
      <c r="C1920" t="str">
        <f>IFERROR(ROUNDUP(VLOOKUP(F1920,'30Days-Baseline'!C:D,2,FALSE),0),"NotExist")</f>
        <v>NotExist</v>
      </c>
      <c r="D1920" t="str">
        <f t="shared" si="62"/>
        <v>New</v>
      </c>
      <c r="E1920" t="e">
        <f>VLOOKUP(A:A,Reviewed!B:C,2,0)</f>
        <v>#N/A</v>
      </c>
      <c r="F1920" t="str">
        <f t="shared" si="63"/>
        <v/>
      </c>
    </row>
    <row r="1921" spans="1:6" x14ac:dyDescent="0.35">
      <c r="C1921" t="str">
        <f>IFERROR(ROUNDUP(VLOOKUP(F1921,'30Days-Baseline'!C:D,2,FALSE),0),"NotExist")</f>
        <v>NotExist</v>
      </c>
      <c r="D1921" t="str">
        <f t="shared" si="62"/>
        <v>New</v>
      </c>
      <c r="E1921" t="e">
        <f>VLOOKUP(A:A,Reviewed!B:C,2,0)</f>
        <v>#N/A</v>
      </c>
      <c r="F1921" t="str">
        <f t="shared" si="63"/>
        <v/>
      </c>
    </row>
    <row r="1922" spans="1:6" x14ac:dyDescent="0.35">
      <c r="C1922" t="str">
        <f>IFERROR(ROUNDUP(VLOOKUP(F1922,'30Days-Baseline'!C:D,2,FALSE),0),"NotExist")</f>
        <v>NotExist</v>
      </c>
      <c r="D1922" t="str">
        <f t="shared" si="62"/>
        <v>New</v>
      </c>
      <c r="E1922" t="e">
        <f>VLOOKUP(A:A,Reviewed!B:C,2,0)</f>
        <v>#N/A</v>
      </c>
      <c r="F1922" t="str">
        <f t="shared" si="63"/>
        <v/>
      </c>
    </row>
    <row r="1923" spans="1:6" x14ac:dyDescent="0.35">
      <c r="C1923" t="str">
        <f>IFERROR(ROUNDUP(VLOOKUP(F1923,'30Days-Baseline'!C:D,2,FALSE),0),"NotExist")</f>
        <v>NotExist</v>
      </c>
      <c r="D1923" t="str">
        <f t="shared" si="62"/>
        <v>New</v>
      </c>
      <c r="E1923" t="e">
        <f>VLOOKUP(A:A,Reviewed!B:C,2,0)</f>
        <v>#N/A</v>
      </c>
      <c r="F1923" t="str">
        <f t="shared" si="63"/>
        <v/>
      </c>
    </row>
    <row r="1924" spans="1:6" x14ac:dyDescent="0.35">
      <c r="C1924" t="str">
        <f>IFERROR(ROUNDUP(VLOOKUP(F1924,'30Days-Baseline'!C:D,2,FALSE),0),"NotExist")</f>
        <v>NotExist</v>
      </c>
      <c r="D1924" t="str">
        <f t="shared" si="62"/>
        <v>New</v>
      </c>
      <c r="E1924" t="e">
        <f>VLOOKUP(A:A,Reviewed!B:C,2,0)</f>
        <v>#N/A</v>
      </c>
      <c r="F1924" t="str">
        <f t="shared" si="63"/>
        <v/>
      </c>
    </row>
    <row r="1925" spans="1:6" x14ac:dyDescent="0.35">
      <c r="C1925" t="str">
        <f>IFERROR(ROUNDUP(VLOOKUP(F1925,'30Days-Baseline'!C:D,2,FALSE),0),"NotExist")</f>
        <v>NotExist</v>
      </c>
      <c r="D1925" t="str">
        <f t="shared" si="62"/>
        <v>New</v>
      </c>
      <c r="E1925" t="e">
        <f>VLOOKUP(A:A,Reviewed!B:C,2,0)</f>
        <v>#N/A</v>
      </c>
      <c r="F1925" t="str">
        <f t="shared" si="63"/>
        <v/>
      </c>
    </row>
    <row r="1926" spans="1:6" x14ac:dyDescent="0.35">
      <c r="C1926" t="str">
        <f>IFERROR(ROUNDUP(VLOOKUP(F1926,'30Days-Baseline'!C:D,2,FALSE),0),"NotExist")</f>
        <v>NotExist</v>
      </c>
      <c r="D1926" t="str">
        <f t="shared" si="62"/>
        <v>New</v>
      </c>
      <c r="E1926" t="e">
        <f>VLOOKUP(A:A,Reviewed!B:C,2,0)</f>
        <v>#N/A</v>
      </c>
      <c r="F1926" t="str">
        <f t="shared" si="63"/>
        <v/>
      </c>
    </row>
    <row r="1927" spans="1:6" x14ac:dyDescent="0.35">
      <c r="C1927" t="str">
        <f>IFERROR(ROUNDUP(VLOOKUP(F1927,'30Days-Baseline'!C:D,2,FALSE),0),"NotExist")</f>
        <v>NotExist</v>
      </c>
      <c r="D1927" t="str">
        <f t="shared" si="62"/>
        <v>New</v>
      </c>
      <c r="E1927" t="e">
        <f>VLOOKUP(A:A,Reviewed!B:C,2,0)</f>
        <v>#N/A</v>
      </c>
      <c r="F1927" t="str">
        <f t="shared" si="63"/>
        <v/>
      </c>
    </row>
    <row r="1928" spans="1:6" x14ac:dyDescent="0.35">
      <c r="A1928" s="4"/>
      <c r="C1928" t="str">
        <f>IFERROR(ROUNDUP(VLOOKUP(F1928,'30Days-Baseline'!C:D,2,FALSE),0),"NotExist")</f>
        <v>NotExist</v>
      </c>
      <c r="D1928" t="str">
        <f t="shared" si="62"/>
        <v>New</v>
      </c>
      <c r="E1928" t="e">
        <f>VLOOKUP(A:A,Reviewed!B:C,2,0)</f>
        <v>#N/A</v>
      </c>
      <c r="F1928" t="str">
        <f t="shared" si="63"/>
        <v/>
      </c>
    </row>
    <row r="1929" spans="1:6" x14ac:dyDescent="0.35">
      <c r="C1929" t="str">
        <f>IFERROR(ROUNDUP(VLOOKUP(F1929,'30Days-Baseline'!C:D,2,FALSE),0),"NotExist")</f>
        <v>NotExist</v>
      </c>
      <c r="D1929" t="str">
        <f t="shared" si="62"/>
        <v>New</v>
      </c>
      <c r="E1929" t="e">
        <f>VLOOKUP(A:A,Reviewed!B:C,2,0)</f>
        <v>#N/A</v>
      </c>
      <c r="F1929" t="str">
        <f t="shared" si="63"/>
        <v/>
      </c>
    </row>
    <row r="1930" spans="1:6" x14ac:dyDescent="0.35">
      <c r="C1930" t="str">
        <f>IFERROR(ROUNDUP(VLOOKUP(F1930,'30Days-Baseline'!C:D,2,FALSE),0),"NotExist")</f>
        <v>NotExist</v>
      </c>
      <c r="D1930" t="str">
        <f t="shared" si="62"/>
        <v>New</v>
      </c>
      <c r="E1930" t="e">
        <f>VLOOKUP(A:A,Reviewed!B:C,2,0)</f>
        <v>#N/A</v>
      </c>
      <c r="F1930" t="str">
        <f t="shared" si="63"/>
        <v/>
      </c>
    </row>
    <row r="1931" spans="1:6" x14ac:dyDescent="0.35">
      <c r="C1931" t="str">
        <f>IFERROR(ROUNDUP(VLOOKUP(F1931,'30Days-Baseline'!C:D,2,FALSE),0),"NotExist")</f>
        <v>NotExist</v>
      </c>
      <c r="D1931" t="str">
        <f t="shared" si="62"/>
        <v>New</v>
      </c>
      <c r="E1931" t="e">
        <f>VLOOKUP(A:A,Reviewed!B:C,2,0)</f>
        <v>#N/A</v>
      </c>
      <c r="F1931" t="str">
        <f t="shared" si="63"/>
        <v/>
      </c>
    </row>
    <row r="1932" spans="1:6" x14ac:dyDescent="0.35">
      <c r="C1932" t="str">
        <f>IFERROR(ROUNDUP(VLOOKUP(F1932,'30Days-Baseline'!C:D,2,FALSE),0),"NotExist")</f>
        <v>NotExist</v>
      </c>
      <c r="D1932" t="str">
        <f t="shared" si="62"/>
        <v>New</v>
      </c>
      <c r="E1932" t="e">
        <f>VLOOKUP(A:A,Reviewed!B:C,2,0)</f>
        <v>#N/A</v>
      </c>
      <c r="F1932" t="str">
        <f t="shared" si="63"/>
        <v/>
      </c>
    </row>
    <row r="1933" spans="1:6" x14ac:dyDescent="0.35">
      <c r="C1933" t="str">
        <f>IFERROR(ROUNDUP(VLOOKUP(F1933,'30Days-Baseline'!C:D,2,FALSE),0),"NotExist")</f>
        <v>NotExist</v>
      </c>
      <c r="D1933" t="str">
        <f t="shared" si="62"/>
        <v>New</v>
      </c>
      <c r="E1933" t="e">
        <f>VLOOKUP(A:A,Reviewed!B:C,2,0)</f>
        <v>#N/A</v>
      </c>
      <c r="F1933" t="str">
        <f t="shared" si="63"/>
        <v/>
      </c>
    </row>
    <row r="1934" spans="1:6" x14ac:dyDescent="0.35">
      <c r="C1934" t="str">
        <f>IFERROR(ROUNDUP(VLOOKUP(F1934,'30Days-Baseline'!C:D,2,FALSE),0),"NotExist")</f>
        <v>NotExist</v>
      </c>
      <c r="D1934" t="str">
        <f t="shared" si="62"/>
        <v>New</v>
      </c>
      <c r="E1934" t="e">
        <f>VLOOKUP(A:A,Reviewed!B:C,2,0)</f>
        <v>#N/A</v>
      </c>
      <c r="F1934" t="str">
        <f t="shared" si="63"/>
        <v/>
      </c>
    </row>
    <row r="1935" spans="1:6" x14ac:dyDescent="0.35">
      <c r="C1935" t="str">
        <f>IFERROR(ROUNDUP(VLOOKUP(F1935,'30Days-Baseline'!C:D,2,FALSE),0),"NotExist")</f>
        <v>NotExist</v>
      </c>
      <c r="D1935" t="str">
        <f t="shared" si="62"/>
        <v>New</v>
      </c>
      <c r="E1935" t="e">
        <f>VLOOKUP(A:A,Reviewed!B:C,2,0)</f>
        <v>#N/A</v>
      </c>
      <c r="F1935" t="str">
        <f t="shared" si="63"/>
        <v/>
      </c>
    </row>
    <row r="1936" spans="1:6" x14ac:dyDescent="0.35">
      <c r="C1936" t="str">
        <f>IFERROR(ROUNDUP(VLOOKUP(F1936,'30Days-Baseline'!C:D,2,FALSE),0),"NotExist")</f>
        <v>NotExist</v>
      </c>
      <c r="D1936" t="str">
        <f t="shared" si="62"/>
        <v>New</v>
      </c>
      <c r="E1936" t="e">
        <f>VLOOKUP(A:A,Reviewed!B:C,2,0)</f>
        <v>#N/A</v>
      </c>
      <c r="F1936" t="str">
        <f t="shared" si="63"/>
        <v/>
      </c>
    </row>
    <row r="1937" spans="3:6" x14ac:dyDescent="0.35">
      <c r="C1937" t="str">
        <f>IFERROR(ROUNDUP(VLOOKUP(F1937,'30Days-Baseline'!C:D,2,FALSE),0),"NotExist")</f>
        <v>NotExist</v>
      </c>
      <c r="D1937" t="str">
        <f t="shared" si="62"/>
        <v>New</v>
      </c>
      <c r="E1937" t="e">
        <f>VLOOKUP(A:A,Reviewed!B:C,2,0)</f>
        <v>#N/A</v>
      </c>
      <c r="F1937" t="str">
        <f t="shared" si="63"/>
        <v/>
      </c>
    </row>
    <row r="1938" spans="3:6" x14ac:dyDescent="0.35">
      <c r="C1938" t="str">
        <f>IFERROR(ROUNDUP(VLOOKUP(F1938,'30Days-Baseline'!C:D,2,FALSE),0),"NotExist")</f>
        <v>NotExist</v>
      </c>
      <c r="D1938" t="str">
        <f t="shared" si="62"/>
        <v>New</v>
      </c>
      <c r="E1938" t="e">
        <f>VLOOKUP(A:A,Reviewed!B:C,2,0)</f>
        <v>#N/A</v>
      </c>
      <c r="F1938" t="str">
        <f t="shared" si="63"/>
        <v/>
      </c>
    </row>
    <row r="1939" spans="3:6" x14ac:dyDescent="0.35">
      <c r="C1939" t="str">
        <f>IFERROR(ROUNDUP(VLOOKUP(F1939,'30Days-Baseline'!C:D,2,FALSE),0),"NotExist")</f>
        <v>NotExist</v>
      </c>
      <c r="D1939" t="str">
        <f t="shared" ref="D1939:D2002" si="64">IFERROR(IF(B1939&gt;ROUNDUP(C1939,0),"Elevated","Ok"),"New")</f>
        <v>New</v>
      </c>
      <c r="E1939" t="e">
        <f>VLOOKUP(A:A,Reviewed!B:C,2,0)</f>
        <v>#N/A</v>
      </c>
      <c r="F1939" t="str">
        <f t="shared" ref="F1939:F2002" si="65">LEFT(A1939,255)</f>
        <v/>
      </c>
    </row>
    <row r="1940" spans="3:6" x14ac:dyDescent="0.35">
      <c r="C1940" t="str">
        <f>IFERROR(ROUNDUP(VLOOKUP(F1940,'30Days-Baseline'!C:D,2,FALSE),0),"NotExist")</f>
        <v>NotExist</v>
      </c>
      <c r="D1940" t="str">
        <f t="shared" si="64"/>
        <v>New</v>
      </c>
      <c r="E1940" t="e">
        <f>VLOOKUP(A:A,Reviewed!B:C,2,0)</f>
        <v>#N/A</v>
      </c>
      <c r="F1940" t="str">
        <f t="shared" si="65"/>
        <v/>
      </c>
    </row>
    <row r="1941" spans="3:6" x14ac:dyDescent="0.35">
      <c r="C1941" t="str">
        <f>IFERROR(ROUNDUP(VLOOKUP(F1941,'30Days-Baseline'!C:D,2,FALSE),0),"NotExist")</f>
        <v>NotExist</v>
      </c>
      <c r="D1941" t="str">
        <f t="shared" si="64"/>
        <v>New</v>
      </c>
      <c r="E1941" t="e">
        <f>VLOOKUP(A:A,Reviewed!B:C,2,0)</f>
        <v>#N/A</v>
      </c>
      <c r="F1941" t="str">
        <f t="shared" si="65"/>
        <v/>
      </c>
    </row>
    <row r="1942" spans="3:6" x14ac:dyDescent="0.35">
      <c r="C1942" t="str">
        <f>IFERROR(ROUNDUP(VLOOKUP(F1942,'30Days-Baseline'!C:D,2,FALSE),0),"NotExist")</f>
        <v>NotExist</v>
      </c>
      <c r="D1942" t="str">
        <f t="shared" si="64"/>
        <v>New</v>
      </c>
      <c r="E1942" t="e">
        <f>VLOOKUP(A:A,Reviewed!B:C,2,0)</f>
        <v>#N/A</v>
      </c>
      <c r="F1942" t="str">
        <f t="shared" si="65"/>
        <v/>
      </c>
    </row>
    <row r="1943" spans="3:6" x14ac:dyDescent="0.35">
      <c r="C1943" t="str">
        <f>IFERROR(ROUNDUP(VLOOKUP(F1943,'30Days-Baseline'!C:D,2,FALSE),0),"NotExist")</f>
        <v>NotExist</v>
      </c>
      <c r="D1943" t="str">
        <f t="shared" si="64"/>
        <v>New</v>
      </c>
      <c r="E1943" t="e">
        <f>VLOOKUP(A:A,Reviewed!B:C,2,0)</f>
        <v>#N/A</v>
      </c>
      <c r="F1943" t="str">
        <f t="shared" si="65"/>
        <v/>
      </c>
    </row>
    <row r="1944" spans="3:6" x14ac:dyDescent="0.35">
      <c r="C1944" t="str">
        <f>IFERROR(ROUNDUP(VLOOKUP(F1944,'30Days-Baseline'!C:D,2,FALSE),0),"NotExist")</f>
        <v>NotExist</v>
      </c>
      <c r="D1944" t="str">
        <f t="shared" si="64"/>
        <v>New</v>
      </c>
      <c r="E1944" t="e">
        <f>VLOOKUP(A:A,Reviewed!B:C,2,0)</f>
        <v>#N/A</v>
      </c>
      <c r="F1944" t="str">
        <f t="shared" si="65"/>
        <v/>
      </c>
    </row>
    <row r="1945" spans="3:6" x14ac:dyDescent="0.35">
      <c r="C1945" t="str">
        <f>IFERROR(ROUNDUP(VLOOKUP(F1945,'30Days-Baseline'!C:D,2,FALSE),0),"NotExist")</f>
        <v>NotExist</v>
      </c>
      <c r="D1945" t="str">
        <f t="shared" si="64"/>
        <v>New</v>
      </c>
      <c r="E1945" t="e">
        <f>VLOOKUP(A:A,Reviewed!B:C,2,0)</f>
        <v>#N/A</v>
      </c>
      <c r="F1945" t="str">
        <f t="shared" si="65"/>
        <v/>
      </c>
    </row>
    <row r="1946" spans="3:6" x14ac:dyDescent="0.35">
      <c r="C1946" t="str">
        <f>IFERROR(ROUNDUP(VLOOKUP(F1946,'30Days-Baseline'!C:D,2,FALSE),0),"NotExist")</f>
        <v>NotExist</v>
      </c>
      <c r="D1946" t="str">
        <f t="shared" si="64"/>
        <v>New</v>
      </c>
      <c r="E1946" t="e">
        <f>VLOOKUP(A:A,Reviewed!B:C,2,0)</f>
        <v>#N/A</v>
      </c>
      <c r="F1946" t="str">
        <f t="shared" si="65"/>
        <v/>
      </c>
    </row>
    <row r="1947" spans="3:6" x14ac:dyDescent="0.35">
      <c r="C1947" t="str">
        <f>IFERROR(ROUNDUP(VLOOKUP(F1947,'30Days-Baseline'!C:D,2,FALSE),0),"NotExist")</f>
        <v>NotExist</v>
      </c>
      <c r="D1947" t="str">
        <f t="shared" si="64"/>
        <v>New</v>
      </c>
      <c r="E1947" t="e">
        <f>VLOOKUP(A:A,Reviewed!B:C,2,0)</f>
        <v>#N/A</v>
      </c>
      <c r="F1947" t="str">
        <f t="shared" si="65"/>
        <v/>
      </c>
    </row>
    <row r="1948" spans="3:6" x14ac:dyDescent="0.35">
      <c r="C1948" t="str">
        <f>IFERROR(ROUNDUP(VLOOKUP(F1948,'30Days-Baseline'!C:D,2,FALSE),0),"NotExist")</f>
        <v>NotExist</v>
      </c>
      <c r="D1948" t="str">
        <f t="shared" si="64"/>
        <v>New</v>
      </c>
      <c r="E1948" t="e">
        <f>VLOOKUP(A:A,Reviewed!B:C,2,0)</f>
        <v>#N/A</v>
      </c>
      <c r="F1948" t="str">
        <f t="shared" si="65"/>
        <v/>
      </c>
    </row>
    <row r="1949" spans="3:6" x14ac:dyDescent="0.35">
      <c r="C1949" t="str">
        <f>IFERROR(ROUNDUP(VLOOKUP(F1949,'30Days-Baseline'!C:D,2,FALSE),0),"NotExist")</f>
        <v>NotExist</v>
      </c>
      <c r="D1949" t="str">
        <f t="shared" si="64"/>
        <v>New</v>
      </c>
      <c r="E1949" t="e">
        <f>VLOOKUP(A:A,Reviewed!B:C,2,0)</f>
        <v>#N/A</v>
      </c>
      <c r="F1949" t="str">
        <f t="shared" si="65"/>
        <v/>
      </c>
    </row>
    <row r="1950" spans="3:6" x14ac:dyDescent="0.35">
      <c r="C1950" t="str">
        <f>IFERROR(ROUNDUP(VLOOKUP(F1950,'30Days-Baseline'!C:D,2,FALSE),0),"NotExist")</f>
        <v>NotExist</v>
      </c>
      <c r="D1950" t="str">
        <f t="shared" si="64"/>
        <v>New</v>
      </c>
      <c r="E1950" t="e">
        <f>VLOOKUP(A:A,Reviewed!B:C,2,0)</f>
        <v>#N/A</v>
      </c>
      <c r="F1950" t="str">
        <f t="shared" si="65"/>
        <v/>
      </c>
    </row>
    <row r="1951" spans="3:6" x14ac:dyDescent="0.35">
      <c r="C1951" t="str">
        <f>IFERROR(ROUNDUP(VLOOKUP(F1951,'30Days-Baseline'!C:D,2,FALSE),0),"NotExist")</f>
        <v>NotExist</v>
      </c>
      <c r="D1951" t="str">
        <f t="shared" si="64"/>
        <v>New</v>
      </c>
      <c r="E1951" t="e">
        <f>VLOOKUP(A:A,Reviewed!B:C,2,0)</f>
        <v>#N/A</v>
      </c>
      <c r="F1951" t="str">
        <f t="shared" si="65"/>
        <v/>
      </c>
    </row>
    <row r="1952" spans="3:6" x14ac:dyDescent="0.35">
      <c r="C1952" t="str">
        <f>IFERROR(ROUNDUP(VLOOKUP(F1952,'30Days-Baseline'!C:D,2,FALSE),0),"NotExist")</f>
        <v>NotExist</v>
      </c>
      <c r="D1952" t="str">
        <f t="shared" si="64"/>
        <v>New</v>
      </c>
      <c r="E1952" t="e">
        <f>VLOOKUP(A:A,Reviewed!B:C,2,0)</f>
        <v>#N/A</v>
      </c>
      <c r="F1952" t="str">
        <f t="shared" si="65"/>
        <v/>
      </c>
    </row>
    <row r="1953" spans="3:6" x14ac:dyDescent="0.35">
      <c r="C1953" t="str">
        <f>IFERROR(ROUNDUP(VLOOKUP(F1953,'30Days-Baseline'!C:D,2,FALSE),0),"NotExist")</f>
        <v>NotExist</v>
      </c>
      <c r="D1953" t="str">
        <f t="shared" si="64"/>
        <v>New</v>
      </c>
      <c r="E1953" t="e">
        <f>VLOOKUP(A:A,Reviewed!B:C,2,0)</f>
        <v>#N/A</v>
      </c>
      <c r="F1953" t="str">
        <f t="shared" si="65"/>
        <v/>
      </c>
    </row>
    <row r="1954" spans="3:6" x14ac:dyDescent="0.35">
      <c r="C1954" t="str">
        <f>IFERROR(ROUNDUP(VLOOKUP(F1954,'30Days-Baseline'!C:D,2,FALSE),0),"NotExist")</f>
        <v>NotExist</v>
      </c>
      <c r="D1954" t="str">
        <f t="shared" si="64"/>
        <v>New</v>
      </c>
      <c r="E1954" t="e">
        <f>VLOOKUP(A:A,Reviewed!B:C,2,0)</f>
        <v>#N/A</v>
      </c>
      <c r="F1954" t="str">
        <f t="shared" si="65"/>
        <v/>
      </c>
    </row>
    <row r="1955" spans="3:6" x14ac:dyDescent="0.35">
      <c r="C1955" t="str">
        <f>IFERROR(ROUNDUP(VLOOKUP(F1955,'30Days-Baseline'!C:D,2,FALSE),0),"NotExist")</f>
        <v>NotExist</v>
      </c>
      <c r="D1955" t="str">
        <f t="shared" si="64"/>
        <v>New</v>
      </c>
      <c r="E1955" t="e">
        <f>VLOOKUP(A:A,Reviewed!B:C,2,0)</f>
        <v>#N/A</v>
      </c>
      <c r="F1955" t="str">
        <f t="shared" si="65"/>
        <v/>
      </c>
    </row>
    <row r="1956" spans="3:6" x14ac:dyDescent="0.35">
      <c r="C1956" t="str">
        <f>IFERROR(ROUNDUP(VLOOKUP(F1956,'30Days-Baseline'!C:D,2,FALSE),0),"NotExist")</f>
        <v>NotExist</v>
      </c>
      <c r="D1956" t="str">
        <f t="shared" si="64"/>
        <v>New</v>
      </c>
      <c r="E1956" t="e">
        <f>VLOOKUP(A:A,Reviewed!B:C,2,0)</f>
        <v>#N/A</v>
      </c>
      <c r="F1956" t="str">
        <f t="shared" si="65"/>
        <v/>
      </c>
    </row>
    <row r="1957" spans="3:6" x14ac:dyDescent="0.35">
      <c r="C1957" t="str">
        <f>IFERROR(ROUNDUP(VLOOKUP(F1957,'30Days-Baseline'!C:D,2,FALSE),0),"NotExist")</f>
        <v>NotExist</v>
      </c>
      <c r="D1957" t="str">
        <f t="shared" si="64"/>
        <v>New</v>
      </c>
      <c r="E1957" t="e">
        <f>VLOOKUP(A:A,Reviewed!B:C,2,0)</f>
        <v>#N/A</v>
      </c>
      <c r="F1957" t="str">
        <f t="shared" si="65"/>
        <v/>
      </c>
    </row>
    <row r="1958" spans="3:6" x14ac:dyDescent="0.35">
      <c r="C1958" t="str">
        <f>IFERROR(ROUNDUP(VLOOKUP(F1958,'30Days-Baseline'!C:D,2,FALSE),0),"NotExist")</f>
        <v>NotExist</v>
      </c>
      <c r="D1958" t="str">
        <f t="shared" si="64"/>
        <v>New</v>
      </c>
      <c r="E1958" t="e">
        <f>VLOOKUP(A:A,Reviewed!B:C,2,0)</f>
        <v>#N/A</v>
      </c>
      <c r="F1958" t="str">
        <f t="shared" si="65"/>
        <v/>
      </c>
    </row>
    <row r="1959" spans="3:6" x14ac:dyDescent="0.35">
      <c r="C1959" t="str">
        <f>IFERROR(ROUNDUP(VLOOKUP(F1959,'30Days-Baseline'!C:D,2,FALSE),0),"NotExist")</f>
        <v>NotExist</v>
      </c>
      <c r="D1959" t="str">
        <f t="shared" si="64"/>
        <v>New</v>
      </c>
      <c r="E1959" t="e">
        <f>VLOOKUP(A:A,Reviewed!B:C,2,0)</f>
        <v>#N/A</v>
      </c>
      <c r="F1959" t="str">
        <f t="shared" si="65"/>
        <v/>
      </c>
    </row>
    <row r="1960" spans="3:6" x14ac:dyDescent="0.35">
      <c r="C1960" t="str">
        <f>IFERROR(ROUNDUP(VLOOKUP(F1960,'30Days-Baseline'!C:D,2,FALSE),0),"NotExist")</f>
        <v>NotExist</v>
      </c>
      <c r="D1960" t="str">
        <f t="shared" si="64"/>
        <v>New</v>
      </c>
      <c r="E1960" t="e">
        <f>VLOOKUP(A:A,Reviewed!B:C,2,0)</f>
        <v>#N/A</v>
      </c>
      <c r="F1960" t="str">
        <f t="shared" si="65"/>
        <v/>
      </c>
    </row>
    <row r="1961" spans="3:6" x14ac:dyDescent="0.35">
      <c r="C1961" t="str">
        <f>IFERROR(ROUNDUP(VLOOKUP(F1961,'30Days-Baseline'!C:D,2,FALSE),0),"NotExist")</f>
        <v>NotExist</v>
      </c>
      <c r="D1961" t="str">
        <f t="shared" si="64"/>
        <v>New</v>
      </c>
      <c r="E1961" t="e">
        <f>VLOOKUP(A:A,Reviewed!B:C,2,0)</f>
        <v>#N/A</v>
      </c>
      <c r="F1961" t="str">
        <f t="shared" si="65"/>
        <v/>
      </c>
    </row>
    <row r="1962" spans="3:6" x14ac:dyDescent="0.35">
      <c r="C1962" t="str">
        <f>IFERROR(ROUNDUP(VLOOKUP(F1962,'30Days-Baseline'!C:D,2,FALSE),0),"NotExist")</f>
        <v>NotExist</v>
      </c>
      <c r="D1962" t="str">
        <f t="shared" si="64"/>
        <v>New</v>
      </c>
      <c r="E1962" t="e">
        <f>VLOOKUP(A:A,Reviewed!B:C,2,0)</f>
        <v>#N/A</v>
      </c>
      <c r="F1962" t="str">
        <f t="shared" si="65"/>
        <v/>
      </c>
    </row>
    <row r="1963" spans="3:6" x14ac:dyDescent="0.35">
      <c r="C1963" t="str">
        <f>IFERROR(ROUNDUP(VLOOKUP(F1963,'30Days-Baseline'!C:D,2,FALSE),0),"NotExist")</f>
        <v>NotExist</v>
      </c>
      <c r="D1963" t="str">
        <f t="shared" si="64"/>
        <v>New</v>
      </c>
      <c r="E1963" t="e">
        <f>VLOOKUP(A:A,Reviewed!B:C,2,0)</f>
        <v>#N/A</v>
      </c>
      <c r="F1963" t="str">
        <f t="shared" si="65"/>
        <v/>
      </c>
    </row>
    <row r="1964" spans="3:6" x14ac:dyDescent="0.35">
      <c r="C1964" t="str">
        <f>IFERROR(ROUNDUP(VLOOKUP(F1964,'30Days-Baseline'!C:D,2,FALSE),0),"NotExist")</f>
        <v>NotExist</v>
      </c>
      <c r="D1964" t="str">
        <f t="shared" si="64"/>
        <v>New</v>
      </c>
      <c r="E1964" t="e">
        <f>VLOOKUP(A:A,Reviewed!B:C,2,0)</f>
        <v>#N/A</v>
      </c>
      <c r="F1964" t="str">
        <f t="shared" si="65"/>
        <v/>
      </c>
    </row>
    <row r="1965" spans="3:6" x14ac:dyDescent="0.35">
      <c r="C1965" t="str">
        <f>IFERROR(ROUNDUP(VLOOKUP(F1965,'30Days-Baseline'!C:D,2,FALSE),0),"NotExist")</f>
        <v>NotExist</v>
      </c>
      <c r="D1965" t="str">
        <f t="shared" si="64"/>
        <v>New</v>
      </c>
      <c r="E1965" t="e">
        <f>VLOOKUP(A:A,Reviewed!B:C,2,0)</f>
        <v>#N/A</v>
      </c>
      <c r="F1965" t="str">
        <f t="shared" si="65"/>
        <v/>
      </c>
    </row>
    <row r="1966" spans="3:6" x14ac:dyDescent="0.35">
      <c r="C1966" t="str">
        <f>IFERROR(ROUNDUP(VLOOKUP(F1966,'30Days-Baseline'!C:D,2,FALSE),0),"NotExist")</f>
        <v>NotExist</v>
      </c>
      <c r="D1966" t="str">
        <f t="shared" si="64"/>
        <v>New</v>
      </c>
      <c r="E1966" t="e">
        <f>VLOOKUP(A:A,Reviewed!B:C,2,0)</f>
        <v>#N/A</v>
      </c>
      <c r="F1966" t="str">
        <f t="shared" si="65"/>
        <v/>
      </c>
    </row>
    <row r="1967" spans="3:6" x14ac:dyDescent="0.35">
      <c r="C1967" t="str">
        <f>IFERROR(ROUNDUP(VLOOKUP(F1967,'30Days-Baseline'!C:D,2,FALSE),0),"NotExist")</f>
        <v>NotExist</v>
      </c>
      <c r="D1967" t="str">
        <f t="shared" si="64"/>
        <v>New</v>
      </c>
      <c r="E1967" t="e">
        <f>VLOOKUP(A:A,Reviewed!B:C,2,0)</f>
        <v>#N/A</v>
      </c>
      <c r="F1967" t="str">
        <f t="shared" si="65"/>
        <v/>
      </c>
    </row>
    <row r="1968" spans="3:6" x14ac:dyDescent="0.35">
      <c r="C1968" t="str">
        <f>IFERROR(ROUNDUP(VLOOKUP(F1968,'30Days-Baseline'!C:D,2,FALSE),0),"NotExist")</f>
        <v>NotExist</v>
      </c>
      <c r="D1968" t="str">
        <f t="shared" si="64"/>
        <v>New</v>
      </c>
      <c r="E1968" t="e">
        <f>VLOOKUP(A:A,Reviewed!B:C,2,0)</f>
        <v>#N/A</v>
      </c>
      <c r="F1968" t="str">
        <f t="shared" si="65"/>
        <v/>
      </c>
    </row>
    <row r="1969" spans="3:6" x14ac:dyDescent="0.35">
      <c r="C1969" t="str">
        <f>IFERROR(ROUNDUP(VLOOKUP(F1969,'30Days-Baseline'!C:D,2,FALSE),0),"NotExist")</f>
        <v>NotExist</v>
      </c>
      <c r="D1969" t="str">
        <f t="shared" si="64"/>
        <v>New</v>
      </c>
      <c r="E1969" t="e">
        <f>VLOOKUP(A:A,Reviewed!B:C,2,0)</f>
        <v>#N/A</v>
      </c>
      <c r="F1969" t="str">
        <f t="shared" si="65"/>
        <v/>
      </c>
    </row>
    <row r="1970" spans="3:6" x14ac:dyDescent="0.35">
      <c r="C1970" t="str">
        <f>IFERROR(ROUNDUP(VLOOKUP(F1970,'30Days-Baseline'!C:D,2,FALSE),0),"NotExist")</f>
        <v>NotExist</v>
      </c>
      <c r="D1970" t="str">
        <f t="shared" si="64"/>
        <v>New</v>
      </c>
      <c r="E1970" t="e">
        <f>VLOOKUP(A:A,Reviewed!B:C,2,0)</f>
        <v>#N/A</v>
      </c>
      <c r="F1970" t="str">
        <f t="shared" si="65"/>
        <v/>
      </c>
    </row>
    <row r="1971" spans="3:6" x14ac:dyDescent="0.35">
      <c r="C1971" t="str">
        <f>IFERROR(ROUNDUP(VLOOKUP(F1971,'30Days-Baseline'!C:D,2,FALSE),0),"NotExist")</f>
        <v>NotExist</v>
      </c>
      <c r="D1971" t="str">
        <f t="shared" si="64"/>
        <v>New</v>
      </c>
      <c r="E1971" t="e">
        <f>VLOOKUP(A:A,Reviewed!B:C,2,0)</f>
        <v>#N/A</v>
      </c>
      <c r="F1971" t="str">
        <f t="shared" si="65"/>
        <v/>
      </c>
    </row>
    <row r="1972" spans="3:6" x14ac:dyDescent="0.35">
      <c r="C1972" t="str">
        <f>IFERROR(ROUNDUP(VLOOKUP(F1972,'30Days-Baseline'!C:D,2,FALSE),0),"NotExist")</f>
        <v>NotExist</v>
      </c>
      <c r="D1972" t="str">
        <f t="shared" si="64"/>
        <v>New</v>
      </c>
      <c r="E1972" t="e">
        <f>VLOOKUP(A:A,Reviewed!B:C,2,0)</f>
        <v>#N/A</v>
      </c>
      <c r="F1972" t="str">
        <f t="shared" si="65"/>
        <v/>
      </c>
    </row>
    <row r="1973" spans="3:6" x14ac:dyDescent="0.35">
      <c r="C1973" t="str">
        <f>IFERROR(ROUNDUP(VLOOKUP(F1973,'30Days-Baseline'!C:D,2,FALSE),0),"NotExist")</f>
        <v>NotExist</v>
      </c>
      <c r="D1973" t="str">
        <f t="shared" si="64"/>
        <v>New</v>
      </c>
      <c r="E1973" t="e">
        <f>VLOOKUP(A:A,Reviewed!B:C,2,0)</f>
        <v>#N/A</v>
      </c>
      <c r="F1973" t="str">
        <f t="shared" si="65"/>
        <v/>
      </c>
    </row>
    <row r="1974" spans="3:6" x14ac:dyDescent="0.35">
      <c r="C1974" t="str">
        <f>IFERROR(ROUNDUP(VLOOKUP(F1974,'30Days-Baseline'!C:D,2,FALSE),0),"NotExist")</f>
        <v>NotExist</v>
      </c>
      <c r="D1974" t="str">
        <f t="shared" si="64"/>
        <v>New</v>
      </c>
      <c r="E1974" t="e">
        <f>VLOOKUP(A:A,Reviewed!B:C,2,0)</f>
        <v>#N/A</v>
      </c>
      <c r="F1974" t="str">
        <f t="shared" si="65"/>
        <v/>
      </c>
    </row>
    <row r="1975" spans="3:6" x14ac:dyDescent="0.35">
      <c r="C1975" t="str">
        <f>IFERROR(ROUNDUP(VLOOKUP(F1975,'30Days-Baseline'!C:D,2,FALSE),0),"NotExist")</f>
        <v>NotExist</v>
      </c>
      <c r="D1975" t="str">
        <f t="shared" si="64"/>
        <v>New</v>
      </c>
      <c r="E1975" t="e">
        <f>VLOOKUP(A:A,Reviewed!B:C,2,0)</f>
        <v>#N/A</v>
      </c>
      <c r="F1975" t="str">
        <f t="shared" si="65"/>
        <v/>
      </c>
    </row>
    <row r="1976" spans="3:6" x14ac:dyDescent="0.35">
      <c r="C1976" t="str">
        <f>IFERROR(ROUNDUP(VLOOKUP(F1976,'30Days-Baseline'!C:D,2,FALSE),0),"NotExist")</f>
        <v>NotExist</v>
      </c>
      <c r="D1976" t="str">
        <f t="shared" si="64"/>
        <v>New</v>
      </c>
      <c r="E1976" t="e">
        <f>VLOOKUP(A:A,Reviewed!B:C,2,0)</f>
        <v>#N/A</v>
      </c>
      <c r="F1976" t="str">
        <f t="shared" si="65"/>
        <v/>
      </c>
    </row>
    <row r="1977" spans="3:6" x14ac:dyDescent="0.35">
      <c r="C1977" t="str">
        <f>IFERROR(ROUNDUP(VLOOKUP(F1977,'30Days-Baseline'!C:D,2,FALSE),0),"NotExist")</f>
        <v>NotExist</v>
      </c>
      <c r="D1977" t="str">
        <f t="shared" si="64"/>
        <v>New</v>
      </c>
      <c r="E1977" t="e">
        <f>VLOOKUP(A:A,Reviewed!B:C,2,0)</f>
        <v>#N/A</v>
      </c>
      <c r="F1977" t="str">
        <f t="shared" si="65"/>
        <v/>
      </c>
    </row>
    <row r="1978" spans="3:6" x14ac:dyDescent="0.35">
      <c r="C1978" t="str">
        <f>IFERROR(ROUNDUP(VLOOKUP(F1978,'30Days-Baseline'!C:D,2,FALSE),0),"NotExist")</f>
        <v>NotExist</v>
      </c>
      <c r="D1978" t="str">
        <f t="shared" si="64"/>
        <v>New</v>
      </c>
      <c r="E1978" t="e">
        <f>VLOOKUP(A:A,Reviewed!B:C,2,0)</f>
        <v>#N/A</v>
      </c>
      <c r="F1978" t="str">
        <f t="shared" si="65"/>
        <v/>
      </c>
    </row>
    <row r="1979" spans="3:6" x14ac:dyDescent="0.35">
      <c r="C1979" t="str">
        <f>IFERROR(ROUNDUP(VLOOKUP(F1979,'30Days-Baseline'!C:D,2,FALSE),0),"NotExist")</f>
        <v>NotExist</v>
      </c>
      <c r="D1979" t="str">
        <f t="shared" si="64"/>
        <v>New</v>
      </c>
      <c r="E1979" t="e">
        <f>VLOOKUP(A:A,Reviewed!B:C,2,0)</f>
        <v>#N/A</v>
      </c>
      <c r="F1979" t="str">
        <f t="shared" si="65"/>
        <v/>
      </c>
    </row>
    <row r="1980" spans="3:6" x14ac:dyDescent="0.35">
      <c r="C1980" t="str">
        <f>IFERROR(ROUNDUP(VLOOKUP(F1980,'30Days-Baseline'!C:D,2,FALSE),0),"NotExist")</f>
        <v>NotExist</v>
      </c>
      <c r="D1980" t="str">
        <f t="shared" si="64"/>
        <v>New</v>
      </c>
      <c r="E1980" t="e">
        <f>VLOOKUP(A:A,Reviewed!B:C,2,0)</f>
        <v>#N/A</v>
      </c>
      <c r="F1980" t="str">
        <f t="shared" si="65"/>
        <v/>
      </c>
    </row>
    <row r="1981" spans="3:6" x14ac:dyDescent="0.35">
      <c r="C1981" t="str">
        <f>IFERROR(ROUNDUP(VLOOKUP(F1981,'30Days-Baseline'!C:D,2,FALSE),0),"NotExist")</f>
        <v>NotExist</v>
      </c>
      <c r="D1981" t="str">
        <f t="shared" si="64"/>
        <v>New</v>
      </c>
      <c r="E1981" t="e">
        <f>VLOOKUP(A:A,Reviewed!B:C,2,0)</f>
        <v>#N/A</v>
      </c>
      <c r="F1981" t="str">
        <f t="shared" si="65"/>
        <v/>
      </c>
    </row>
    <row r="1982" spans="3:6" x14ac:dyDescent="0.35">
      <c r="C1982" t="str">
        <f>IFERROR(ROUNDUP(VLOOKUP(F1982,'30Days-Baseline'!C:D,2,FALSE),0),"NotExist")</f>
        <v>NotExist</v>
      </c>
      <c r="D1982" t="str">
        <f t="shared" si="64"/>
        <v>New</v>
      </c>
      <c r="E1982" t="e">
        <f>VLOOKUP(A:A,Reviewed!B:C,2,0)</f>
        <v>#N/A</v>
      </c>
      <c r="F1982" t="str">
        <f t="shared" si="65"/>
        <v/>
      </c>
    </row>
    <row r="1983" spans="3:6" x14ac:dyDescent="0.35">
      <c r="C1983" t="str">
        <f>IFERROR(ROUNDUP(VLOOKUP(F1983,'30Days-Baseline'!C:D,2,FALSE),0),"NotExist")</f>
        <v>NotExist</v>
      </c>
      <c r="D1983" t="str">
        <f t="shared" si="64"/>
        <v>New</v>
      </c>
      <c r="E1983" t="e">
        <f>VLOOKUP(A:A,Reviewed!B:C,2,0)</f>
        <v>#N/A</v>
      </c>
      <c r="F1983" t="str">
        <f t="shared" si="65"/>
        <v/>
      </c>
    </row>
    <row r="1984" spans="3:6" x14ac:dyDescent="0.35">
      <c r="C1984" t="str">
        <f>IFERROR(ROUNDUP(VLOOKUP(F1984,'30Days-Baseline'!C:D,2,FALSE),0),"NotExist")</f>
        <v>NotExist</v>
      </c>
      <c r="D1984" t="str">
        <f t="shared" si="64"/>
        <v>New</v>
      </c>
      <c r="E1984" t="e">
        <f>VLOOKUP(A:A,Reviewed!B:C,2,0)</f>
        <v>#N/A</v>
      </c>
      <c r="F1984" t="str">
        <f t="shared" si="65"/>
        <v/>
      </c>
    </row>
    <row r="1985" spans="3:6" x14ac:dyDescent="0.35">
      <c r="C1985" t="str">
        <f>IFERROR(ROUNDUP(VLOOKUP(F1985,'30Days-Baseline'!C:D,2,FALSE),0),"NotExist")</f>
        <v>NotExist</v>
      </c>
      <c r="D1985" t="str">
        <f t="shared" si="64"/>
        <v>New</v>
      </c>
      <c r="E1985" t="e">
        <f>VLOOKUP(A:A,Reviewed!B:C,2,0)</f>
        <v>#N/A</v>
      </c>
      <c r="F1985" t="str">
        <f t="shared" si="65"/>
        <v/>
      </c>
    </row>
    <row r="1986" spans="3:6" x14ac:dyDescent="0.35">
      <c r="C1986" t="str">
        <f>IFERROR(ROUNDUP(VLOOKUP(F1986,'30Days-Baseline'!C:D,2,FALSE),0),"NotExist")</f>
        <v>NotExist</v>
      </c>
      <c r="D1986" t="str">
        <f t="shared" si="64"/>
        <v>New</v>
      </c>
      <c r="E1986" t="e">
        <f>VLOOKUP(A:A,Reviewed!B:C,2,0)</f>
        <v>#N/A</v>
      </c>
      <c r="F1986" t="str">
        <f t="shared" si="65"/>
        <v/>
      </c>
    </row>
    <row r="1987" spans="3:6" x14ac:dyDescent="0.35">
      <c r="C1987" t="str">
        <f>IFERROR(ROUNDUP(VLOOKUP(F1987,'30Days-Baseline'!C:D,2,FALSE),0),"NotExist")</f>
        <v>NotExist</v>
      </c>
      <c r="D1987" t="str">
        <f t="shared" si="64"/>
        <v>New</v>
      </c>
      <c r="E1987" t="e">
        <f>VLOOKUP(A:A,Reviewed!B:C,2,0)</f>
        <v>#N/A</v>
      </c>
      <c r="F1987" t="str">
        <f t="shared" si="65"/>
        <v/>
      </c>
    </row>
    <row r="1988" spans="3:6" x14ac:dyDescent="0.35">
      <c r="C1988" t="str">
        <f>IFERROR(ROUNDUP(VLOOKUP(F1988,'30Days-Baseline'!C:D,2,FALSE),0),"NotExist")</f>
        <v>NotExist</v>
      </c>
      <c r="D1988" t="str">
        <f t="shared" si="64"/>
        <v>New</v>
      </c>
      <c r="E1988" t="e">
        <f>VLOOKUP(A:A,Reviewed!B:C,2,0)</f>
        <v>#N/A</v>
      </c>
      <c r="F1988" t="str">
        <f t="shared" si="65"/>
        <v/>
      </c>
    </row>
    <row r="1989" spans="3:6" x14ac:dyDescent="0.35">
      <c r="C1989" t="str">
        <f>IFERROR(ROUNDUP(VLOOKUP(F1989,'30Days-Baseline'!C:D,2,FALSE),0),"NotExist")</f>
        <v>NotExist</v>
      </c>
      <c r="D1989" t="str">
        <f t="shared" si="64"/>
        <v>New</v>
      </c>
      <c r="E1989" t="e">
        <f>VLOOKUP(A:A,Reviewed!B:C,2,0)</f>
        <v>#N/A</v>
      </c>
      <c r="F1989" t="str">
        <f t="shared" si="65"/>
        <v/>
      </c>
    </row>
    <row r="1990" spans="3:6" x14ac:dyDescent="0.35">
      <c r="C1990" t="str">
        <f>IFERROR(ROUNDUP(VLOOKUP(F1990,'30Days-Baseline'!C:D,2,FALSE),0),"NotExist")</f>
        <v>NotExist</v>
      </c>
      <c r="D1990" t="str">
        <f t="shared" si="64"/>
        <v>New</v>
      </c>
      <c r="E1990" t="e">
        <f>VLOOKUP(A:A,Reviewed!B:C,2,0)</f>
        <v>#N/A</v>
      </c>
      <c r="F1990" t="str">
        <f t="shared" si="65"/>
        <v/>
      </c>
    </row>
    <row r="1991" spans="3:6" x14ac:dyDescent="0.35">
      <c r="C1991" t="str">
        <f>IFERROR(ROUNDUP(VLOOKUP(F1991,'30Days-Baseline'!C:D,2,FALSE),0),"NotExist")</f>
        <v>NotExist</v>
      </c>
      <c r="D1991" t="str">
        <f t="shared" si="64"/>
        <v>New</v>
      </c>
      <c r="E1991" t="e">
        <f>VLOOKUP(A:A,Reviewed!B:C,2,0)</f>
        <v>#N/A</v>
      </c>
      <c r="F1991" t="str">
        <f t="shared" si="65"/>
        <v/>
      </c>
    </row>
    <row r="1992" spans="3:6" x14ac:dyDescent="0.35">
      <c r="C1992" t="str">
        <f>IFERROR(ROUNDUP(VLOOKUP(F1992,'30Days-Baseline'!C:D,2,FALSE),0),"NotExist")</f>
        <v>NotExist</v>
      </c>
      <c r="D1992" t="str">
        <f t="shared" si="64"/>
        <v>New</v>
      </c>
      <c r="E1992" t="e">
        <f>VLOOKUP(A:A,Reviewed!B:C,2,0)</f>
        <v>#N/A</v>
      </c>
      <c r="F1992" t="str">
        <f t="shared" si="65"/>
        <v/>
      </c>
    </row>
    <row r="1993" spans="3:6" x14ac:dyDescent="0.35">
      <c r="C1993" t="str">
        <f>IFERROR(ROUNDUP(VLOOKUP(F1993,'30Days-Baseline'!C:D,2,FALSE),0),"NotExist")</f>
        <v>NotExist</v>
      </c>
      <c r="D1993" t="str">
        <f t="shared" si="64"/>
        <v>New</v>
      </c>
      <c r="E1993" t="e">
        <f>VLOOKUP(A:A,Reviewed!B:C,2,0)</f>
        <v>#N/A</v>
      </c>
      <c r="F1993" t="str">
        <f t="shared" si="65"/>
        <v/>
      </c>
    </row>
    <row r="1994" spans="3:6" x14ac:dyDescent="0.35">
      <c r="C1994" t="str">
        <f>IFERROR(ROUNDUP(VLOOKUP(F1994,'30Days-Baseline'!C:D,2,FALSE),0),"NotExist")</f>
        <v>NotExist</v>
      </c>
      <c r="D1994" t="str">
        <f t="shared" si="64"/>
        <v>New</v>
      </c>
      <c r="E1994" t="e">
        <f>VLOOKUP(A:A,Reviewed!B:C,2,0)</f>
        <v>#N/A</v>
      </c>
      <c r="F1994" t="str">
        <f t="shared" si="65"/>
        <v/>
      </c>
    </row>
    <row r="1995" spans="3:6" x14ac:dyDescent="0.35">
      <c r="C1995" t="str">
        <f>IFERROR(ROUNDUP(VLOOKUP(F1995,'30Days-Baseline'!C:D,2,FALSE),0),"NotExist")</f>
        <v>NotExist</v>
      </c>
      <c r="D1995" t="str">
        <f t="shared" si="64"/>
        <v>New</v>
      </c>
      <c r="E1995" t="e">
        <f>VLOOKUP(A:A,Reviewed!B:C,2,0)</f>
        <v>#N/A</v>
      </c>
      <c r="F1995" t="str">
        <f t="shared" si="65"/>
        <v/>
      </c>
    </row>
    <row r="1996" spans="3:6" x14ac:dyDescent="0.35">
      <c r="C1996" t="str">
        <f>IFERROR(ROUNDUP(VLOOKUP(F1996,'30Days-Baseline'!C:D,2,FALSE),0),"NotExist")</f>
        <v>NotExist</v>
      </c>
      <c r="D1996" t="str">
        <f t="shared" si="64"/>
        <v>New</v>
      </c>
      <c r="E1996" t="e">
        <f>VLOOKUP(A:A,Reviewed!B:C,2,0)</f>
        <v>#N/A</v>
      </c>
      <c r="F1996" t="str">
        <f t="shared" si="65"/>
        <v/>
      </c>
    </row>
    <row r="1997" spans="3:6" x14ac:dyDescent="0.35">
      <c r="C1997" t="str">
        <f>IFERROR(ROUNDUP(VLOOKUP(F1997,'30Days-Baseline'!C:D,2,FALSE),0),"NotExist")</f>
        <v>NotExist</v>
      </c>
      <c r="D1997" t="str">
        <f t="shared" si="64"/>
        <v>New</v>
      </c>
      <c r="E1997" t="e">
        <f>VLOOKUP(A:A,Reviewed!B:C,2,0)</f>
        <v>#N/A</v>
      </c>
      <c r="F1997" t="str">
        <f t="shared" si="65"/>
        <v/>
      </c>
    </row>
    <row r="1998" spans="3:6" x14ac:dyDescent="0.35">
      <c r="C1998" t="str">
        <f>IFERROR(ROUNDUP(VLOOKUP(F1998,'30Days-Baseline'!C:D,2,FALSE),0),"NotExist")</f>
        <v>NotExist</v>
      </c>
      <c r="D1998" t="str">
        <f t="shared" si="64"/>
        <v>New</v>
      </c>
      <c r="E1998" t="e">
        <f>VLOOKUP(A:A,Reviewed!B:C,2,0)</f>
        <v>#N/A</v>
      </c>
      <c r="F1998" t="str">
        <f t="shared" si="65"/>
        <v/>
      </c>
    </row>
    <row r="1999" spans="3:6" x14ac:dyDescent="0.35">
      <c r="C1999" t="str">
        <f>IFERROR(ROUNDUP(VLOOKUP(F1999,'30Days-Baseline'!C:D,2,FALSE),0),"NotExist")</f>
        <v>NotExist</v>
      </c>
      <c r="D1999" t="str">
        <f t="shared" si="64"/>
        <v>New</v>
      </c>
      <c r="E1999" t="e">
        <f>VLOOKUP(A:A,Reviewed!B:C,2,0)</f>
        <v>#N/A</v>
      </c>
      <c r="F1999" t="str">
        <f t="shared" si="65"/>
        <v/>
      </c>
    </row>
    <row r="2000" spans="3:6" x14ac:dyDescent="0.35">
      <c r="C2000" t="str">
        <f>IFERROR(ROUNDUP(VLOOKUP(F2000,'30Days-Baseline'!C:D,2,FALSE),0),"NotExist")</f>
        <v>NotExist</v>
      </c>
      <c r="D2000" t="str">
        <f t="shared" si="64"/>
        <v>New</v>
      </c>
      <c r="E2000" t="e">
        <f>VLOOKUP(A:A,Reviewed!B:C,2,0)</f>
        <v>#N/A</v>
      </c>
      <c r="F2000" t="str">
        <f t="shared" si="65"/>
        <v/>
      </c>
    </row>
    <row r="2001" spans="3:6" x14ac:dyDescent="0.35">
      <c r="C2001" t="str">
        <f>IFERROR(ROUNDUP(VLOOKUP(F2001,'30Days-Baseline'!C:D,2,FALSE),0),"NotExist")</f>
        <v>NotExist</v>
      </c>
      <c r="D2001" t="str">
        <f t="shared" si="64"/>
        <v>New</v>
      </c>
      <c r="E2001" t="e">
        <f>VLOOKUP(A:A,Reviewed!B:C,2,0)</f>
        <v>#N/A</v>
      </c>
      <c r="F2001" t="str">
        <f t="shared" si="65"/>
        <v/>
      </c>
    </row>
    <row r="2002" spans="3:6" x14ac:dyDescent="0.35">
      <c r="C2002" t="str">
        <f>IFERROR(ROUNDUP(VLOOKUP(F2002,'30Days-Baseline'!C:D,2,FALSE),0),"NotExist")</f>
        <v>NotExist</v>
      </c>
      <c r="D2002" t="str">
        <f t="shared" si="64"/>
        <v>New</v>
      </c>
      <c r="E2002" t="e">
        <f>VLOOKUP(A:A,Reviewed!B:C,2,0)</f>
        <v>#N/A</v>
      </c>
      <c r="F2002" t="str">
        <f t="shared" si="65"/>
        <v/>
      </c>
    </row>
    <row r="2003" spans="3:6" x14ac:dyDescent="0.35">
      <c r="C2003" t="str">
        <f>IFERROR(ROUNDUP(VLOOKUP(F2003,'30Days-Baseline'!C:D,2,FALSE),0),"NotExist")</f>
        <v>NotExist</v>
      </c>
      <c r="D2003" t="str">
        <f t="shared" ref="D2003:D2066" si="66">IFERROR(IF(B2003&gt;ROUNDUP(C2003,0),"Elevated","Ok"),"New")</f>
        <v>New</v>
      </c>
      <c r="E2003" t="e">
        <f>VLOOKUP(A:A,Reviewed!B:C,2,0)</f>
        <v>#N/A</v>
      </c>
      <c r="F2003" t="str">
        <f t="shared" ref="F2003:F2066" si="67">LEFT(A2003,255)</f>
        <v/>
      </c>
    </row>
    <row r="2004" spans="3:6" x14ac:dyDescent="0.35">
      <c r="C2004" t="str">
        <f>IFERROR(ROUNDUP(VLOOKUP(F2004,'30Days-Baseline'!C:D,2,FALSE),0),"NotExist")</f>
        <v>NotExist</v>
      </c>
      <c r="D2004" t="str">
        <f t="shared" si="66"/>
        <v>New</v>
      </c>
      <c r="E2004" t="e">
        <f>VLOOKUP(A:A,Reviewed!B:C,2,0)</f>
        <v>#N/A</v>
      </c>
      <c r="F2004" t="str">
        <f t="shared" si="67"/>
        <v/>
      </c>
    </row>
    <row r="2005" spans="3:6" x14ac:dyDescent="0.35">
      <c r="C2005" t="str">
        <f>IFERROR(ROUNDUP(VLOOKUP(F2005,'30Days-Baseline'!C:D,2,FALSE),0),"NotExist")</f>
        <v>NotExist</v>
      </c>
      <c r="D2005" t="str">
        <f t="shared" si="66"/>
        <v>New</v>
      </c>
      <c r="E2005" t="e">
        <f>VLOOKUP(A:A,Reviewed!B:C,2,0)</f>
        <v>#N/A</v>
      </c>
      <c r="F2005" t="str">
        <f t="shared" si="67"/>
        <v/>
      </c>
    </row>
    <row r="2006" spans="3:6" x14ac:dyDescent="0.35">
      <c r="C2006" t="str">
        <f>IFERROR(ROUNDUP(VLOOKUP(F2006,'30Days-Baseline'!C:D,2,FALSE),0),"NotExist")</f>
        <v>NotExist</v>
      </c>
      <c r="D2006" t="str">
        <f t="shared" si="66"/>
        <v>New</v>
      </c>
      <c r="E2006" t="e">
        <f>VLOOKUP(A:A,Reviewed!B:C,2,0)</f>
        <v>#N/A</v>
      </c>
      <c r="F2006" t="str">
        <f t="shared" si="67"/>
        <v/>
      </c>
    </row>
    <row r="2007" spans="3:6" x14ac:dyDescent="0.35">
      <c r="C2007" t="str">
        <f>IFERROR(ROUNDUP(VLOOKUP(F2007,'30Days-Baseline'!C:D,2,FALSE),0),"NotExist")</f>
        <v>NotExist</v>
      </c>
      <c r="D2007" t="str">
        <f t="shared" si="66"/>
        <v>New</v>
      </c>
      <c r="E2007" t="e">
        <f>VLOOKUP(A:A,Reviewed!B:C,2,0)</f>
        <v>#N/A</v>
      </c>
      <c r="F2007" t="str">
        <f t="shared" si="67"/>
        <v/>
      </c>
    </row>
    <row r="2008" spans="3:6" x14ac:dyDescent="0.35">
      <c r="C2008" t="str">
        <f>IFERROR(ROUNDUP(VLOOKUP(F2008,'30Days-Baseline'!C:D,2,FALSE),0),"NotExist")</f>
        <v>NotExist</v>
      </c>
      <c r="D2008" t="str">
        <f t="shared" si="66"/>
        <v>New</v>
      </c>
      <c r="E2008" t="e">
        <f>VLOOKUP(A:A,Reviewed!B:C,2,0)</f>
        <v>#N/A</v>
      </c>
      <c r="F2008" t="str">
        <f t="shared" si="67"/>
        <v/>
      </c>
    </row>
    <row r="2009" spans="3:6" x14ac:dyDescent="0.35">
      <c r="C2009" t="str">
        <f>IFERROR(ROUNDUP(VLOOKUP(F2009,'30Days-Baseline'!C:D,2,FALSE),0),"NotExist")</f>
        <v>NotExist</v>
      </c>
      <c r="D2009" t="str">
        <f t="shared" si="66"/>
        <v>New</v>
      </c>
      <c r="E2009" t="e">
        <f>VLOOKUP(A:A,Reviewed!B:C,2,0)</f>
        <v>#N/A</v>
      </c>
      <c r="F2009" t="str">
        <f t="shared" si="67"/>
        <v/>
      </c>
    </row>
    <row r="2010" spans="3:6" x14ac:dyDescent="0.35">
      <c r="C2010" t="str">
        <f>IFERROR(ROUNDUP(VLOOKUP(F2010,'30Days-Baseline'!C:D,2,FALSE),0),"NotExist")</f>
        <v>NotExist</v>
      </c>
      <c r="D2010" t="str">
        <f t="shared" si="66"/>
        <v>New</v>
      </c>
      <c r="E2010" t="e">
        <f>VLOOKUP(A:A,Reviewed!B:C,2,0)</f>
        <v>#N/A</v>
      </c>
      <c r="F2010" t="str">
        <f t="shared" si="67"/>
        <v/>
      </c>
    </row>
    <row r="2011" spans="3:6" x14ac:dyDescent="0.35">
      <c r="C2011" t="str">
        <f>IFERROR(ROUNDUP(VLOOKUP(F2011,'30Days-Baseline'!C:D,2,FALSE),0),"NotExist")</f>
        <v>NotExist</v>
      </c>
      <c r="D2011" t="str">
        <f t="shared" si="66"/>
        <v>New</v>
      </c>
      <c r="E2011" t="e">
        <f>VLOOKUP(A:A,Reviewed!B:C,2,0)</f>
        <v>#N/A</v>
      </c>
      <c r="F2011" t="str">
        <f t="shared" si="67"/>
        <v/>
      </c>
    </row>
    <row r="2012" spans="3:6" x14ac:dyDescent="0.35">
      <c r="C2012" t="str">
        <f>IFERROR(ROUNDUP(VLOOKUP(F2012,'30Days-Baseline'!C:D,2,FALSE),0),"NotExist")</f>
        <v>NotExist</v>
      </c>
      <c r="D2012" t="str">
        <f t="shared" si="66"/>
        <v>New</v>
      </c>
      <c r="E2012" t="e">
        <f>VLOOKUP(A:A,Reviewed!B:C,2,0)</f>
        <v>#N/A</v>
      </c>
      <c r="F2012" t="str">
        <f t="shared" si="67"/>
        <v/>
      </c>
    </row>
    <row r="2013" spans="3:6" x14ac:dyDescent="0.35">
      <c r="C2013" t="str">
        <f>IFERROR(ROUNDUP(VLOOKUP(F2013,'30Days-Baseline'!C:D,2,FALSE),0),"NotExist")</f>
        <v>NotExist</v>
      </c>
      <c r="D2013" t="str">
        <f t="shared" si="66"/>
        <v>New</v>
      </c>
      <c r="E2013" t="e">
        <f>VLOOKUP(A:A,Reviewed!B:C,2,0)</f>
        <v>#N/A</v>
      </c>
      <c r="F2013" t="str">
        <f t="shared" si="67"/>
        <v/>
      </c>
    </row>
    <row r="2014" spans="3:6" x14ac:dyDescent="0.35">
      <c r="C2014" t="str">
        <f>IFERROR(ROUNDUP(VLOOKUP(F2014,'30Days-Baseline'!C:D,2,FALSE),0),"NotExist")</f>
        <v>NotExist</v>
      </c>
      <c r="D2014" t="str">
        <f t="shared" si="66"/>
        <v>New</v>
      </c>
      <c r="E2014" t="e">
        <f>VLOOKUP(A:A,Reviewed!B:C,2,0)</f>
        <v>#N/A</v>
      </c>
      <c r="F2014" t="str">
        <f t="shared" si="67"/>
        <v/>
      </c>
    </row>
    <row r="2015" spans="3:6" x14ac:dyDescent="0.35">
      <c r="C2015" t="str">
        <f>IFERROR(ROUNDUP(VLOOKUP(F2015,'30Days-Baseline'!C:D,2,FALSE),0),"NotExist")</f>
        <v>NotExist</v>
      </c>
      <c r="D2015" t="str">
        <f t="shared" si="66"/>
        <v>New</v>
      </c>
      <c r="E2015" t="e">
        <f>VLOOKUP(A:A,Reviewed!B:C,2,0)</f>
        <v>#N/A</v>
      </c>
      <c r="F2015" t="str">
        <f t="shared" si="67"/>
        <v/>
      </c>
    </row>
    <row r="2016" spans="3:6" x14ac:dyDescent="0.35">
      <c r="C2016" t="str">
        <f>IFERROR(ROUNDUP(VLOOKUP(F2016,'30Days-Baseline'!C:D,2,FALSE),0),"NotExist")</f>
        <v>NotExist</v>
      </c>
      <c r="D2016" t="str">
        <f t="shared" si="66"/>
        <v>New</v>
      </c>
      <c r="E2016" t="e">
        <f>VLOOKUP(A:A,Reviewed!B:C,2,0)</f>
        <v>#N/A</v>
      </c>
      <c r="F2016" t="str">
        <f t="shared" si="67"/>
        <v/>
      </c>
    </row>
    <row r="2017" spans="3:6" x14ac:dyDescent="0.35">
      <c r="C2017" t="str">
        <f>IFERROR(ROUNDUP(VLOOKUP(F2017,'30Days-Baseline'!C:D,2,FALSE),0),"NotExist")</f>
        <v>NotExist</v>
      </c>
      <c r="D2017" t="str">
        <f t="shared" si="66"/>
        <v>New</v>
      </c>
      <c r="E2017" t="e">
        <f>VLOOKUP(A:A,Reviewed!B:C,2,0)</f>
        <v>#N/A</v>
      </c>
      <c r="F2017" t="str">
        <f t="shared" si="67"/>
        <v/>
      </c>
    </row>
    <row r="2018" spans="3:6" x14ac:dyDescent="0.35">
      <c r="C2018" t="str">
        <f>IFERROR(ROUNDUP(VLOOKUP(F2018,'30Days-Baseline'!C:D,2,FALSE),0),"NotExist")</f>
        <v>NotExist</v>
      </c>
      <c r="D2018" t="str">
        <f t="shared" si="66"/>
        <v>New</v>
      </c>
      <c r="E2018" t="e">
        <f>VLOOKUP(A:A,Reviewed!B:C,2,0)</f>
        <v>#N/A</v>
      </c>
      <c r="F2018" t="str">
        <f t="shared" si="67"/>
        <v/>
      </c>
    </row>
    <row r="2019" spans="3:6" x14ac:dyDescent="0.35">
      <c r="C2019" t="str">
        <f>IFERROR(ROUNDUP(VLOOKUP(F2019,'30Days-Baseline'!C:D,2,FALSE),0),"NotExist")</f>
        <v>NotExist</v>
      </c>
      <c r="D2019" t="str">
        <f t="shared" si="66"/>
        <v>New</v>
      </c>
      <c r="E2019" t="e">
        <f>VLOOKUP(A:A,Reviewed!B:C,2,0)</f>
        <v>#N/A</v>
      </c>
      <c r="F2019" t="str">
        <f t="shared" si="67"/>
        <v/>
      </c>
    </row>
    <row r="2020" spans="3:6" x14ac:dyDescent="0.35">
      <c r="C2020" t="str">
        <f>IFERROR(ROUNDUP(VLOOKUP(F2020,'30Days-Baseline'!C:D,2,FALSE),0),"NotExist")</f>
        <v>NotExist</v>
      </c>
      <c r="D2020" t="str">
        <f t="shared" si="66"/>
        <v>New</v>
      </c>
      <c r="E2020" t="e">
        <f>VLOOKUP(A:A,Reviewed!B:C,2,0)</f>
        <v>#N/A</v>
      </c>
      <c r="F2020" t="str">
        <f t="shared" si="67"/>
        <v/>
      </c>
    </row>
    <row r="2021" spans="3:6" x14ac:dyDescent="0.35">
      <c r="C2021" t="str">
        <f>IFERROR(ROUNDUP(VLOOKUP(F2021,'30Days-Baseline'!C:D,2,FALSE),0),"NotExist")</f>
        <v>NotExist</v>
      </c>
      <c r="D2021" t="str">
        <f t="shared" si="66"/>
        <v>New</v>
      </c>
      <c r="E2021" t="e">
        <f>VLOOKUP(A:A,Reviewed!B:C,2,0)</f>
        <v>#N/A</v>
      </c>
      <c r="F2021" t="str">
        <f t="shared" si="67"/>
        <v/>
      </c>
    </row>
    <row r="2022" spans="3:6" x14ac:dyDescent="0.35">
      <c r="C2022" t="str">
        <f>IFERROR(ROUNDUP(VLOOKUP(F2022,'30Days-Baseline'!C:D,2,FALSE),0),"NotExist")</f>
        <v>NotExist</v>
      </c>
      <c r="D2022" t="str">
        <f t="shared" si="66"/>
        <v>New</v>
      </c>
      <c r="E2022" t="e">
        <f>VLOOKUP(A:A,Reviewed!B:C,2,0)</f>
        <v>#N/A</v>
      </c>
      <c r="F2022" t="str">
        <f t="shared" si="67"/>
        <v/>
      </c>
    </row>
    <row r="2023" spans="3:6" x14ac:dyDescent="0.35">
      <c r="C2023" t="str">
        <f>IFERROR(ROUNDUP(VLOOKUP(F2023,'30Days-Baseline'!C:D,2,FALSE),0),"NotExist")</f>
        <v>NotExist</v>
      </c>
      <c r="D2023" t="str">
        <f t="shared" si="66"/>
        <v>New</v>
      </c>
      <c r="E2023" t="e">
        <f>VLOOKUP(A:A,Reviewed!B:C,2,0)</f>
        <v>#N/A</v>
      </c>
      <c r="F2023" t="str">
        <f t="shared" si="67"/>
        <v/>
      </c>
    </row>
    <row r="2024" spans="3:6" x14ac:dyDescent="0.35">
      <c r="C2024" t="str">
        <f>IFERROR(ROUNDUP(VLOOKUP(F2024,'30Days-Baseline'!C:D,2,FALSE),0),"NotExist")</f>
        <v>NotExist</v>
      </c>
      <c r="D2024" t="str">
        <f t="shared" si="66"/>
        <v>New</v>
      </c>
      <c r="E2024" t="e">
        <f>VLOOKUP(A:A,Reviewed!B:C,2,0)</f>
        <v>#N/A</v>
      </c>
      <c r="F2024" t="str">
        <f t="shared" si="67"/>
        <v/>
      </c>
    </row>
    <row r="2025" spans="3:6" x14ac:dyDescent="0.35">
      <c r="C2025" t="str">
        <f>IFERROR(ROUNDUP(VLOOKUP(F2025,'30Days-Baseline'!C:D,2,FALSE),0),"NotExist")</f>
        <v>NotExist</v>
      </c>
      <c r="D2025" t="str">
        <f t="shared" si="66"/>
        <v>New</v>
      </c>
      <c r="E2025" t="e">
        <f>VLOOKUP(A:A,Reviewed!B:C,2,0)</f>
        <v>#N/A</v>
      </c>
      <c r="F2025" t="str">
        <f t="shared" si="67"/>
        <v/>
      </c>
    </row>
    <row r="2026" spans="3:6" x14ac:dyDescent="0.35">
      <c r="C2026" t="str">
        <f>IFERROR(ROUNDUP(VLOOKUP(F2026,'30Days-Baseline'!C:D,2,FALSE),0),"NotExist")</f>
        <v>NotExist</v>
      </c>
      <c r="D2026" t="str">
        <f t="shared" si="66"/>
        <v>New</v>
      </c>
      <c r="E2026" t="e">
        <f>VLOOKUP(A:A,Reviewed!B:C,2,0)</f>
        <v>#N/A</v>
      </c>
      <c r="F2026" t="str">
        <f t="shared" si="67"/>
        <v/>
      </c>
    </row>
    <row r="2027" spans="3:6" x14ac:dyDescent="0.35">
      <c r="C2027" t="str">
        <f>IFERROR(ROUNDUP(VLOOKUP(F2027,'30Days-Baseline'!C:D,2,FALSE),0),"NotExist")</f>
        <v>NotExist</v>
      </c>
      <c r="D2027" t="str">
        <f t="shared" si="66"/>
        <v>New</v>
      </c>
      <c r="E2027" t="e">
        <f>VLOOKUP(A:A,Reviewed!B:C,2,0)</f>
        <v>#N/A</v>
      </c>
      <c r="F2027" t="str">
        <f t="shared" si="67"/>
        <v/>
      </c>
    </row>
    <row r="2028" spans="3:6" x14ac:dyDescent="0.35">
      <c r="C2028" t="str">
        <f>IFERROR(ROUNDUP(VLOOKUP(F2028,'30Days-Baseline'!C:D,2,FALSE),0),"NotExist")</f>
        <v>NotExist</v>
      </c>
      <c r="D2028" t="str">
        <f t="shared" si="66"/>
        <v>New</v>
      </c>
      <c r="E2028" t="e">
        <f>VLOOKUP(A:A,Reviewed!B:C,2,0)</f>
        <v>#N/A</v>
      </c>
      <c r="F2028" t="str">
        <f t="shared" si="67"/>
        <v/>
      </c>
    </row>
    <row r="2029" spans="3:6" x14ac:dyDescent="0.35">
      <c r="C2029" t="str">
        <f>IFERROR(ROUNDUP(VLOOKUP(F2029,'30Days-Baseline'!C:D,2,FALSE),0),"NotExist")</f>
        <v>NotExist</v>
      </c>
      <c r="D2029" t="str">
        <f t="shared" si="66"/>
        <v>New</v>
      </c>
      <c r="E2029" t="e">
        <f>VLOOKUP(A:A,Reviewed!B:C,2,0)</f>
        <v>#N/A</v>
      </c>
      <c r="F2029" t="str">
        <f t="shared" si="67"/>
        <v/>
      </c>
    </row>
    <row r="2030" spans="3:6" x14ac:dyDescent="0.35">
      <c r="C2030" t="str">
        <f>IFERROR(ROUNDUP(VLOOKUP(F2030,'30Days-Baseline'!C:D,2,FALSE),0),"NotExist")</f>
        <v>NotExist</v>
      </c>
      <c r="D2030" t="str">
        <f t="shared" si="66"/>
        <v>New</v>
      </c>
      <c r="E2030" t="e">
        <f>VLOOKUP(A:A,Reviewed!B:C,2,0)</f>
        <v>#N/A</v>
      </c>
      <c r="F2030" t="str">
        <f t="shared" si="67"/>
        <v/>
      </c>
    </row>
    <row r="2031" spans="3:6" x14ac:dyDescent="0.35">
      <c r="C2031" t="str">
        <f>IFERROR(ROUNDUP(VLOOKUP(F2031,'30Days-Baseline'!C:D,2,FALSE),0),"NotExist")</f>
        <v>NotExist</v>
      </c>
      <c r="D2031" t="str">
        <f t="shared" si="66"/>
        <v>New</v>
      </c>
      <c r="E2031" t="e">
        <f>VLOOKUP(A:A,Reviewed!B:C,2,0)</f>
        <v>#N/A</v>
      </c>
      <c r="F2031" t="str">
        <f t="shared" si="67"/>
        <v/>
      </c>
    </row>
    <row r="2032" spans="3:6" x14ac:dyDescent="0.35">
      <c r="C2032" t="str">
        <f>IFERROR(ROUNDUP(VLOOKUP(F2032,'30Days-Baseline'!C:D,2,FALSE),0),"NotExist")</f>
        <v>NotExist</v>
      </c>
      <c r="D2032" t="str">
        <f t="shared" si="66"/>
        <v>New</v>
      </c>
      <c r="E2032" t="e">
        <f>VLOOKUP(A:A,Reviewed!B:C,2,0)</f>
        <v>#N/A</v>
      </c>
      <c r="F2032" t="str">
        <f t="shared" si="67"/>
        <v/>
      </c>
    </row>
    <row r="2033" spans="3:6" x14ac:dyDescent="0.35">
      <c r="C2033" t="str">
        <f>IFERROR(ROUNDUP(VLOOKUP(F2033,'30Days-Baseline'!C:D,2,FALSE),0),"NotExist")</f>
        <v>NotExist</v>
      </c>
      <c r="D2033" t="str">
        <f t="shared" si="66"/>
        <v>New</v>
      </c>
      <c r="E2033" t="e">
        <f>VLOOKUP(A:A,Reviewed!B:C,2,0)</f>
        <v>#N/A</v>
      </c>
      <c r="F2033" t="str">
        <f t="shared" si="67"/>
        <v/>
      </c>
    </row>
    <row r="2034" spans="3:6" x14ac:dyDescent="0.35">
      <c r="C2034" t="str">
        <f>IFERROR(ROUNDUP(VLOOKUP(F2034,'30Days-Baseline'!C:D,2,FALSE),0),"NotExist")</f>
        <v>NotExist</v>
      </c>
      <c r="D2034" t="str">
        <f t="shared" si="66"/>
        <v>New</v>
      </c>
      <c r="E2034" t="e">
        <f>VLOOKUP(A:A,Reviewed!B:C,2,0)</f>
        <v>#N/A</v>
      </c>
      <c r="F2034" t="str">
        <f t="shared" si="67"/>
        <v/>
      </c>
    </row>
    <row r="2035" spans="3:6" x14ac:dyDescent="0.35">
      <c r="C2035" t="str">
        <f>IFERROR(ROUNDUP(VLOOKUP(F2035,'30Days-Baseline'!C:D,2,FALSE),0),"NotExist")</f>
        <v>NotExist</v>
      </c>
      <c r="D2035" t="str">
        <f t="shared" si="66"/>
        <v>New</v>
      </c>
      <c r="E2035" t="e">
        <f>VLOOKUP(A:A,Reviewed!B:C,2,0)</f>
        <v>#N/A</v>
      </c>
      <c r="F2035" t="str">
        <f t="shared" si="67"/>
        <v/>
      </c>
    </row>
    <row r="2036" spans="3:6" x14ac:dyDescent="0.35">
      <c r="C2036" t="str">
        <f>IFERROR(ROUNDUP(VLOOKUP(F2036,'30Days-Baseline'!C:D,2,FALSE),0),"NotExist")</f>
        <v>NotExist</v>
      </c>
      <c r="D2036" t="str">
        <f t="shared" si="66"/>
        <v>New</v>
      </c>
      <c r="E2036" t="e">
        <f>VLOOKUP(A:A,Reviewed!B:C,2,0)</f>
        <v>#N/A</v>
      </c>
      <c r="F2036" t="str">
        <f t="shared" si="67"/>
        <v/>
      </c>
    </row>
    <row r="2037" spans="3:6" x14ac:dyDescent="0.35">
      <c r="C2037" t="str">
        <f>IFERROR(ROUNDUP(VLOOKUP(F2037,'30Days-Baseline'!C:D,2,FALSE),0),"NotExist")</f>
        <v>NotExist</v>
      </c>
      <c r="D2037" t="str">
        <f t="shared" si="66"/>
        <v>New</v>
      </c>
      <c r="E2037" t="e">
        <f>VLOOKUP(A:A,Reviewed!B:C,2,0)</f>
        <v>#N/A</v>
      </c>
      <c r="F2037" t="str">
        <f t="shared" si="67"/>
        <v/>
      </c>
    </row>
    <row r="2038" spans="3:6" x14ac:dyDescent="0.35">
      <c r="C2038" t="str">
        <f>IFERROR(ROUNDUP(VLOOKUP(F2038,'30Days-Baseline'!C:D,2,FALSE),0),"NotExist")</f>
        <v>NotExist</v>
      </c>
      <c r="D2038" t="str">
        <f t="shared" si="66"/>
        <v>New</v>
      </c>
      <c r="E2038" t="e">
        <f>VLOOKUP(A:A,Reviewed!B:C,2,0)</f>
        <v>#N/A</v>
      </c>
      <c r="F2038" t="str">
        <f t="shared" si="67"/>
        <v/>
      </c>
    </row>
    <row r="2039" spans="3:6" x14ac:dyDescent="0.35">
      <c r="C2039" t="str">
        <f>IFERROR(ROUNDUP(VLOOKUP(F2039,'30Days-Baseline'!C:D,2,FALSE),0),"NotExist")</f>
        <v>NotExist</v>
      </c>
      <c r="D2039" t="str">
        <f t="shared" si="66"/>
        <v>New</v>
      </c>
      <c r="E2039" t="e">
        <f>VLOOKUP(A:A,Reviewed!B:C,2,0)</f>
        <v>#N/A</v>
      </c>
      <c r="F2039" t="str">
        <f t="shared" si="67"/>
        <v/>
      </c>
    </row>
    <row r="2040" spans="3:6" x14ac:dyDescent="0.35">
      <c r="C2040" t="str">
        <f>IFERROR(ROUNDUP(VLOOKUP(F2040,'30Days-Baseline'!C:D,2,FALSE),0),"NotExist")</f>
        <v>NotExist</v>
      </c>
      <c r="D2040" t="str">
        <f t="shared" si="66"/>
        <v>New</v>
      </c>
      <c r="E2040" t="e">
        <f>VLOOKUP(A:A,Reviewed!B:C,2,0)</f>
        <v>#N/A</v>
      </c>
      <c r="F2040" t="str">
        <f t="shared" si="67"/>
        <v/>
      </c>
    </row>
    <row r="2041" spans="3:6" x14ac:dyDescent="0.35">
      <c r="C2041" t="str">
        <f>IFERROR(ROUNDUP(VLOOKUP(F2041,'30Days-Baseline'!C:D,2,FALSE),0),"NotExist")</f>
        <v>NotExist</v>
      </c>
      <c r="D2041" t="str">
        <f t="shared" si="66"/>
        <v>New</v>
      </c>
      <c r="E2041" t="e">
        <f>VLOOKUP(A:A,Reviewed!B:C,2,0)</f>
        <v>#N/A</v>
      </c>
      <c r="F2041" t="str">
        <f t="shared" si="67"/>
        <v/>
      </c>
    </row>
    <row r="2042" spans="3:6" x14ac:dyDescent="0.35">
      <c r="C2042" t="str">
        <f>IFERROR(ROUNDUP(VLOOKUP(F2042,'30Days-Baseline'!C:D,2,FALSE),0),"NotExist")</f>
        <v>NotExist</v>
      </c>
      <c r="D2042" t="str">
        <f t="shared" si="66"/>
        <v>New</v>
      </c>
      <c r="E2042" t="e">
        <f>VLOOKUP(A:A,Reviewed!B:C,2,0)</f>
        <v>#N/A</v>
      </c>
      <c r="F2042" t="str">
        <f t="shared" si="67"/>
        <v/>
      </c>
    </row>
    <row r="2043" spans="3:6" x14ac:dyDescent="0.35">
      <c r="C2043" t="str">
        <f>IFERROR(ROUNDUP(VLOOKUP(F2043,'30Days-Baseline'!C:D,2,FALSE),0),"NotExist")</f>
        <v>NotExist</v>
      </c>
      <c r="D2043" t="str">
        <f t="shared" si="66"/>
        <v>New</v>
      </c>
      <c r="E2043" t="e">
        <f>VLOOKUP(A:A,Reviewed!B:C,2,0)</f>
        <v>#N/A</v>
      </c>
      <c r="F2043" t="str">
        <f t="shared" si="67"/>
        <v/>
      </c>
    </row>
    <row r="2044" spans="3:6" x14ac:dyDescent="0.35">
      <c r="C2044" t="str">
        <f>IFERROR(ROUNDUP(VLOOKUP(F2044,'30Days-Baseline'!C:D,2,FALSE),0),"NotExist")</f>
        <v>NotExist</v>
      </c>
      <c r="D2044" t="str">
        <f t="shared" si="66"/>
        <v>New</v>
      </c>
      <c r="E2044" t="e">
        <f>VLOOKUP(A:A,Reviewed!B:C,2,0)</f>
        <v>#N/A</v>
      </c>
      <c r="F2044" t="str">
        <f t="shared" si="67"/>
        <v/>
      </c>
    </row>
    <row r="2045" spans="3:6" x14ac:dyDescent="0.35">
      <c r="C2045" t="str">
        <f>IFERROR(ROUNDUP(VLOOKUP(F2045,'30Days-Baseline'!C:D,2,FALSE),0),"NotExist")</f>
        <v>NotExist</v>
      </c>
      <c r="D2045" t="str">
        <f t="shared" si="66"/>
        <v>New</v>
      </c>
      <c r="E2045" t="e">
        <f>VLOOKUP(A:A,Reviewed!B:C,2,0)</f>
        <v>#N/A</v>
      </c>
      <c r="F2045" t="str">
        <f t="shared" si="67"/>
        <v/>
      </c>
    </row>
    <row r="2046" spans="3:6" x14ac:dyDescent="0.35">
      <c r="C2046" t="str">
        <f>IFERROR(ROUNDUP(VLOOKUP(F2046,'30Days-Baseline'!C:D,2,FALSE),0),"NotExist")</f>
        <v>NotExist</v>
      </c>
      <c r="D2046" t="str">
        <f t="shared" si="66"/>
        <v>New</v>
      </c>
      <c r="E2046" t="e">
        <f>VLOOKUP(A:A,Reviewed!B:C,2,0)</f>
        <v>#N/A</v>
      </c>
      <c r="F2046" t="str">
        <f t="shared" si="67"/>
        <v/>
      </c>
    </row>
    <row r="2047" spans="3:6" x14ac:dyDescent="0.35">
      <c r="C2047" t="str">
        <f>IFERROR(ROUNDUP(VLOOKUP(F2047,'30Days-Baseline'!C:D,2,FALSE),0),"NotExist")</f>
        <v>NotExist</v>
      </c>
      <c r="D2047" t="str">
        <f t="shared" si="66"/>
        <v>New</v>
      </c>
      <c r="E2047" t="e">
        <f>VLOOKUP(A:A,Reviewed!B:C,2,0)</f>
        <v>#N/A</v>
      </c>
      <c r="F2047" t="str">
        <f t="shared" si="67"/>
        <v/>
      </c>
    </row>
    <row r="2048" spans="3:6" x14ac:dyDescent="0.35">
      <c r="C2048" t="str">
        <f>IFERROR(ROUNDUP(VLOOKUP(F2048,'30Days-Baseline'!C:D,2,FALSE),0),"NotExist")</f>
        <v>NotExist</v>
      </c>
      <c r="D2048" t="str">
        <f t="shared" si="66"/>
        <v>New</v>
      </c>
      <c r="E2048" t="e">
        <f>VLOOKUP(A:A,Reviewed!B:C,2,0)</f>
        <v>#N/A</v>
      </c>
      <c r="F2048" t="str">
        <f t="shared" si="67"/>
        <v/>
      </c>
    </row>
    <row r="2049" spans="3:6" x14ac:dyDescent="0.35">
      <c r="C2049" t="str">
        <f>IFERROR(ROUNDUP(VLOOKUP(F2049,'30Days-Baseline'!C:D,2,FALSE),0),"NotExist")</f>
        <v>NotExist</v>
      </c>
      <c r="D2049" t="str">
        <f t="shared" si="66"/>
        <v>New</v>
      </c>
      <c r="E2049" t="e">
        <f>VLOOKUP(A:A,Reviewed!B:C,2,0)</f>
        <v>#N/A</v>
      </c>
      <c r="F2049" t="str">
        <f t="shared" si="67"/>
        <v/>
      </c>
    </row>
    <row r="2050" spans="3:6" x14ac:dyDescent="0.35">
      <c r="C2050" t="str">
        <f>IFERROR(ROUNDUP(VLOOKUP(F2050,'30Days-Baseline'!C:D,2,FALSE),0),"NotExist")</f>
        <v>NotExist</v>
      </c>
      <c r="D2050" t="str">
        <f t="shared" si="66"/>
        <v>New</v>
      </c>
      <c r="E2050" t="e">
        <f>VLOOKUP(A:A,Reviewed!B:C,2,0)</f>
        <v>#N/A</v>
      </c>
      <c r="F2050" t="str">
        <f t="shared" si="67"/>
        <v/>
      </c>
    </row>
    <row r="2051" spans="3:6" x14ac:dyDescent="0.35">
      <c r="C2051" t="str">
        <f>IFERROR(ROUNDUP(VLOOKUP(F2051,'30Days-Baseline'!C:D,2,FALSE),0),"NotExist")</f>
        <v>NotExist</v>
      </c>
      <c r="D2051" t="str">
        <f t="shared" si="66"/>
        <v>New</v>
      </c>
      <c r="E2051" t="e">
        <f>VLOOKUP(A:A,Reviewed!B:C,2,0)</f>
        <v>#N/A</v>
      </c>
      <c r="F2051" t="str">
        <f t="shared" si="67"/>
        <v/>
      </c>
    </row>
    <row r="2052" spans="3:6" x14ac:dyDescent="0.35">
      <c r="C2052" t="str">
        <f>IFERROR(ROUNDUP(VLOOKUP(F2052,'30Days-Baseline'!C:D,2,FALSE),0),"NotExist")</f>
        <v>NotExist</v>
      </c>
      <c r="D2052" t="str">
        <f t="shared" si="66"/>
        <v>New</v>
      </c>
      <c r="E2052" t="e">
        <f>VLOOKUP(A:A,Reviewed!B:C,2,0)</f>
        <v>#N/A</v>
      </c>
      <c r="F2052" t="str">
        <f t="shared" si="67"/>
        <v/>
      </c>
    </row>
    <row r="2053" spans="3:6" x14ac:dyDescent="0.35">
      <c r="C2053" t="str">
        <f>IFERROR(ROUNDUP(VLOOKUP(F2053,'30Days-Baseline'!C:D,2,FALSE),0),"NotExist")</f>
        <v>NotExist</v>
      </c>
      <c r="D2053" t="str">
        <f t="shared" si="66"/>
        <v>New</v>
      </c>
      <c r="E2053" t="e">
        <f>VLOOKUP(A:A,Reviewed!B:C,2,0)</f>
        <v>#N/A</v>
      </c>
      <c r="F2053" t="str">
        <f t="shared" si="67"/>
        <v/>
      </c>
    </row>
    <row r="2054" spans="3:6" x14ac:dyDescent="0.35">
      <c r="C2054" t="str">
        <f>IFERROR(ROUNDUP(VLOOKUP(F2054,'30Days-Baseline'!C:D,2,FALSE),0),"NotExist")</f>
        <v>NotExist</v>
      </c>
      <c r="D2054" t="str">
        <f t="shared" si="66"/>
        <v>New</v>
      </c>
      <c r="E2054" t="e">
        <f>VLOOKUP(A:A,Reviewed!B:C,2,0)</f>
        <v>#N/A</v>
      </c>
      <c r="F2054" t="str">
        <f t="shared" si="67"/>
        <v/>
      </c>
    </row>
    <row r="2055" spans="3:6" x14ac:dyDescent="0.35">
      <c r="C2055" t="str">
        <f>IFERROR(ROUNDUP(VLOOKUP(F2055,'30Days-Baseline'!C:D,2,FALSE),0),"NotExist")</f>
        <v>NotExist</v>
      </c>
      <c r="D2055" t="str">
        <f t="shared" si="66"/>
        <v>New</v>
      </c>
      <c r="E2055" t="e">
        <f>VLOOKUP(A:A,Reviewed!B:C,2,0)</f>
        <v>#N/A</v>
      </c>
      <c r="F2055" t="str">
        <f t="shared" si="67"/>
        <v/>
      </c>
    </row>
    <row r="2056" spans="3:6" x14ac:dyDescent="0.35">
      <c r="C2056" t="str">
        <f>IFERROR(ROUNDUP(VLOOKUP(F2056,'30Days-Baseline'!C:D,2,FALSE),0),"NotExist")</f>
        <v>NotExist</v>
      </c>
      <c r="D2056" t="str">
        <f t="shared" si="66"/>
        <v>New</v>
      </c>
      <c r="E2056" t="e">
        <f>VLOOKUP(A:A,Reviewed!B:C,2,0)</f>
        <v>#N/A</v>
      </c>
      <c r="F2056" t="str">
        <f t="shared" si="67"/>
        <v/>
      </c>
    </row>
    <row r="2057" spans="3:6" x14ac:dyDescent="0.35">
      <c r="C2057" t="str">
        <f>IFERROR(ROUNDUP(VLOOKUP(F2057,'30Days-Baseline'!C:D,2,FALSE),0),"NotExist")</f>
        <v>NotExist</v>
      </c>
      <c r="D2057" t="str">
        <f t="shared" si="66"/>
        <v>New</v>
      </c>
      <c r="E2057" t="e">
        <f>VLOOKUP(A:A,Reviewed!B:C,2,0)</f>
        <v>#N/A</v>
      </c>
      <c r="F2057" t="str">
        <f t="shared" si="67"/>
        <v/>
      </c>
    </row>
    <row r="2058" spans="3:6" x14ac:dyDescent="0.35">
      <c r="C2058" t="str">
        <f>IFERROR(ROUNDUP(VLOOKUP(F2058,'30Days-Baseline'!C:D,2,FALSE),0),"NotExist")</f>
        <v>NotExist</v>
      </c>
      <c r="D2058" t="str">
        <f t="shared" si="66"/>
        <v>New</v>
      </c>
      <c r="E2058" t="e">
        <f>VLOOKUP(A:A,Reviewed!B:C,2,0)</f>
        <v>#N/A</v>
      </c>
      <c r="F2058" t="str">
        <f t="shared" si="67"/>
        <v/>
      </c>
    </row>
    <row r="2059" spans="3:6" x14ac:dyDescent="0.35">
      <c r="C2059" t="str">
        <f>IFERROR(ROUNDUP(VLOOKUP(F2059,'30Days-Baseline'!C:D,2,FALSE),0),"NotExist")</f>
        <v>NotExist</v>
      </c>
      <c r="D2059" t="str">
        <f t="shared" si="66"/>
        <v>New</v>
      </c>
      <c r="E2059" t="e">
        <f>VLOOKUP(A:A,Reviewed!B:C,2,0)</f>
        <v>#N/A</v>
      </c>
      <c r="F2059" t="str">
        <f t="shared" si="67"/>
        <v/>
      </c>
    </row>
    <row r="2060" spans="3:6" x14ac:dyDescent="0.35">
      <c r="C2060" t="str">
        <f>IFERROR(ROUNDUP(VLOOKUP(F2060,'30Days-Baseline'!C:D,2,FALSE),0),"NotExist")</f>
        <v>NotExist</v>
      </c>
      <c r="D2060" t="str">
        <f t="shared" si="66"/>
        <v>New</v>
      </c>
      <c r="E2060" t="e">
        <f>VLOOKUP(A:A,Reviewed!B:C,2,0)</f>
        <v>#N/A</v>
      </c>
      <c r="F2060" t="str">
        <f t="shared" si="67"/>
        <v/>
      </c>
    </row>
    <row r="2061" spans="3:6" x14ac:dyDescent="0.35">
      <c r="C2061" t="str">
        <f>IFERROR(ROUNDUP(VLOOKUP(F2061,'30Days-Baseline'!C:D,2,FALSE),0),"NotExist")</f>
        <v>NotExist</v>
      </c>
      <c r="D2061" t="str">
        <f t="shared" si="66"/>
        <v>New</v>
      </c>
      <c r="E2061" t="e">
        <f>VLOOKUP(A:A,Reviewed!B:C,2,0)</f>
        <v>#N/A</v>
      </c>
      <c r="F2061" t="str">
        <f t="shared" si="67"/>
        <v/>
      </c>
    </row>
    <row r="2062" spans="3:6" x14ac:dyDescent="0.35">
      <c r="C2062" t="str">
        <f>IFERROR(ROUNDUP(VLOOKUP(F2062,'30Days-Baseline'!C:D,2,FALSE),0),"NotExist")</f>
        <v>NotExist</v>
      </c>
      <c r="D2062" t="str">
        <f t="shared" si="66"/>
        <v>New</v>
      </c>
      <c r="E2062" t="e">
        <f>VLOOKUP(A:A,Reviewed!B:C,2,0)</f>
        <v>#N/A</v>
      </c>
      <c r="F2062" t="str">
        <f t="shared" si="67"/>
        <v/>
      </c>
    </row>
    <row r="2063" spans="3:6" x14ac:dyDescent="0.35">
      <c r="C2063" t="str">
        <f>IFERROR(ROUNDUP(VLOOKUP(F2063,'30Days-Baseline'!C:D,2,FALSE),0),"NotExist")</f>
        <v>NotExist</v>
      </c>
      <c r="D2063" t="str">
        <f t="shared" si="66"/>
        <v>New</v>
      </c>
      <c r="E2063" t="e">
        <f>VLOOKUP(A:A,Reviewed!B:C,2,0)</f>
        <v>#N/A</v>
      </c>
      <c r="F2063" t="str">
        <f t="shared" si="67"/>
        <v/>
      </c>
    </row>
    <row r="2064" spans="3:6" x14ac:dyDescent="0.35">
      <c r="C2064" t="str">
        <f>IFERROR(ROUNDUP(VLOOKUP(F2064,'30Days-Baseline'!C:D,2,FALSE),0),"NotExist")</f>
        <v>NotExist</v>
      </c>
      <c r="D2064" t="str">
        <f t="shared" si="66"/>
        <v>New</v>
      </c>
      <c r="E2064" t="e">
        <f>VLOOKUP(A:A,Reviewed!B:C,2,0)</f>
        <v>#N/A</v>
      </c>
      <c r="F2064" t="str">
        <f t="shared" si="67"/>
        <v/>
      </c>
    </row>
    <row r="2065" spans="3:6" x14ac:dyDescent="0.35">
      <c r="C2065" t="str">
        <f>IFERROR(ROUNDUP(VLOOKUP(F2065,'30Days-Baseline'!C:D,2,FALSE),0),"NotExist")</f>
        <v>NotExist</v>
      </c>
      <c r="D2065" t="str">
        <f t="shared" si="66"/>
        <v>New</v>
      </c>
      <c r="E2065" t="e">
        <f>VLOOKUP(A:A,Reviewed!B:C,2,0)</f>
        <v>#N/A</v>
      </c>
      <c r="F2065" t="str">
        <f t="shared" si="67"/>
        <v/>
      </c>
    </row>
    <row r="2066" spans="3:6" x14ac:dyDescent="0.35">
      <c r="C2066" t="str">
        <f>IFERROR(ROUNDUP(VLOOKUP(F2066,'30Days-Baseline'!C:D,2,FALSE),0),"NotExist")</f>
        <v>NotExist</v>
      </c>
      <c r="D2066" t="str">
        <f t="shared" si="66"/>
        <v>New</v>
      </c>
      <c r="E2066" t="e">
        <f>VLOOKUP(A:A,Reviewed!B:C,2,0)</f>
        <v>#N/A</v>
      </c>
      <c r="F2066" t="str">
        <f t="shared" si="67"/>
        <v/>
      </c>
    </row>
    <row r="2067" spans="3:6" x14ac:dyDescent="0.35">
      <c r="C2067" t="str">
        <f>IFERROR(ROUNDUP(VLOOKUP(F2067,'30Days-Baseline'!C:D,2,FALSE),0),"NotExist")</f>
        <v>NotExist</v>
      </c>
      <c r="D2067" t="str">
        <f t="shared" ref="D2067:D2130" si="68">IFERROR(IF(B2067&gt;ROUNDUP(C2067,0),"Elevated","Ok"),"New")</f>
        <v>New</v>
      </c>
      <c r="E2067" t="e">
        <f>VLOOKUP(A:A,Reviewed!B:C,2,0)</f>
        <v>#N/A</v>
      </c>
      <c r="F2067" t="str">
        <f t="shared" ref="F2067:F2130" si="69">LEFT(A2067,255)</f>
        <v/>
      </c>
    </row>
    <row r="2068" spans="3:6" x14ac:dyDescent="0.35">
      <c r="C2068" t="str">
        <f>IFERROR(ROUNDUP(VLOOKUP(F2068,'30Days-Baseline'!C:D,2,FALSE),0),"NotExist")</f>
        <v>NotExist</v>
      </c>
      <c r="D2068" t="str">
        <f t="shared" si="68"/>
        <v>New</v>
      </c>
      <c r="E2068" t="e">
        <f>VLOOKUP(A:A,Reviewed!B:C,2,0)</f>
        <v>#N/A</v>
      </c>
      <c r="F2068" t="str">
        <f t="shared" si="69"/>
        <v/>
      </c>
    </row>
    <row r="2069" spans="3:6" x14ac:dyDescent="0.35">
      <c r="C2069" t="str">
        <f>IFERROR(ROUNDUP(VLOOKUP(F2069,'30Days-Baseline'!C:D,2,FALSE),0),"NotExist")</f>
        <v>NotExist</v>
      </c>
      <c r="D2069" t="str">
        <f t="shared" si="68"/>
        <v>New</v>
      </c>
      <c r="E2069" t="e">
        <f>VLOOKUP(A:A,Reviewed!B:C,2,0)</f>
        <v>#N/A</v>
      </c>
      <c r="F2069" t="str">
        <f t="shared" si="69"/>
        <v/>
      </c>
    </row>
    <row r="2070" spans="3:6" x14ac:dyDescent="0.35">
      <c r="C2070" t="str">
        <f>IFERROR(ROUNDUP(VLOOKUP(F2070,'30Days-Baseline'!C:D,2,FALSE),0),"NotExist")</f>
        <v>NotExist</v>
      </c>
      <c r="D2070" t="str">
        <f t="shared" si="68"/>
        <v>New</v>
      </c>
      <c r="E2070" t="e">
        <f>VLOOKUP(A:A,Reviewed!B:C,2,0)</f>
        <v>#N/A</v>
      </c>
      <c r="F2070" t="str">
        <f t="shared" si="69"/>
        <v/>
      </c>
    </row>
    <row r="2071" spans="3:6" x14ac:dyDescent="0.35">
      <c r="C2071" t="str">
        <f>IFERROR(ROUNDUP(VLOOKUP(F2071,'30Days-Baseline'!C:D,2,FALSE),0),"NotExist")</f>
        <v>NotExist</v>
      </c>
      <c r="D2071" t="str">
        <f t="shared" si="68"/>
        <v>New</v>
      </c>
      <c r="E2071" t="e">
        <f>VLOOKUP(A:A,Reviewed!B:C,2,0)</f>
        <v>#N/A</v>
      </c>
      <c r="F2071" t="str">
        <f t="shared" si="69"/>
        <v/>
      </c>
    </row>
    <row r="2072" spans="3:6" x14ac:dyDescent="0.35">
      <c r="C2072" t="str">
        <f>IFERROR(ROUNDUP(VLOOKUP(F2072,'30Days-Baseline'!C:D,2,FALSE),0),"NotExist")</f>
        <v>NotExist</v>
      </c>
      <c r="D2072" t="str">
        <f t="shared" si="68"/>
        <v>New</v>
      </c>
      <c r="E2072" t="e">
        <f>VLOOKUP(A:A,Reviewed!B:C,2,0)</f>
        <v>#N/A</v>
      </c>
      <c r="F2072" t="str">
        <f t="shared" si="69"/>
        <v/>
      </c>
    </row>
    <row r="2073" spans="3:6" x14ac:dyDescent="0.35">
      <c r="C2073" t="str">
        <f>IFERROR(ROUNDUP(VLOOKUP(F2073,'30Days-Baseline'!C:D,2,FALSE),0),"NotExist")</f>
        <v>NotExist</v>
      </c>
      <c r="D2073" t="str">
        <f t="shared" si="68"/>
        <v>New</v>
      </c>
      <c r="E2073" t="e">
        <f>VLOOKUP(A:A,Reviewed!B:C,2,0)</f>
        <v>#N/A</v>
      </c>
      <c r="F2073" t="str">
        <f t="shared" si="69"/>
        <v/>
      </c>
    </row>
    <row r="2074" spans="3:6" x14ac:dyDescent="0.35">
      <c r="C2074" t="str">
        <f>IFERROR(ROUNDUP(VLOOKUP(F2074,'30Days-Baseline'!C:D,2,FALSE),0),"NotExist")</f>
        <v>NotExist</v>
      </c>
      <c r="D2074" t="str">
        <f t="shared" si="68"/>
        <v>New</v>
      </c>
      <c r="E2074" t="e">
        <f>VLOOKUP(A:A,Reviewed!B:C,2,0)</f>
        <v>#N/A</v>
      </c>
      <c r="F2074" t="str">
        <f t="shared" si="69"/>
        <v/>
      </c>
    </row>
    <row r="2075" spans="3:6" x14ac:dyDescent="0.35">
      <c r="C2075" t="str">
        <f>IFERROR(ROUNDUP(VLOOKUP(F2075,'30Days-Baseline'!C:D,2,FALSE),0),"NotExist")</f>
        <v>NotExist</v>
      </c>
      <c r="D2075" t="str">
        <f t="shared" si="68"/>
        <v>New</v>
      </c>
      <c r="E2075" t="e">
        <f>VLOOKUP(A:A,Reviewed!B:C,2,0)</f>
        <v>#N/A</v>
      </c>
      <c r="F2075" t="str">
        <f t="shared" si="69"/>
        <v/>
      </c>
    </row>
    <row r="2076" spans="3:6" x14ac:dyDescent="0.35">
      <c r="C2076" t="str">
        <f>IFERROR(ROUNDUP(VLOOKUP(F2076,'30Days-Baseline'!C:D,2,FALSE),0),"NotExist")</f>
        <v>NotExist</v>
      </c>
      <c r="D2076" t="str">
        <f t="shared" si="68"/>
        <v>New</v>
      </c>
      <c r="E2076" t="e">
        <f>VLOOKUP(A:A,Reviewed!B:C,2,0)</f>
        <v>#N/A</v>
      </c>
      <c r="F2076" t="str">
        <f t="shared" si="69"/>
        <v/>
      </c>
    </row>
    <row r="2077" spans="3:6" x14ac:dyDescent="0.35">
      <c r="C2077" t="str">
        <f>IFERROR(ROUNDUP(VLOOKUP(F2077,'30Days-Baseline'!C:D,2,FALSE),0),"NotExist")</f>
        <v>NotExist</v>
      </c>
      <c r="D2077" t="str">
        <f t="shared" si="68"/>
        <v>New</v>
      </c>
      <c r="E2077" t="e">
        <f>VLOOKUP(A:A,Reviewed!B:C,2,0)</f>
        <v>#N/A</v>
      </c>
      <c r="F2077" t="str">
        <f t="shared" si="69"/>
        <v/>
      </c>
    </row>
    <row r="2078" spans="3:6" x14ac:dyDescent="0.35">
      <c r="C2078" t="str">
        <f>IFERROR(ROUNDUP(VLOOKUP(F2078,'30Days-Baseline'!C:D,2,FALSE),0),"NotExist")</f>
        <v>NotExist</v>
      </c>
      <c r="D2078" t="str">
        <f t="shared" si="68"/>
        <v>New</v>
      </c>
      <c r="E2078" t="e">
        <f>VLOOKUP(A:A,Reviewed!B:C,2,0)</f>
        <v>#N/A</v>
      </c>
      <c r="F2078" t="str">
        <f t="shared" si="69"/>
        <v/>
      </c>
    </row>
    <row r="2079" spans="3:6" x14ac:dyDescent="0.35">
      <c r="C2079" t="str">
        <f>IFERROR(ROUNDUP(VLOOKUP(F2079,'30Days-Baseline'!C:D,2,FALSE),0),"NotExist")</f>
        <v>NotExist</v>
      </c>
      <c r="D2079" t="str">
        <f t="shared" si="68"/>
        <v>New</v>
      </c>
      <c r="E2079" t="e">
        <f>VLOOKUP(A:A,Reviewed!B:C,2,0)</f>
        <v>#N/A</v>
      </c>
      <c r="F2079" t="str">
        <f t="shared" si="69"/>
        <v/>
      </c>
    </row>
    <row r="2080" spans="3:6" x14ac:dyDescent="0.35">
      <c r="C2080" t="str">
        <f>IFERROR(ROUNDUP(VLOOKUP(F2080,'30Days-Baseline'!C:D,2,FALSE),0),"NotExist")</f>
        <v>NotExist</v>
      </c>
      <c r="D2080" t="str">
        <f t="shared" si="68"/>
        <v>New</v>
      </c>
      <c r="E2080" t="e">
        <f>VLOOKUP(A:A,Reviewed!B:C,2,0)</f>
        <v>#N/A</v>
      </c>
      <c r="F2080" t="str">
        <f t="shared" si="69"/>
        <v/>
      </c>
    </row>
    <row r="2081" spans="3:6" x14ac:dyDescent="0.35">
      <c r="C2081" t="str">
        <f>IFERROR(ROUNDUP(VLOOKUP(F2081,'30Days-Baseline'!C:D,2,FALSE),0),"NotExist")</f>
        <v>NotExist</v>
      </c>
      <c r="D2081" t="str">
        <f t="shared" si="68"/>
        <v>New</v>
      </c>
      <c r="E2081" t="e">
        <f>VLOOKUP(A:A,Reviewed!B:C,2,0)</f>
        <v>#N/A</v>
      </c>
      <c r="F2081" t="str">
        <f t="shared" si="69"/>
        <v/>
      </c>
    </row>
    <row r="2082" spans="3:6" x14ac:dyDescent="0.35">
      <c r="C2082" t="str">
        <f>IFERROR(ROUNDUP(VLOOKUP(F2082,'30Days-Baseline'!C:D,2,FALSE),0),"NotExist")</f>
        <v>NotExist</v>
      </c>
      <c r="D2082" t="str">
        <f t="shared" si="68"/>
        <v>New</v>
      </c>
      <c r="E2082" t="e">
        <f>VLOOKUP(A:A,Reviewed!B:C,2,0)</f>
        <v>#N/A</v>
      </c>
      <c r="F2082" t="str">
        <f t="shared" si="69"/>
        <v/>
      </c>
    </row>
    <row r="2083" spans="3:6" x14ac:dyDescent="0.35">
      <c r="C2083" t="str">
        <f>IFERROR(ROUNDUP(VLOOKUP(F2083,'30Days-Baseline'!C:D,2,FALSE),0),"NotExist")</f>
        <v>NotExist</v>
      </c>
      <c r="D2083" t="str">
        <f t="shared" si="68"/>
        <v>New</v>
      </c>
      <c r="E2083" t="e">
        <f>VLOOKUP(A:A,Reviewed!B:C,2,0)</f>
        <v>#N/A</v>
      </c>
      <c r="F2083" t="str">
        <f t="shared" si="69"/>
        <v/>
      </c>
    </row>
    <row r="2084" spans="3:6" x14ac:dyDescent="0.35">
      <c r="C2084" t="str">
        <f>IFERROR(ROUNDUP(VLOOKUP(F2084,'30Days-Baseline'!C:D,2,FALSE),0),"NotExist")</f>
        <v>NotExist</v>
      </c>
      <c r="D2084" t="str">
        <f t="shared" si="68"/>
        <v>New</v>
      </c>
      <c r="E2084" t="e">
        <f>VLOOKUP(A:A,Reviewed!B:C,2,0)</f>
        <v>#N/A</v>
      </c>
      <c r="F2084" t="str">
        <f t="shared" si="69"/>
        <v/>
      </c>
    </row>
    <row r="2085" spans="3:6" x14ac:dyDescent="0.35">
      <c r="C2085" t="str">
        <f>IFERROR(ROUNDUP(VLOOKUP(F2085,'30Days-Baseline'!C:D,2,FALSE),0),"NotExist")</f>
        <v>NotExist</v>
      </c>
      <c r="D2085" t="str">
        <f t="shared" si="68"/>
        <v>New</v>
      </c>
      <c r="E2085" t="e">
        <f>VLOOKUP(A:A,Reviewed!B:C,2,0)</f>
        <v>#N/A</v>
      </c>
      <c r="F2085" t="str">
        <f t="shared" si="69"/>
        <v/>
      </c>
    </row>
    <row r="2086" spans="3:6" x14ac:dyDescent="0.35">
      <c r="C2086" t="str">
        <f>IFERROR(ROUNDUP(VLOOKUP(F2086,'30Days-Baseline'!C:D,2,FALSE),0),"NotExist")</f>
        <v>NotExist</v>
      </c>
      <c r="D2086" t="str">
        <f t="shared" si="68"/>
        <v>New</v>
      </c>
      <c r="E2086" t="e">
        <f>VLOOKUP(A:A,Reviewed!B:C,2,0)</f>
        <v>#N/A</v>
      </c>
      <c r="F2086" t="str">
        <f t="shared" si="69"/>
        <v/>
      </c>
    </row>
    <row r="2087" spans="3:6" x14ac:dyDescent="0.35">
      <c r="C2087" t="str">
        <f>IFERROR(ROUNDUP(VLOOKUP(F2087,'30Days-Baseline'!C:D,2,FALSE),0),"NotExist")</f>
        <v>NotExist</v>
      </c>
      <c r="D2087" t="str">
        <f t="shared" si="68"/>
        <v>New</v>
      </c>
      <c r="E2087" t="e">
        <f>VLOOKUP(A:A,Reviewed!B:C,2,0)</f>
        <v>#N/A</v>
      </c>
      <c r="F2087" t="str">
        <f t="shared" si="69"/>
        <v/>
      </c>
    </row>
    <row r="2088" spans="3:6" x14ac:dyDescent="0.35">
      <c r="C2088" t="str">
        <f>IFERROR(ROUNDUP(VLOOKUP(F2088,'30Days-Baseline'!C:D,2,FALSE),0),"NotExist")</f>
        <v>NotExist</v>
      </c>
      <c r="D2088" t="str">
        <f t="shared" si="68"/>
        <v>New</v>
      </c>
      <c r="E2088" t="e">
        <f>VLOOKUP(A:A,Reviewed!B:C,2,0)</f>
        <v>#N/A</v>
      </c>
      <c r="F2088" t="str">
        <f t="shared" si="69"/>
        <v/>
      </c>
    </row>
    <row r="2089" spans="3:6" x14ac:dyDescent="0.35">
      <c r="C2089" t="str">
        <f>IFERROR(ROUNDUP(VLOOKUP(F2089,'30Days-Baseline'!C:D,2,FALSE),0),"NotExist")</f>
        <v>NotExist</v>
      </c>
      <c r="D2089" t="str">
        <f t="shared" si="68"/>
        <v>New</v>
      </c>
      <c r="E2089" t="e">
        <f>VLOOKUP(A:A,Reviewed!B:C,2,0)</f>
        <v>#N/A</v>
      </c>
      <c r="F2089" t="str">
        <f t="shared" si="69"/>
        <v/>
      </c>
    </row>
    <row r="2090" spans="3:6" x14ac:dyDescent="0.35">
      <c r="C2090" t="str">
        <f>IFERROR(ROUNDUP(VLOOKUP(F2090,'30Days-Baseline'!C:D,2,FALSE),0),"NotExist")</f>
        <v>NotExist</v>
      </c>
      <c r="D2090" t="str">
        <f t="shared" si="68"/>
        <v>New</v>
      </c>
      <c r="E2090" t="e">
        <f>VLOOKUP(A:A,Reviewed!B:C,2,0)</f>
        <v>#N/A</v>
      </c>
      <c r="F2090" t="str">
        <f t="shared" si="69"/>
        <v/>
      </c>
    </row>
    <row r="2091" spans="3:6" x14ac:dyDescent="0.35">
      <c r="C2091" t="str">
        <f>IFERROR(ROUNDUP(VLOOKUP(F2091,'30Days-Baseline'!C:D,2,FALSE),0),"NotExist")</f>
        <v>NotExist</v>
      </c>
      <c r="D2091" t="str">
        <f t="shared" si="68"/>
        <v>New</v>
      </c>
      <c r="E2091" t="e">
        <f>VLOOKUP(A:A,Reviewed!B:C,2,0)</f>
        <v>#N/A</v>
      </c>
      <c r="F2091" t="str">
        <f t="shared" si="69"/>
        <v/>
      </c>
    </row>
    <row r="2092" spans="3:6" x14ac:dyDescent="0.35">
      <c r="C2092" t="str">
        <f>IFERROR(ROUNDUP(VLOOKUP(F2092,'30Days-Baseline'!C:D,2,FALSE),0),"NotExist")</f>
        <v>NotExist</v>
      </c>
      <c r="D2092" t="str">
        <f t="shared" si="68"/>
        <v>New</v>
      </c>
      <c r="E2092" t="e">
        <f>VLOOKUP(A:A,Reviewed!B:C,2,0)</f>
        <v>#N/A</v>
      </c>
      <c r="F2092" t="str">
        <f t="shared" si="69"/>
        <v/>
      </c>
    </row>
    <row r="2093" spans="3:6" x14ac:dyDescent="0.35">
      <c r="C2093" t="str">
        <f>IFERROR(ROUNDUP(VLOOKUP(F2093,'30Days-Baseline'!C:D,2,FALSE),0),"NotExist")</f>
        <v>NotExist</v>
      </c>
      <c r="D2093" t="str">
        <f t="shared" si="68"/>
        <v>New</v>
      </c>
      <c r="E2093" t="e">
        <f>VLOOKUP(A:A,Reviewed!B:C,2,0)</f>
        <v>#N/A</v>
      </c>
      <c r="F2093" t="str">
        <f t="shared" si="69"/>
        <v/>
      </c>
    </row>
    <row r="2094" spans="3:6" x14ac:dyDescent="0.35">
      <c r="C2094" t="str">
        <f>IFERROR(ROUNDUP(VLOOKUP(F2094,'30Days-Baseline'!C:D,2,FALSE),0),"NotExist")</f>
        <v>NotExist</v>
      </c>
      <c r="D2094" t="str">
        <f t="shared" si="68"/>
        <v>New</v>
      </c>
      <c r="E2094" t="e">
        <f>VLOOKUP(A:A,Reviewed!B:C,2,0)</f>
        <v>#N/A</v>
      </c>
      <c r="F2094" t="str">
        <f t="shared" si="69"/>
        <v/>
      </c>
    </row>
    <row r="2095" spans="3:6" x14ac:dyDescent="0.35">
      <c r="C2095" t="str">
        <f>IFERROR(ROUNDUP(VLOOKUP(F2095,'30Days-Baseline'!C:D,2,FALSE),0),"NotExist")</f>
        <v>NotExist</v>
      </c>
      <c r="D2095" t="str">
        <f t="shared" si="68"/>
        <v>New</v>
      </c>
      <c r="E2095" t="e">
        <f>VLOOKUP(A:A,Reviewed!B:C,2,0)</f>
        <v>#N/A</v>
      </c>
      <c r="F2095" t="str">
        <f t="shared" si="69"/>
        <v/>
      </c>
    </row>
    <row r="2096" spans="3:6" x14ac:dyDescent="0.35">
      <c r="C2096" t="str">
        <f>IFERROR(ROUNDUP(VLOOKUP(F2096,'30Days-Baseline'!C:D,2,FALSE),0),"NotExist")</f>
        <v>NotExist</v>
      </c>
      <c r="D2096" t="str">
        <f t="shared" si="68"/>
        <v>New</v>
      </c>
      <c r="E2096" t="e">
        <f>VLOOKUP(A:A,Reviewed!B:C,2,0)</f>
        <v>#N/A</v>
      </c>
      <c r="F2096" t="str">
        <f t="shared" si="69"/>
        <v/>
      </c>
    </row>
    <row r="2097" spans="3:6" x14ac:dyDescent="0.35">
      <c r="C2097" t="str">
        <f>IFERROR(ROUNDUP(VLOOKUP(F2097,'30Days-Baseline'!C:D,2,FALSE),0),"NotExist")</f>
        <v>NotExist</v>
      </c>
      <c r="D2097" t="str">
        <f t="shared" si="68"/>
        <v>New</v>
      </c>
      <c r="E2097" t="e">
        <f>VLOOKUP(A:A,Reviewed!B:C,2,0)</f>
        <v>#N/A</v>
      </c>
      <c r="F2097" t="str">
        <f t="shared" si="69"/>
        <v/>
      </c>
    </row>
    <row r="2098" spans="3:6" x14ac:dyDescent="0.35">
      <c r="C2098" t="str">
        <f>IFERROR(ROUNDUP(VLOOKUP(F2098,'30Days-Baseline'!C:D,2,FALSE),0),"NotExist")</f>
        <v>NotExist</v>
      </c>
      <c r="D2098" t="str">
        <f t="shared" si="68"/>
        <v>New</v>
      </c>
      <c r="E2098" t="e">
        <f>VLOOKUP(A:A,Reviewed!B:C,2,0)</f>
        <v>#N/A</v>
      </c>
      <c r="F2098" t="str">
        <f t="shared" si="69"/>
        <v/>
      </c>
    </row>
    <row r="2099" spans="3:6" x14ac:dyDescent="0.35">
      <c r="C2099" t="str">
        <f>IFERROR(ROUNDUP(VLOOKUP(F2099,'30Days-Baseline'!C:D,2,FALSE),0),"NotExist")</f>
        <v>NotExist</v>
      </c>
      <c r="D2099" t="str">
        <f t="shared" si="68"/>
        <v>New</v>
      </c>
      <c r="E2099" t="e">
        <f>VLOOKUP(A:A,Reviewed!B:C,2,0)</f>
        <v>#N/A</v>
      </c>
      <c r="F2099" t="str">
        <f t="shared" si="69"/>
        <v/>
      </c>
    </row>
    <row r="2100" spans="3:6" x14ac:dyDescent="0.35">
      <c r="C2100" t="str">
        <f>IFERROR(ROUNDUP(VLOOKUP(F2100,'30Days-Baseline'!C:D,2,FALSE),0),"NotExist")</f>
        <v>NotExist</v>
      </c>
      <c r="D2100" t="str">
        <f t="shared" si="68"/>
        <v>New</v>
      </c>
      <c r="E2100" t="e">
        <f>VLOOKUP(A:A,Reviewed!B:C,2,0)</f>
        <v>#N/A</v>
      </c>
      <c r="F2100" t="str">
        <f t="shared" si="69"/>
        <v/>
      </c>
    </row>
    <row r="2101" spans="3:6" x14ac:dyDescent="0.35">
      <c r="C2101" t="str">
        <f>IFERROR(ROUNDUP(VLOOKUP(F2101,'30Days-Baseline'!C:D,2,FALSE),0),"NotExist")</f>
        <v>NotExist</v>
      </c>
      <c r="D2101" t="str">
        <f t="shared" si="68"/>
        <v>New</v>
      </c>
      <c r="E2101" t="e">
        <f>VLOOKUP(A:A,Reviewed!B:C,2,0)</f>
        <v>#N/A</v>
      </c>
      <c r="F2101" t="str">
        <f t="shared" si="69"/>
        <v/>
      </c>
    </row>
    <row r="2102" spans="3:6" x14ac:dyDescent="0.35">
      <c r="C2102" t="str">
        <f>IFERROR(ROUNDUP(VLOOKUP(F2102,'30Days-Baseline'!C:D,2,FALSE),0),"NotExist")</f>
        <v>NotExist</v>
      </c>
      <c r="D2102" t="str">
        <f t="shared" si="68"/>
        <v>New</v>
      </c>
      <c r="E2102" t="e">
        <f>VLOOKUP(A:A,Reviewed!B:C,2,0)</f>
        <v>#N/A</v>
      </c>
      <c r="F2102" t="str">
        <f t="shared" si="69"/>
        <v/>
      </c>
    </row>
    <row r="2103" spans="3:6" x14ac:dyDescent="0.35">
      <c r="C2103" t="str">
        <f>IFERROR(ROUNDUP(VLOOKUP(F2103,'30Days-Baseline'!C:D,2,FALSE),0),"NotExist")</f>
        <v>NotExist</v>
      </c>
      <c r="D2103" t="str">
        <f t="shared" si="68"/>
        <v>New</v>
      </c>
      <c r="E2103" t="e">
        <f>VLOOKUP(A:A,Reviewed!B:C,2,0)</f>
        <v>#N/A</v>
      </c>
      <c r="F2103" t="str">
        <f t="shared" si="69"/>
        <v/>
      </c>
    </row>
    <row r="2104" spans="3:6" x14ac:dyDescent="0.35">
      <c r="C2104" t="str">
        <f>IFERROR(ROUNDUP(VLOOKUP(F2104,'30Days-Baseline'!C:D,2,FALSE),0),"NotExist")</f>
        <v>NotExist</v>
      </c>
      <c r="D2104" t="str">
        <f t="shared" si="68"/>
        <v>New</v>
      </c>
      <c r="E2104" t="e">
        <f>VLOOKUP(A:A,Reviewed!B:C,2,0)</f>
        <v>#N/A</v>
      </c>
      <c r="F2104" t="str">
        <f t="shared" si="69"/>
        <v/>
      </c>
    </row>
    <row r="2105" spans="3:6" x14ac:dyDescent="0.35">
      <c r="C2105" t="str">
        <f>IFERROR(ROUNDUP(VLOOKUP(F2105,'30Days-Baseline'!C:D,2,FALSE),0),"NotExist")</f>
        <v>NotExist</v>
      </c>
      <c r="D2105" t="str">
        <f t="shared" si="68"/>
        <v>New</v>
      </c>
      <c r="E2105" t="e">
        <f>VLOOKUP(A:A,Reviewed!B:C,2,0)</f>
        <v>#N/A</v>
      </c>
      <c r="F2105" t="str">
        <f t="shared" si="69"/>
        <v/>
      </c>
    </row>
    <row r="2106" spans="3:6" x14ac:dyDescent="0.35">
      <c r="C2106" t="str">
        <f>IFERROR(ROUNDUP(VLOOKUP(F2106,'30Days-Baseline'!C:D,2,FALSE),0),"NotExist")</f>
        <v>NotExist</v>
      </c>
      <c r="D2106" t="str">
        <f t="shared" si="68"/>
        <v>New</v>
      </c>
      <c r="E2106" t="e">
        <f>VLOOKUP(A:A,Reviewed!B:C,2,0)</f>
        <v>#N/A</v>
      </c>
      <c r="F2106" t="str">
        <f t="shared" si="69"/>
        <v/>
      </c>
    </row>
    <row r="2107" spans="3:6" x14ac:dyDescent="0.35">
      <c r="C2107" t="str">
        <f>IFERROR(ROUNDUP(VLOOKUP(F2107,'30Days-Baseline'!C:D,2,FALSE),0),"NotExist")</f>
        <v>NotExist</v>
      </c>
      <c r="D2107" t="str">
        <f t="shared" si="68"/>
        <v>New</v>
      </c>
      <c r="E2107" t="e">
        <f>VLOOKUP(A:A,Reviewed!B:C,2,0)</f>
        <v>#N/A</v>
      </c>
      <c r="F2107" t="str">
        <f t="shared" si="69"/>
        <v/>
      </c>
    </row>
    <row r="2108" spans="3:6" x14ac:dyDescent="0.35">
      <c r="C2108" t="str">
        <f>IFERROR(ROUNDUP(VLOOKUP(F2108,'30Days-Baseline'!C:D,2,FALSE),0),"NotExist")</f>
        <v>NotExist</v>
      </c>
      <c r="D2108" t="str">
        <f t="shared" si="68"/>
        <v>New</v>
      </c>
      <c r="E2108" t="e">
        <f>VLOOKUP(A:A,Reviewed!B:C,2,0)</f>
        <v>#N/A</v>
      </c>
      <c r="F2108" t="str">
        <f t="shared" si="69"/>
        <v/>
      </c>
    </row>
    <row r="2109" spans="3:6" x14ac:dyDescent="0.35">
      <c r="C2109" t="str">
        <f>IFERROR(ROUNDUP(VLOOKUP(F2109,'30Days-Baseline'!C:D,2,FALSE),0),"NotExist")</f>
        <v>NotExist</v>
      </c>
      <c r="D2109" t="str">
        <f t="shared" si="68"/>
        <v>New</v>
      </c>
      <c r="E2109" t="e">
        <f>VLOOKUP(A:A,Reviewed!B:C,2,0)</f>
        <v>#N/A</v>
      </c>
      <c r="F2109" t="str">
        <f t="shared" si="69"/>
        <v/>
      </c>
    </row>
    <row r="2110" spans="3:6" x14ac:dyDescent="0.35">
      <c r="C2110" t="str">
        <f>IFERROR(ROUNDUP(VLOOKUP(F2110,'30Days-Baseline'!C:D,2,FALSE),0),"NotExist")</f>
        <v>NotExist</v>
      </c>
      <c r="D2110" t="str">
        <f t="shared" si="68"/>
        <v>New</v>
      </c>
      <c r="E2110" t="e">
        <f>VLOOKUP(A:A,Reviewed!B:C,2,0)</f>
        <v>#N/A</v>
      </c>
      <c r="F2110" t="str">
        <f t="shared" si="69"/>
        <v/>
      </c>
    </row>
    <row r="2111" spans="3:6" x14ac:dyDescent="0.35">
      <c r="C2111" t="str">
        <f>IFERROR(ROUNDUP(VLOOKUP(F2111,'30Days-Baseline'!C:D,2,FALSE),0),"NotExist")</f>
        <v>NotExist</v>
      </c>
      <c r="D2111" t="str">
        <f t="shared" si="68"/>
        <v>New</v>
      </c>
      <c r="E2111" t="e">
        <f>VLOOKUP(A:A,Reviewed!B:C,2,0)</f>
        <v>#N/A</v>
      </c>
      <c r="F2111" t="str">
        <f t="shared" si="69"/>
        <v/>
      </c>
    </row>
    <row r="2112" spans="3:6" x14ac:dyDescent="0.35">
      <c r="C2112" t="str">
        <f>IFERROR(ROUNDUP(VLOOKUP(F2112,'30Days-Baseline'!C:D,2,FALSE),0),"NotExist")</f>
        <v>NotExist</v>
      </c>
      <c r="D2112" t="str">
        <f t="shared" si="68"/>
        <v>New</v>
      </c>
      <c r="E2112" t="e">
        <f>VLOOKUP(A:A,Reviewed!B:C,2,0)</f>
        <v>#N/A</v>
      </c>
      <c r="F2112" t="str">
        <f t="shared" si="69"/>
        <v/>
      </c>
    </row>
    <row r="2113" spans="3:6" x14ac:dyDescent="0.35">
      <c r="C2113" t="str">
        <f>IFERROR(ROUNDUP(VLOOKUP(F2113,'30Days-Baseline'!C:D,2,FALSE),0),"NotExist")</f>
        <v>NotExist</v>
      </c>
      <c r="D2113" t="str">
        <f t="shared" si="68"/>
        <v>New</v>
      </c>
      <c r="E2113" t="e">
        <f>VLOOKUP(A:A,Reviewed!B:C,2,0)</f>
        <v>#N/A</v>
      </c>
      <c r="F2113" t="str">
        <f t="shared" si="69"/>
        <v/>
      </c>
    </row>
    <row r="2114" spans="3:6" x14ac:dyDescent="0.35">
      <c r="C2114" t="str">
        <f>IFERROR(ROUNDUP(VLOOKUP(F2114,'30Days-Baseline'!C:D,2,FALSE),0),"NotExist")</f>
        <v>NotExist</v>
      </c>
      <c r="D2114" t="str">
        <f t="shared" si="68"/>
        <v>New</v>
      </c>
      <c r="E2114" t="e">
        <f>VLOOKUP(A:A,Reviewed!B:C,2,0)</f>
        <v>#N/A</v>
      </c>
      <c r="F2114" t="str">
        <f t="shared" si="69"/>
        <v/>
      </c>
    </row>
    <row r="2115" spans="3:6" x14ac:dyDescent="0.35">
      <c r="C2115" t="str">
        <f>IFERROR(ROUNDUP(VLOOKUP(F2115,'30Days-Baseline'!C:D,2,FALSE),0),"NotExist")</f>
        <v>NotExist</v>
      </c>
      <c r="D2115" t="str">
        <f t="shared" si="68"/>
        <v>New</v>
      </c>
      <c r="E2115" t="e">
        <f>VLOOKUP(A:A,Reviewed!B:C,2,0)</f>
        <v>#N/A</v>
      </c>
      <c r="F2115" t="str">
        <f t="shared" si="69"/>
        <v/>
      </c>
    </row>
    <row r="2116" spans="3:6" x14ac:dyDescent="0.35">
      <c r="C2116" t="str">
        <f>IFERROR(ROUNDUP(VLOOKUP(F2116,'30Days-Baseline'!C:D,2,FALSE),0),"NotExist")</f>
        <v>NotExist</v>
      </c>
      <c r="D2116" t="str">
        <f t="shared" si="68"/>
        <v>New</v>
      </c>
      <c r="E2116" t="e">
        <f>VLOOKUP(A:A,Reviewed!B:C,2,0)</f>
        <v>#N/A</v>
      </c>
      <c r="F2116" t="str">
        <f t="shared" si="69"/>
        <v/>
      </c>
    </row>
    <row r="2117" spans="3:6" x14ac:dyDescent="0.35">
      <c r="C2117" t="str">
        <f>IFERROR(ROUNDUP(VLOOKUP(F2117,'30Days-Baseline'!C:D,2,FALSE),0),"NotExist")</f>
        <v>NotExist</v>
      </c>
      <c r="D2117" t="str">
        <f t="shared" si="68"/>
        <v>New</v>
      </c>
      <c r="E2117" t="e">
        <f>VLOOKUP(A:A,Reviewed!B:C,2,0)</f>
        <v>#N/A</v>
      </c>
      <c r="F2117" t="str">
        <f t="shared" si="69"/>
        <v/>
      </c>
    </row>
    <row r="2118" spans="3:6" x14ac:dyDescent="0.35">
      <c r="C2118" t="str">
        <f>IFERROR(ROUNDUP(VLOOKUP(F2118,'30Days-Baseline'!C:D,2,FALSE),0),"NotExist")</f>
        <v>NotExist</v>
      </c>
      <c r="D2118" t="str">
        <f t="shared" si="68"/>
        <v>New</v>
      </c>
      <c r="E2118" t="e">
        <f>VLOOKUP(A:A,Reviewed!B:C,2,0)</f>
        <v>#N/A</v>
      </c>
      <c r="F2118" t="str">
        <f t="shared" si="69"/>
        <v/>
      </c>
    </row>
    <row r="2119" spans="3:6" x14ac:dyDescent="0.35">
      <c r="C2119" t="str">
        <f>IFERROR(ROUNDUP(VLOOKUP(F2119,'30Days-Baseline'!C:D,2,FALSE),0),"NotExist")</f>
        <v>NotExist</v>
      </c>
      <c r="D2119" t="str">
        <f t="shared" si="68"/>
        <v>New</v>
      </c>
      <c r="E2119" t="e">
        <f>VLOOKUP(A:A,Reviewed!B:C,2,0)</f>
        <v>#N/A</v>
      </c>
      <c r="F2119" t="str">
        <f t="shared" si="69"/>
        <v/>
      </c>
    </row>
    <row r="2120" spans="3:6" x14ac:dyDescent="0.35">
      <c r="C2120" t="str">
        <f>IFERROR(ROUNDUP(VLOOKUP(F2120,'30Days-Baseline'!C:D,2,FALSE),0),"NotExist")</f>
        <v>NotExist</v>
      </c>
      <c r="D2120" t="str">
        <f t="shared" si="68"/>
        <v>New</v>
      </c>
      <c r="E2120" t="e">
        <f>VLOOKUP(A:A,Reviewed!B:C,2,0)</f>
        <v>#N/A</v>
      </c>
      <c r="F2120" t="str">
        <f t="shared" si="69"/>
        <v/>
      </c>
    </row>
    <row r="2121" spans="3:6" x14ac:dyDescent="0.35">
      <c r="C2121" t="str">
        <f>IFERROR(ROUNDUP(VLOOKUP(F2121,'30Days-Baseline'!C:D,2,FALSE),0),"NotExist")</f>
        <v>NotExist</v>
      </c>
      <c r="D2121" t="str">
        <f t="shared" si="68"/>
        <v>New</v>
      </c>
      <c r="E2121" t="e">
        <f>VLOOKUP(A:A,Reviewed!B:C,2,0)</f>
        <v>#N/A</v>
      </c>
      <c r="F2121" t="str">
        <f t="shared" si="69"/>
        <v/>
      </c>
    </row>
    <row r="2122" spans="3:6" x14ac:dyDescent="0.35">
      <c r="C2122" t="str">
        <f>IFERROR(ROUNDUP(VLOOKUP(F2122,'30Days-Baseline'!C:D,2,FALSE),0),"NotExist")</f>
        <v>NotExist</v>
      </c>
      <c r="D2122" t="str">
        <f t="shared" si="68"/>
        <v>New</v>
      </c>
      <c r="E2122" t="e">
        <f>VLOOKUP(A:A,Reviewed!B:C,2,0)</f>
        <v>#N/A</v>
      </c>
      <c r="F2122" t="str">
        <f t="shared" si="69"/>
        <v/>
      </c>
    </row>
    <row r="2123" spans="3:6" x14ac:dyDescent="0.35">
      <c r="C2123" t="str">
        <f>IFERROR(ROUNDUP(VLOOKUP(F2123,'30Days-Baseline'!C:D,2,FALSE),0),"NotExist")</f>
        <v>NotExist</v>
      </c>
      <c r="D2123" t="str">
        <f t="shared" si="68"/>
        <v>New</v>
      </c>
      <c r="E2123" t="e">
        <f>VLOOKUP(A:A,Reviewed!B:C,2,0)</f>
        <v>#N/A</v>
      </c>
      <c r="F2123" t="str">
        <f t="shared" si="69"/>
        <v/>
      </c>
    </row>
    <row r="2124" spans="3:6" x14ac:dyDescent="0.35">
      <c r="C2124" t="str">
        <f>IFERROR(ROUNDUP(VLOOKUP(F2124,'30Days-Baseline'!C:D,2,FALSE),0),"NotExist")</f>
        <v>NotExist</v>
      </c>
      <c r="D2124" t="str">
        <f t="shared" si="68"/>
        <v>New</v>
      </c>
      <c r="E2124" t="e">
        <f>VLOOKUP(A:A,Reviewed!B:C,2,0)</f>
        <v>#N/A</v>
      </c>
      <c r="F2124" t="str">
        <f t="shared" si="69"/>
        <v/>
      </c>
    </row>
    <row r="2125" spans="3:6" x14ac:dyDescent="0.35">
      <c r="C2125" t="str">
        <f>IFERROR(ROUNDUP(VLOOKUP(F2125,'30Days-Baseline'!C:D,2,FALSE),0),"NotExist")</f>
        <v>NotExist</v>
      </c>
      <c r="D2125" t="str">
        <f t="shared" si="68"/>
        <v>New</v>
      </c>
      <c r="E2125" t="e">
        <f>VLOOKUP(A:A,Reviewed!B:C,2,0)</f>
        <v>#N/A</v>
      </c>
      <c r="F2125" t="str">
        <f t="shared" si="69"/>
        <v/>
      </c>
    </row>
    <row r="2126" spans="3:6" x14ac:dyDescent="0.35">
      <c r="C2126" t="str">
        <f>IFERROR(ROUNDUP(VLOOKUP(F2126,'30Days-Baseline'!C:D,2,FALSE),0),"NotExist")</f>
        <v>NotExist</v>
      </c>
      <c r="D2126" t="str">
        <f t="shared" si="68"/>
        <v>New</v>
      </c>
      <c r="E2126" t="e">
        <f>VLOOKUP(A:A,Reviewed!B:C,2,0)</f>
        <v>#N/A</v>
      </c>
      <c r="F2126" t="str">
        <f t="shared" si="69"/>
        <v/>
      </c>
    </row>
    <row r="2127" spans="3:6" x14ac:dyDescent="0.35">
      <c r="C2127" t="str">
        <f>IFERROR(ROUNDUP(VLOOKUP(F2127,'30Days-Baseline'!C:D,2,FALSE),0),"NotExist")</f>
        <v>NotExist</v>
      </c>
      <c r="D2127" t="str">
        <f t="shared" si="68"/>
        <v>New</v>
      </c>
      <c r="E2127" t="e">
        <f>VLOOKUP(A:A,Reviewed!B:C,2,0)</f>
        <v>#N/A</v>
      </c>
      <c r="F2127" t="str">
        <f t="shared" si="69"/>
        <v/>
      </c>
    </row>
    <row r="2128" spans="3:6" x14ac:dyDescent="0.35">
      <c r="C2128" t="str">
        <f>IFERROR(ROUNDUP(VLOOKUP(F2128,'30Days-Baseline'!C:D,2,FALSE),0),"NotExist")</f>
        <v>NotExist</v>
      </c>
      <c r="D2128" t="str">
        <f t="shared" si="68"/>
        <v>New</v>
      </c>
      <c r="E2128" t="e">
        <f>VLOOKUP(A:A,Reviewed!B:C,2,0)</f>
        <v>#N/A</v>
      </c>
      <c r="F2128" t="str">
        <f t="shared" si="69"/>
        <v/>
      </c>
    </row>
    <row r="2129" spans="3:6" x14ac:dyDescent="0.35">
      <c r="C2129" t="str">
        <f>IFERROR(ROUNDUP(VLOOKUP(F2129,'30Days-Baseline'!C:D,2,FALSE),0),"NotExist")</f>
        <v>NotExist</v>
      </c>
      <c r="D2129" t="str">
        <f t="shared" si="68"/>
        <v>New</v>
      </c>
      <c r="E2129" t="e">
        <f>VLOOKUP(A:A,Reviewed!B:C,2,0)</f>
        <v>#N/A</v>
      </c>
      <c r="F2129" t="str">
        <f t="shared" si="69"/>
        <v/>
      </c>
    </row>
    <row r="2130" spans="3:6" x14ac:dyDescent="0.35">
      <c r="C2130" t="str">
        <f>IFERROR(ROUNDUP(VLOOKUP(F2130,'30Days-Baseline'!C:D,2,FALSE),0),"NotExist")</f>
        <v>NotExist</v>
      </c>
      <c r="D2130" t="str">
        <f t="shared" si="68"/>
        <v>New</v>
      </c>
      <c r="E2130" t="e">
        <f>VLOOKUP(A:A,Reviewed!B:C,2,0)</f>
        <v>#N/A</v>
      </c>
      <c r="F2130" t="str">
        <f t="shared" si="69"/>
        <v/>
      </c>
    </row>
    <row r="2131" spans="3:6" x14ac:dyDescent="0.35">
      <c r="C2131" t="str">
        <f>IFERROR(ROUNDUP(VLOOKUP(F2131,'30Days-Baseline'!C:D,2,FALSE),0),"NotExist")</f>
        <v>NotExist</v>
      </c>
      <c r="D2131" t="str">
        <f t="shared" ref="D2131:D2132" si="70">IFERROR(IF(B2131&gt;ROUNDUP(C2131,0),"Elevated","Ok"),"New")</f>
        <v>New</v>
      </c>
      <c r="E2131" t="e">
        <f>VLOOKUP(A:A,Reviewed!B:C,2,0)</f>
        <v>#N/A</v>
      </c>
      <c r="F2131" t="str">
        <f t="shared" ref="F2131:F2132" si="71">LEFT(A2131,255)</f>
        <v/>
      </c>
    </row>
    <row r="2132" spans="3:6" x14ac:dyDescent="0.35">
      <c r="C2132" t="str">
        <f>IFERROR(ROUNDUP(VLOOKUP(F2132,'30Days-Baseline'!C:D,2,FALSE),0),"NotExist")</f>
        <v>NotExist</v>
      </c>
      <c r="D2132" t="str">
        <f t="shared" si="70"/>
        <v>New</v>
      </c>
      <c r="E2132" t="e">
        <f>VLOOKUP(A:A,Reviewed!B:C,2,0)</f>
        <v>#N/A</v>
      </c>
      <c r="F2132" t="str">
        <f t="shared" si="71"/>
        <v/>
      </c>
    </row>
  </sheetData>
  <sortState xmlns:xlrd2="http://schemas.microsoft.com/office/spreadsheetml/2017/richdata2" ref="A2:F18">
    <sortCondition ref="D2:D18"/>
    <sortCondition descending="1" ref="B2:B18"/>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163"/>
  <sheetViews>
    <sheetView tabSelected="1" topLeftCell="A3730" zoomScale="85" zoomScaleNormal="85" workbookViewId="0">
      <selection activeCell="C3079" sqref="C3079:C3738"/>
    </sheetView>
  </sheetViews>
  <sheetFormatPr defaultRowHeight="14.5" x14ac:dyDescent="0.35"/>
  <cols>
    <col min="1" max="1" width="161.90625" customWidth="1"/>
    <col min="2" max="2" width="20.26953125" style="7" customWidth="1"/>
    <col min="3" max="3" width="8.7265625" customWidth="1"/>
    <col min="4" max="4" width="23.7265625" customWidth="1"/>
  </cols>
  <sheetData>
    <row r="1" spans="1:4" x14ac:dyDescent="0.35">
      <c r="A1" t="s">
        <v>42</v>
      </c>
      <c r="B1" s="7" t="s">
        <v>0</v>
      </c>
      <c r="C1" t="s">
        <v>5</v>
      </c>
      <c r="D1" s="2" t="s">
        <v>6</v>
      </c>
    </row>
    <row r="2" spans="1:4" x14ac:dyDescent="0.35">
      <c r="A2" t="s">
        <v>58</v>
      </c>
      <c r="B2" s="8">
        <v>336316</v>
      </c>
      <c r="C2" t="str">
        <f t="shared" ref="C2:C65" si="0">LEFT(A2,255)</f>
        <v>EMSG:-STRACE:-STRACERAW:com.guidewire.pc.domain.purge.PurgeHandlerImpl.doPurge(PurgeHandlerImpl.java:XXX</v>
      </c>
      <c r="D2" s="3">
        <f t="shared" ref="D2:D65" si="1">IF(AND((B2/10)&lt;1,(B2/10)&gt;0),1,(B2/10)*130%)</f>
        <v>43721.08</v>
      </c>
    </row>
    <row r="3" spans="1:4" x14ac:dyDescent="0.35">
      <c r="A3" t="s">
        <v>64</v>
      </c>
      <c r="B3" s="8">
        <v>37214</v>
      </c>
      <c r="C3" t="str">
        <f t="shared" si="0"/>
        <v>EMSG:-STRACE:-STRACERAW:com.farmers.edge.framework.exception.handler.imp.DefaultEdgeExceptionHandler.handleException(DefaultEdgeExceptionHandler.gs:XXX</v>
      </c>
      <c r="D3" s="3">
        <f t="shared" si="1"/>
        <v>4837.8200000000006</v>
      </c>
    </row>
    <row r="4" spans="1:4" x14ac:dyDescent="0.35">
      <c r="A4" t="s">
        <v>62</v>
      </c>
      <c r="B4" s="8">
        <v>36100</v>
      </c>
      <c r="C4" t="str">
        <f t="shared" si="0"/>
        <v>EMSG:-STRACE:-STRACERAW:com.guidewire.pl.system.transaction.ConnectionHandler.newDbException(ConnectionHandler.java:XXX</v>
      </c>
      <c r="D4" s="3">
        <f t="shared" si="1"/>
        <v>4693</v>
      </c>
    </row>
    <row r="5" spans="1:4" x14ac:dyDescent="0.35">
      <c r="A5" t="s">
        <v>83</v>
      </c>
      <c r="B5" s="8">
        <v>28267</v>
      </c>
      <c r="C5" t="str">
        <f t="shared" si="0"/>
        <v>EMSG:-STRACE:-STRACERAW:com.guidewire.pl.system.entity.proxy.EffDatedBranchProxy.handleBranchChange(EffDatedBranchProxy.java:XXX</v>
      </c>
      <c r="D5" s="3">
        <f t="shared" si="1"/>
        <v>3674.71</v>
      </c>
    </row>
    <row r="6" spans="1:4" x14ac:dyDescent="0.35">
      <c r="A6" t="s">
        <v>61</v>
      </c>
      <c r="B6" s="8">
        <v>22541</v>
      </c>
      <c r="C6" t="str">
        <f t="shared" si="0"/>
        <v>EMSG:-STRACE:-STRACERAW:com.guidewire.pl.system.transaction.TransactionManagerImpl.rethrowException(TransactionManagerImpl.java:XXX</v>
      </c>
      <c r="D6" s="3">
        <f t="shared" si="1"/>
        <v>2930.33</v>
      </c>
    </row>
    <row r="7" spans="1:4" x14ac:dyDescent="0.35">
      <c r="A7" t="s">
        <v>60</v>
      </c>
      <c r="B7" s="8">
        <v>20046</v>
      </c>
      <c r="C7" t="str">
        <f t="shared" si="0"/>
        <v>EMSG:Answer the eligibility questions in order to validate the quote. If the questions have been answeredSTRACE:com.farmers.config.quoteandbind.validatequote.AbstractValidateQuoteHandler.validate(AbstractValidateQuoteHandler.gs:XXXSTRACERAW:-</v>
      </c>
      <c r="D7" s="3">
        <f t="shared" si="1"/>
        <v>2605.98</v>
      </c>
    </row>
    <row r="8" spans="1:4" x14ac:dyDescent="0.35">
      <c r="A8" t="s">
        <v>118</v>
      </c>
      <c r="B8" s="8">
        <v>15856</v>
      </c>
      <c r="C8" t="str">
        <f t="shared" si="0"/>
        <v>EMSG:-STRACE:-STRACERAW:gw.job.JobConditions.assertOkay(JobConditions.gs:XXX</v>
      </c>
      <c r="D8" s="3">
        <f t="shared" si="1"/>
        <v>2061.2799999999997</v>
      </c>
    </row>
    <row r="9" spans="1:4" x14ac:dyDescent="0.35">
      <c r="A9" t="s">
        <v>63</v>
      </c>
      <c r="B9" s="8">
        <v>11840</v>
      </c>
      <c r="C9" t="str">
        <f t="shared" si="0"/>
        <v>EMSG:-STRACE:-STRACERAW:com.farmers.config.pa.validator.BrightlineValidator.validateQuoteBrightlineRules(BrightlineValidator.gs:XXX</v>
      </c>
      <c r="D9" s="3">
        <f t="shared" si="1"/>
        <v>1539.2</v>
      </c>
    </row>
    <row r="10" spans="1:4" x14ac:dyDescent="0.35">
      <c r="A10" t="s">
        <v>68</v>
      </c>
      <c r="B10" s="8">
        <v>10123</v>
      </c>
      <c r="C10" t="str">
        <f t="shared" si="0"/>
        <v>EMSG:EntityValidationExceptionSTRACE:edge.capabilities.quote.submission.quoting.util.SubmissionUnderwritingIssuesUtil.checkSideBySideProcessExceptions(SubmissionUnderwritingIssuesUtil.gs:XXXSTRACERAW:-</v>
      </c>
      <c r="D10" s="3">
        <f t="shared" si="1"/>
        <v>1315.99</v>
      </c>
    </row>
    <row r="11" spans="1:4" x14ac:dyDescent="0.35">
      <c r="A11" t="s">
        <v>80</v>
      </c>
      <c r="B11" s="8">
        <v>9537</v>
      </c>
      <c r="C11" t="str">
        <f t="shared" si="0"/>
        <v>EMSG:PolicyPeriod:XXX = XXX/XXXSTRACE:deployment.pc.war//com.guidewire.pl.system.entity.proxy.EffDatedBranchProxy.checkBranchVersionMostRecent(EffDatedBranchProxy.java:XXXSTRACERAW:-</v>
      </c>
      <c r="D11" s="3">
        <f t="shared" si="1"/>
        <v>1239.8100000000002</v>
      </c>
    </row>
    <row r="12" spans="1:4" x14ac:dyDescent="0.35">
      <c r="A12" t="s">
        <v>69</v>
      </c>
      <c r="B12" s="8">
        <v>8263</v>
      </c>
      <c r="C12" t="str">
        <f t="shared" si="0"/>
        <v>EMSG:Read timed outSTRACE:java.base/java.net.SocketInputStream.socketReadXXX(Native MethodSTRACERAW:-</v>
      </c>
      <c r="D12" s="3">
        <f t="shared" si="1"/>
        <v>1074.19</v>
      </c>
    </row>
    <row r="13" spans="1:4" x14ac:dyDescent="0.35">
      <c r="A13" t="s">
        <v>67</v>
      </c>
      <c r="B13" s="8">
        <v>7989</v>
      </c>
      <c r="C13" t="str">
        <f t="shared" si="0"/>
        <v>EMSG:XXX has exceeded the accident and/or violation threshold for eligibility in this program.STRACE:com.farmers.config.pa.validator.BrightlineValidator.validateQuoteBrightlineRules(BrightlineValidator.gs:XXXSTRACERAW:-</v>
      </c>
      <c r="D13" s="3">
        <f t="shared" si="1"/>
        <v>1038.57</v>
      </c>
    </row>
    <row r="14" spans="1:4" x14ac:dyDescent="0.35">
      <c r="A14" t="s">
        <v>70</v>
      </c>
      <c r="B14" s="8">
        <v>7881</v>
      </c>
      <c r="C14" t="str">
        <f t="shared" si="0"/>
        <v>EMSG:-STRACE:-STRACERAW:com.guidewire.pl.system.database.DatabaseChangedBeanWriter.createConcurrentDataChangeException(DatabaseChangedBeanWriter.java:XXX</v>
      </c>
      <c r="D14" s="3">
        <f t="shared" si="1"/>
        <v>1024.53</v>
      </c>
    </row>
    <row r="15" spans="1:4" x14ac:dyDescent="0.35">
      <c r="A15" t="s">
        <v>86</v>
      </c>
      <c r="B15" s="8">
        <v>7254</v>
      </c>
      <c r="C15" t="str">
        <f t="shared" si="0"/>
        <v>EMSG:-STRACE:-STRACERAW:deployment.pc.war//com.guidewire.pc.domain.job.impl.JobImpl.checkSelectedVersionIsSet(JobImpl.java:XXX</v>
      </c>
      <c r="D15" s="3">
        <f t="shared" si="1"/>
        <v>943.02</v>
      </c>
    </row>
    <row r="16" spans="1:4" x14ac:dyDescent="0.35">
      <c r="A16" t="s">
        <v>66</v>
      </c>
      <c r="B16" s="8">
        <v>6665</v>
      </c>
      <c r="C16" t="str">
        <f t="shared" si="0"/>
        <v>EMSG:-STRACE:com.farmers.lob.pa.driverassignment.DriverAssignment.validateData(DriverAssignment.gs:XXXSTRACERAW:-</v>
      </c>
      <c r="D16" s="3">
        <f t="shared" si="1"/>
        <v>866.45</v>
      </c>
    </row>
    <row r="17" spans="1:4" x14ac:dyDescent="0.35">
      <c r="A17" t="s">
        <v>114</v>
      </c>
      <c r="B17" s="8">
        <v>6630</v>
      </c>
      <c r="C17" t="str">
        <f t="shared" si="0"/>
        <v>EMSG:The object you are trying to update was XXXSTRACE:edge.capabilities.quote.submission.GatewayQuoteHandler.handleOrThrowException(GatewayQuoteHandler.gs:XXXSTRACERAW:-</v>
      </c>
      <c r="D17" s="3">
        <f t="shared" si="1"/>
        <v>861.9</v>
      </c>
    </row>
    <row r="18" spans="1:4" x14ac:dyDescent="0.35">
      <c r="A18" t="s">
        <v>597</v>
      </c>
      <c r="B18" s="8">
        <v>6204</v>
      </c>
      <c r="C18" t="str">
        <f t="shared" si="0"/>
        <v>EMSG:Previous Quote generation request is currently in process in PolicyCenterSTRACE:com.farmers.config.commonutil.QuoteUtil.handlePolicyPeriodStatus(QuoteUtil.gs:XXXSTRACERAW:-</v>
      </c>
      <c r="D18" s="3">
        <f t="shared" si="1"/>
        <v>806.52</v>
      </c>
    </row>
    <row r="19" spans="1:4" x14ac:dyDescent="0.35">
      <c r="A19" t="s">
        <v>59</v>
      </c>
      <c r="B19" s="8">
        <v>5637</v>
      </c>
      <c r="C19" t="str">
        <f t="shared" si="0"/>
        <v>EMSG:-STRACE:-STRACERAW:gw.rating.flow.domain.CalcRoutine.executeRoutine(CalcRoutine.gs:XXX</v>
      </c>
      <c r="D19" s="3">
        <f t="shared" si="1"/>
        <v>732.81000000000006</v>
      </c>
    </row>
    <row r="20" spans="1:4" x14ac:dyDescent="0.35">
      <c r="A20" t="s">
        <v>65</v>
      </c>
      <c r="B20" s="8">
        <v>4593</v>
      </c>
      <c r="C20" t="str">
        <f t="shared" si="0"/>
        <v>EMSG:-STRACE:com.farmers.config.quoteandbind.validatequote.AbstractValidateQuoteHandler.validate(AbstractValidateQuoteHandler.gs:XXXSTRACERAW:-</v>
      </c>
      <c r="D20" s="3">
        <f t="shared" si="1"/>
        <v>597.09</v>
      </c>
    </row>
    <row r="21" spans="1:4" x14ac:dyDescent="0.35">
      <c r="A21" t="s">
        <v>88</v>
      </c>
      <c r="B21" s="8">
        <v>4515</v>
      </c>
      <c r="C21" t="str">
        <f t="shared" si="0"/>
        <v>EMSG:XXX has exceeded the accident and/or violation threshold for eligibility in this program.STRACE:gw.job.QuoteProcess.requestQuote(QuoteProcess.gs:XXXSTRACERAW:-</v>
      </c>
      <c r="D21" s="3">
        <f t="shared" si="1"/>
        <v>586.95000000000005</v>
      </c>
    </row>
    <row r="22" spans="1:4" x14ac:dyDescent="0.35">
      <c r="A22" t="s">
        <v>75</v>
      </c>
      <c r="B22" s="8">
        <v>4478</v>
      </c>
      <c r="C22" t="str">
        <f t="shared" si="0"/>
        <v>EMSG:-STRACE:-STRACERAW:gw.lob.pa.PALineDriversValidator.validateDriverDPSScore(PALineDriversValidator.gs:XXX</v>
      </c>
      <c r="D22" s="3">
        <f t="shared" si="1"/>
        <v>582.14</v>
      </c>
    </row>
    <row r="23" spans="1:4" ht="29" x14ac:dyDescent="0.35">
      <c r="A23" s="4" t="s">
        <v>593</v>
      </c>
      <c r="B23" s="8">
        <v>4466</v>
      </c>
      <c r="C23" t="str">
        <f t="shared" si="0"/>
        <v>EMSG:Database bean version conflict : XXXSTRACE:XXX/XXX/XXX XXX:XXX AM. Please cancel and retry your change.
	at deployment.pc.war//com.guidewire.pl.system.database.DatabaseChangedBeanWriter.createConcurrentDataChangeException(DatabaseChangedBeanWriter.ja</v>
      </c>
      <c r="D23" s="3">
        <f t="shared" si="1"/>
        <v>580.58000000000004</v>
      </c>
    </row>
    <row r="24" spans="1:4" x14ac:dyDescent="0.35">
      <c r="A24" t="s">
        <v>165</v>
      </c>
      <c r="B24" s="8">
        <v>4125</v>
      </c>
      <c r="C24" t="str">
        <f t="shared" si="0"/>
        <v>EMSG:Failed to execute a querySTRACE:deployment.pc.war//com.guidewire.pl.system.transaction.ConnectionHandler.newDbException(ConnectionHandler.java:XXXSTRACERAW:-</v>
      </c>
      <c r="D24" s="3">
        <f t="shared" si="1"/>
        <v>536.25</v>
      </c>
    </row>
    <row r="25" spans="1:4" ht="29" x14ac:dyDescent="0.35">
      <c r="A25" s="4" t="s">
        <v>592</v>
      </c>
      <c r="B25" s="8">
        <v>3958</v>
      </c>
      <c r="C25" t="str">
        <f t="shared" si="0"/>
        <v>EMSG:Database bean version conflict : XXXSTRACE:XXX/XXX/XXX XXX:XXX PM. Please cancel and retry your change.
	at deployment.pc.war//com.guidewire.pl.system.database.DatabaseChangedBeanWriter.createConcurrentDataChangeException(DatabaseChangedBeanWriter.ja</v>
      </c>
      <c r="D25" s="3">
        <f t="shared" si="1"/>
        <v>514.54000000000008</v>
      </c>
    </row>
    <row r="26" spans="1:4" x14ac:dyDescent="0.35">
      <c r="A26" t="s">
        <v>965</v>
      </c>
      <c r="B26" s="8">
        <v>3829</v>
      </c>
      <c r="C26" t="str">
        <f t="shared" si="0"/>
        <v>EMSG:Decision Tree Popup to DisplaySTRACE:gw.job.QuoteProcess.requestQuote(QuoteProcess.gs:XXXSTRACERAW:-</v>
      </c>
      <c r="D26" s="3">
        <f t="shared" si="1"/>
        <v>497.77</v>
      </c>
    </row>
    <row r="27" spans="1:4" x14ac:dyDescent="0.35">
      <c r="A27" t="s">
        <v>76</v>
      </c>
      <c r="B27" s="8">
        <v>3276</v>
      </c>
      <c r="C27" t="str">
        <f t="shared" si="0"/>
        <v>EMSG:Drivers who do not qualify for the Good Driver Discount must have a clean driving record and be accompanied on the policy by a Good Driver to be eligible for a policy with Farmers.STRACE:gw.lob.pa.PALineDriversValidator.validateDriverDPSScore(PALineD</v>
      </c>
      <c r="D27" s="3">
        <f t="shared" si="1"/>
        <v>425.88000000000005</v>
      </c>
    </row>
    <row r="28" spans="1:4" x14ac:dyDescent="0.35">
      <c r="A28" t="s">
        <v>72</v>
      </c>
      <c r="B28" s="8">
        <v>3236</v>
      </c>
      <c r="C28" t="str">
        <f t="shared" si="0"/>
        <v>EMSG:-STRACE:-STRACERAW:com.farmers.lob.pa.driverassignment.DriverAssignment.validateData(DriverAssignment.gs:XXX</v>
      </c>
      <c r="D28" s="3">
        <f t="shared" si="1"/>
        <v>420.68000000000006</v>
      </c>
    </row>
    <row r="29" spans="1:4" x14ac:dyDescent="0.35">
      <c r="A29" t="s">
        <v>150</v>
      </c>
      <c r="B29" s="8">
        <v>3016</v>
      </c>
      <c r="C29" t="str">
        <f t="shared" si="0"/>
        <v>EMSG:-STRACE:-STRACERAW:com.farmers.config.ho.thirdparty.process.HOMortgageeProcess.displayMortgageServiceException(HOMortgageeProcess.gs:XXX</v>
      </c>
      <c r="D29" s="3">
        <f t="shared" si="1"/>
        <v>392.08000000000004</v>
      </c>
    </row>
    <row r="30" spans="1:4" x14ac:dyDescent="0.35">
      <c r="A30" t="s">
        <v>74</v>
      </c>
      <c r="B30" s="8">
        <v>2848</v>
      </c>
      <c r="C30" t="str">
        <f t="shared" si="0"/>
        <v>EMSG:Update the Primary Driver selection for XXXSTRACE:com.farmers.lob.pa.driverassignment.DriverAssignment.validateData(DriverAssignment.gs:XXXSTRACERAW:-</v>
      </c>
      <c r="D30" s="3">
        <f t="shared" si="1"/>
        <v>370.24</v>
      </c>
    </row>
    <row r="31" spans="1:4" x14ac:dyDescent="0.35">
      <c r="A31" t="s">
        <v>112</v>
      </c>
      <c r="B31" s="8">
        <v>2771</v>
      </c>
      <c r="C31" t="str">
        <f t="shared" si="0"/>
        <v>EMSG:-STRACE:-STRACERAW:com.guidewire.pc.domain.job.impl.JobImpl.checkSelectedVersionIsSet(JobImpl.java:XXX</v>
      </c>
      <c r="D31" s="3">
        <f t="shared" si="1"/>
        <v>360.23</v>
      </c>
    </row>
    <row r="32" spans="1:4" x14ac:dyDescent="0.35">
      <c r="A32" t="s">
        <v>444</v>
      </c>
      <c r="B32" s="8">
        <v>2104</v>
      </c>
      <c r="C32" t="str">
        <f t="shared" si="0"/>
        <v>EMSG:-STRACE:-STRACERAW:com.guidewire.pl.system.bundle.EntityBundleImpl.loadBean(EntityBundleImpl.java:XXX</v>
      </c>
      <c r="D32" s="3">
        <f t="shared" si="1"/>
        <v>273.52000000000004</v>
      </c>
    </row>
    <row r="33" spans="1:4" x14ac:dyDescent="0.35">
      <c r="A33" t="s">
        <v>91</v>
      </c>
      <c r="B33" s="8">
        <v>1958</v>
      </c>
      <c r="C33" t="str">
        <f t="shared" si="0"/>
        <v>EMSG:This risk is ineligible for Farmers due to excessive accidents and/or violations. You may submit an application to Bristol West on request by selecting the Bridge to Bristol West button to create a quote in the Bristol West system.STRACE:com.farmers.</v>
      </c>
      <c r="D33" s="3">
        <f t="shared" si="1"/>
        <v>254.54000000000002</v>
      </c>
    </row>
    <row r="34" spans="1:4" x14ac:dyDescent="0.35">
      <c r="A34" t="s">
        <v>89</v>
      </c>
      <c r="B34" s="8">
        <v>1814</v>
      </c>
      <c r="C34" t="str">
        <f t="shared" si="0"/>
        <v>EMSG:-STRACE:-STRACERAW:deployment.pc.war//com.guidewire.pl.system.entity.proxy.BeanProxy.checkIsInBundle(BeanProxy.java:XXX</v>
      </c>
      <c r="D34" s="3">
        <f t="shared" si="1"/>
        <v>235.82000000000002</v>
      </c>
    </row>
    <row r="35" spans="1:4" x14ac:dyDescent="0.35">
      <c r="A35" t="s">
        <v>98</v>
      </c>
      <c r="B35" s="8">
        <v>1772</v>
      </c>
      <c r="C35" t="str">
        <f t="shared" si="0"/>
        <v>EMSG:EntityValidationExceptionSTRACE:edge.capabilities.quote.submission.quoting.util.SubmissionUnderwritingIssuesUtil.checkVerifyRateExceptions(SubmissionUnderwritingIssuesUtil.gs:XXXSTRACERAW:-</v>
      </c>
      <c r="D35" s="3">
        <f t="shared" si="1"/>
        <v>230.35999999999999</v>
      </c>
    </row>
    <row r="36" spans="1:4" x14ac:dyDescent="0.35">
      <c r="A36" t="s">
        <v>87</v>
      </c>
      <c r="B36" s="8">
        <v>1612</v>
      </c>
      <c r="C36" t="str">
        <f t="shared" si="0"/>
        <v>EMSG:-STRACE:gw.job.JobConditions.assertOkay(JobConditions.gs:XXXSTRACERAW:-</v>
      </c>
      <c r="D36" s="3">
        <f t="shared" si="1"/>
        <v>209.56</v>
      </c>
    </row>
    <row r="37" spans="1:4" x14ac:dyDescent="0.35">
      <c r="A37" t="s">
        <v>84</v>
      </c>
      <c r="B37" s="8">
        <v>1593</v>
      </c>
      <c r="C37" t="str">
        <f t="shared" si="0"/>
        <v>EMSG:Mention period is cancelledSTRACE:com.farmers.integ.framework.job.automatejob.policychange.AutomatedPolicyChangeJobAPI.canStartJob(AutomatedPolicyChangeJobAPI.gs:XXXSTRACERAW:-</v>
      </c>
      <c r="D37" s="3">
        <f t="shared" si="1"/>
        <v>207.09000000000003</v>
      </c>
    </row>
    <row r="38" spans="1:4" x14ac:dyDescent="0.35">
      <c r="A38" t="s">
        <v>97</v>
      </c>
      <c r="B38" s="8">
        <v>1557</v>
      </c>
      <c r="C38" t="str">
        <f t="shared" si="0"/>
        <v>EMSG:You cannot change a locked branchSTRACE:deployment.pc.war//com.guidewire.pl.system.entity.proxy.EffDatedBranchProxy.handleBranchChange(EffDatedBranchProxy.java:XXXSTRACERAW:-</v>
      </c>
      <c r="D38" s="3">
        <f t="shared" si="1"/>
        <v>202.41</v>
      </c>
    </row>
    <row r="39" spans="1:4" x14ac:dyDescent="0.35">
      <c r="A39" t="s">
        <v>95</v>
      </c>
      <c r="B39" s="8">
        <v>1473</v>
      </c>
      <c r="C39" t="str">
        <f t="shared" si="0"/>
        <v>EMSG:Exception Occured while processing the updateEsignDocumentContingency Documents. Please check individual Document StatusSTRACE:com.farmers.integ.documentmgmt.updatetrigger.UpdateEsignTriggerHelper.processUpdateEsignDocumentContingency(UpdateEsignTrig</v>
      </c>
      <c r="D39" s="3">
        <f t="shared" si="1"/>
        <v>191.49</v>
      </c>
    </row>
    <row r="40" spans="1:4" x14ac:dyDescent="0.35">
      <c r="A40" t="s">
        <v>81</v>
      </c>
      <c r="B40" s="8">
        <v>1400</v>
      </c>
      <c r="C40" t="str">
        <f t="shared" si="0"/>
        <v>EMSG:Activity not found in system: XXXSTRACE:com.farmers.integ.serviceoperations.deeplaunch.servlets.DeepLaunchServlet.validateActivity(DeepLaunchServlet.gs:XXXSTRACERAW:-</v>
      </c>
      <c r="D40" s="3">
        <f t="shared" si="1"/>
        <v>182</v>
      </c>
    </row>
    <row r="41" spans="1:4" x14ac:dyDescent="0.35">
      <c r="A41" t="s">
        <v>93</v>
      </c>
      <c r="B41" s="8">
        <v>1393</v>
      </c>
      <c r="C41" t="str">
        <f t="shared" si="0"/>
        <v>EMSG:-STRACE:-STRACERAW:com.guidewire.pl.system.entity.proxy.EffDatedBranchProxy.checkBranchVersionMostRecent(EffDatedBranchProxy.java:XXX</v>
      </c>
      <c r="D41" s="3">
        <f t="shared" si="1"/>
        <v>181.09000000000003</v>
      </c>
    </row>
    <row r="42" spans="1:4" x14ac:dyDescent="0.35">
      <c r="A42" t="s">
        <v>48</v>
      </c>
      <c r="B42" s="8">
        <v>1371</v>
      </c>
      <c r="C42" t="str">
        <f t="shared" si="0"/>
        <v>EMSG:-STRACE:-STRACERAW:sun.nio.ch.SocketChannelImpl.checkConnect(Native Method</v>
      </c>
      <c r="D42" s="3">
        <f t="shared" si="1"/>
        <v>178.23</v>
      </c>
    </row>
    <row r="43" spans="1:4" x14ac:dyDescent="0.35">
      <c r="A43" t="s">
        <v>92</v>
      </c>
      <c r="B43" s="8">
        <v>1317</v>
      </c>
      <c r="C43" t="str">
        <f t="shared" si="0"/>
        <v>EMSG:Mention period is cancelledSTRACE:com.farmers.integ.framework.job.automatejob.AutomatedJob.executeJob(AutomatedJob.gs:XXXSTRACERAW:-</v>
      </c>
      <c r="D43" s="3">
        <f t="shared" si="1"/>
        <v>171.20999999999998</v>
      </c>
    </row>
    <row r="44" spans="1:4" x14ac:dyDescent="0.35">
      <c r="A44" t="s">
        <v>107</v>
      </c>
      <c r="B44" s="8">
        <v>1316</v>
      </c>
      <c r="C44" t="str">
        <f t="shared" si="0"/>
        <v>EMSG:-STRACE:-STRACERAW:gw.lob.pa.PAPolicyLineMethods.postRateProcessing_Ext(PAPolicyLineMethods.gs:XXX</v>
      </c>
      <c r="D44" s="3">
        <f t="shared" si="1"/>
        <v>171.08</v>
      </c>
    </row>
    <row r="45" spans="1:4" x14ac:dyDescent="0.35">
      <c r="A45" t="s">
        <v>140</v>
      </c>
      <c r="B45" s="8">
        <v>1297</v>
      </c>
      <c r="C45" t="str">
        <f t="shared" si="0"/>
        <v>EMSG:java.lang.NullPointerExceptionSTRACE:gw.rating.flow.domain.CalcRoutine.executeRoutine(CalcRoutine.gs:XXXSTRACERAW:-</v>
      </c>
      <c r="D45" s="3">
        <f t="shared" si="1"/>
        <v>168.60999999999999</v>
      </c>
    </row>
    <row r="46" spans="1:4" x14ac:dyDescent="0.35">
      <c r="A46" t="s">
        <v>129</v>
      </c>
      <c r="B46" s="8">
        <v>1285</v>
      </c>
      <c r="C46" t="str">
        <f t="shared" si="0"/>
        <v>EMSG:-STRACE:edge.validation.EdgeValidationContext.raiseExceptionIfProblemsFound(EdgeValidationContext.gs:XXXSTRACERAW:-</v>
      </c>
      <c r="D46" s="3">
        <f t="shared" si="1"/>
        <v>167.05</v>
      </c>
    </row>
    <row r="47" spans="1:4" x14ac:dyDescent="0.35">
      <c r="A47" t="s">
        <v>126</v>
      </c>
      <c r="B47" s="8">
        <v>1263</v>
      </c>
      <c r="C47" t="str">
        <f t="shared" si="0"/>
        <v>EMSG:-STRACE:-STRACERAW:com.guidewire.pl.cluster.internal.nbio.ClusterNbioSocketHandler.doRead(ClusterNbioSocketHandler.java:XXX</v>
      </c>
      <c r="D47" s="3">
        <f t="shared" si="1"/>
        <v>164.19</v>
      </c>
    </row>
    <row r="48" spans="1:4" x14ac:dyDescent="0.35">
      <c r="A48" t="s">
        <v>106</v>
      </c>
      <c r="B48" s="8">
        <v>1256</v>
      </c>
      <c r="C48" t="str">
        <f t="shared" si="0"/>
        <v>EMSG:LHPI Ordering Failed! - [Value required.STRACE:java.base/jdk.internal.reflect.NativeConstructorAccessorImpl.newInstanceXXX(Native MethodSTRACERAW:-</v>
      </c>
      <c r="D48" s="3">
        <f t="shared" si="1"/>
        <v>163.28</v>
      </c>
    </row>
    <row r="49" spans="1:4" x14ac:dyDescent="0.35">
      <c r="A49" t="s">
        <v>71</v>
      </c>
      <c r="B49" s="8">
        <v>1215</v>
      </c>
      <c r="C49" t="str">
        <f t="shared" si="0"/>
        <v>EMSG:-STRACE:-STRACERAW:com.guidewire.pl.system.entity.proxy.BeanProxy.checkIsInBundle(BeanProxy.java:XXX</v>
      </c>
      <c r="D49" s="3">
        <f t="shared" si="1"/>
        <v>157.95000000000002</v>
      </c>
    </row>
    <row r="50" spans="1:4" x14ac:dyDescent="0.35">
      <c r="A50" t="s">
        <v>101</v>
      </c>
      <c r="B50" s="8">
        <v>1081</v>
      </c>
      <c r="C50" t="str">
        <f t="shared" si="0"/>
        <v>EMSG:License already present for user:XXXSTRACE:com.farmers.integ.security.community.ace.agent.license.AgentLicenseHelper.processAgentLicenseInfo(AgentLicenseHelper.gs:XXXSTRACERAW:-</v>
      </c>
      <c r="D50" s="3">
        <f t="shared" si="1"/>
        <v>140.53</v>
      </c>
    </row>
    <row r="51" spans="1:4" x14ac:dyDescent="0.35">
      <c r="A51" t="s">
        <v>125</v>
      </c>
      <c r="B51" s="8">
        <v>1072</v>
      </c>
      <c r="C51" t="str">
        <f t="shared" si="0"/>
        <v>EMSG:This risk is ineligible for Farmers due to excessive accidents and/or violations. You may submit an application to Bristol West on request by selecting the Bridge to Bristol West button to create a quote in the Bristol West system.STRACE:gw.job.Quote</v>
      </c>
      <c r="D51" s="3">
        <f t="shared" si="1"/>
        <v>139.36000000000001</v>
      </c>
    </row>
    <row r="52" spans="1:4" ht="29" x14ac:dyDescent="0.35">
      <c r="A52" s="4" t="s">
        <v>595</v>
      </c>
      <c r="B52" s="8">
        <v>1067</v>
      </c>
      <c r="C52" t="str">
        <f t="shared" si="0"/>
        <v>EMSG:Could not find a policy with number: XXX that is effective on the given date: XXXXXXXXXSTRACE:is effective on the given date: XXXXXXXXX
	at com.farmers.integ.framework.job.automatejob.AutomatedJob.initialize(AutomatedJob.gs:XXXSTRACERAW:-</v>
      </c>
      <c r="D52" s="3">
        <f t="shared" si="1"/>
        <v>138.71</v>
      </c>
    </row>
    <row r="53" spans="1:4" x14ac:dyDescent="0.35">
      <c r="A53" t="s">
        <v>77</v>
      </c>
      <c r="B53" s="8">
        <v>1054</v>
      </c>
      <c r="C53" t="str">
        <f t="shared" si="0"/>
        <v>EMSG:java.lang.RuntimeException: java.util.concurrent.TimeoutExceptionSTRACE:deployment.pc.war//gw.internal.xml.ws.WsdlPortImpl.invoke(WsdlPortImpl.java:XXXSTRACERAW:-</v>
      </c>
      <c r="D53" s="3">
        <f t="shared" si="1"/>
        <v>137.02000000000001</v>
      </c>
    </row>
    <row r="54" spans="1:4" x14ac:dyDescent="0.35">
      <c r="A54" t="s">
        <v>968</v>
      </c>
      <c r="B54" s="8">
        <v>1038</v>
      </c>
      <c r="C54" t="str">
        <f t="shared" si="0"/>
        <v>EMSG:PolicyCenter Quote is in expired statusSTRACE:com.farmers.config.commonutil.QuoteUtil.handlePolicyPeriodStatus(QuoteUtil.gs:XXXSTRACERAW:-</v>
      </c>
      <c r="D54" s="3">
        <f t="shared" si="1"/>
        <v>134.94</v>
      </c>
    </row>
    <row r="55" spans="1:4" x14ac:dyDescent="0.35">
      <c r="A55" t="s">
        <v>153</v>
      </c>
      <c r="B55" s="8">
        <v>1016</v>
      </c>
      <c r="C55" t="str">
        <f t="shared" si="0"/>
        <v>EMSG:Found more than one target of the property XXXSTRACE:deployment.pc.war//com.guidewire.pl.system.entity.proxy.AbstractKeyableBeanProxy.getOneToOneForeignKeyId(AbstractKeyableBeanProxy.java:XXXSTRACERAW:-</v>
      </c>
      <c r="D55" s="3">
        <f t="shared" si="1"/>
        <v>132.07999999999998</v>
      </c>
    </row>
    <row r="56" spans="1:4" x14ac:dyDescent="0.35">
      <c r="A56" t="s">
        <v>206</v>
      </c>
      <c r="B56">
        <v>999</v>
      </c>
      <c r="C56" t="str">
        <f t="shared" si="0"/>
        <v>EMSG:Invalid ECN on mpdoder for policy XXXSTRACE:com.farmers.integ.distribution.multipolicylinediscount.batch.util.MPDOutboundBatchHelper.buildMPDOrderPayload(MPDOutboundBatchHelper.gs:XXXSTRACERAW:-</v>
      </c>
      <c r="D56" s="3">
        <f t="shared" si="1"/>
        <v>129.87</v>
      </c>
    </row>
    <row r="57" spans="1:4" x14ac:dyDescent="0.35">
      <c r="A57" t="s">
        <v>94</v>
      </c>
      <c r="B57">
        <v>988</v>
      </c>
      <c r="C57" t="str">
        <f t="shared" si="0"/>
        <v>EMSG:-STRACE:-STRACERAW:com.farmers.config.quoteandbind.validatequote.AbstractValidateQuoteHandler.validate(AbstractValidateQuoteHandler.gs:XXX</v>
      </c>
      <c r="D57" s="3">
        <f t="shared" si="1"/>
        <v>128.44</v>
      </c>
    </row>
    <row r="58" spans="1:4" x14ac:dyDescent="0.35">
      <c r="A58" t="s">
        <v>79</v>
      </c>
      <c r="B58">
        <v>961</v>
      </c>
      <c r="C58" t="str">
        <f t="shared" si="0"/>
        <v>EMSG:Failed to close the connectionSTRACE:deployment.pc.war//com.guidewire.pl.system.transaction.ConnectionHandler.executeDatabaseOperationForCloseConnection(ConnectionHandler.java:XXXSTRACERAW:-</v>
      </c>
      <c r="D58" s="3">
        <f t="shared" si="1"/>
        <v>124.92999999999999</v>
      </c>
    </row>
    <row r="59" spans="1:4" x14ac:dyDescent="0.35">
      <c r="A59" t="s">
        <v>78</v>
      </c>
      <c r="B59">
        <v>947</v>
      </c>
      <c r="C59" t="str">
        <f t="shared" si="0"/>
        <v>EMSG:-STRACE:-STRACERAW:com.guidewire.pl.system.transaction.ConnectionHandler.executeDatabaseOperationForCloseConnection(ConnectionHandler.java:XXX</v>
      </c>
      <c r="D59" s="3">
        <f t="shared" si="1"/>
        <v>123.11000000000001</v>
      </c>
    </row>
    <row r="60" spans="1:4" x14ac:dyDescent="0.35">
      <c r="A60" t="s">
        <v>104</v>
      </c>
      <c r="B60">
        <v>920</v>
      </c>
      <c r="C60" t="str">
        <f t="shared" si="0"/>
        <v>EMSG:-STRACE:-STRACERAW:edge.jsonrpc.endpoint.InvokableMethod.call(InvokableMethod.gs:XXX</v>
      </c>
      <c r="D60" s="3">
        <f t="shared" si="1"/>
        <v>119.60000000000001</v>
      </c>
    </row>
    <row r="61" spans="1:4" x14ac:dyDescent="0.35">
      <c r="A61" t="s">
        <v>105</v>
      </c>
      <c r="B61">
        <v>918</v>
      </c>
      <c r="C61" t="str">
        <f t="shared" si="0"/>
        <v>EMSG:-STRACE:-STRACERAW:edge.jsonrpc.endpoint.RpcMethod.invoke(RpcMethod.gs:XXX</v>
      </c>
      <c r="D61" s="3">
        <f t="shared" si="1"/>
        <v>119.34</v>
      </c>
    </row>
    <row r="62" spans="1:4" x14ac:dyDescent="0.35">
      <c r="A62" t="s">
        <v>123</v>
      </c>
      <c r="B62">
        <v>896</v>
      </c>
      <c r="C62" t="str">
        <f t="shared" si="0"/>
        <v>EMSG:-STRACE:-STRACERAW:com.farmers.contingencies.helper.ContingencyUtil.getPDFResponseList(ContingencyUtil.gs:XXX</v>
      </c>
      <c r="D62" s="3">
        <f t="shared" si="1"/>
        <v>116.47999999999999</v>
      </c>
    </row>
    <row r="63" spans="1:4" x14ac:dyDescent="0.35">
      <c r="A63" t="s">
        <v>90</v>
      </c>
      <c r="B63">
        <v>892</v>
      </c>
      <c r="C63" t="str">
        <f t="shared" si="0"/>
        <v>EMSG:-STRACE:-STRACERAW:com.guidewire.pl.web.navigation.Location.commit(Location.java:XXX</v>
      </c>
      <c r="D63" s="3">
        <f t="shared" si="1"/>
        <v>115.96000000000001</v>
      </c>
    </row>
    <row r="64" spans="1:4" x14ac:dyDescent="0.35">
      <c r="A64" t="s">
        <v>167</v>
      </c>
      <c r="B64">
        <v>868</v>
      </c>
      <c r="C64" t="str">
        <f t="shared" si="0"/>
        <v>EMSG:-STRACE:-STRACERAW:com.guidewire.pl.web.controller.lifecycle.LifecycleRequestHandler.handleException(LifecycleRequestHandler.java:XXX</v>
      </c>
      <c r="D64" s="3">
        <f t="shared" si="1"/>
        <v>112.84</v>
      </c>
    </row>
    <row r="65" spans="1:4" x14ac:dyDescent="0.35">
      <c r="A65" t="s">
        <v>210</v>
      </c>
      <c r="B65">
        <v>868</v>
      </c>
      <c r="C65" t="str">
        <f t="shared" si="0"/>
        <v>EMSG:Validate mortgagee information and retry.  Mortgagee code creation was not successful.STRACE:com.farmers.config.ho.thirdparty.process.HOMortgageeProcess.displayMortgageServiceException(HOMortgageeProcess.gs:XXXSTRACERAW:-</v>
      </c>
      <c r="D65" s="3">
        <f t="shared" si="1"/>
        <v>112.84</v>
      </c>
    </row>
    <row r="66" spans="1:4" x14ac:dyDescent="0.35">
      <c r="A66" t="s">
        <v>148</v>
      </c>
      <c r="B66">
        <v>866</v>
      </c>
      <c r="C66" t="str">
        <f t="shared" ref="C66:C129" si="2">LEFT(A66,255)</f>
        <v>EMSG:-STRACE:-STRACERAW:com.guidewire.pl.system.database.metadata.TableMetadataFactoryImpl.getTableMetadata(TableMetadataFactoryImpl.java:XXX</v>
      </c>
      <c r="D66" s="3">
        <f t="shared" ref="D66:D129" si="3">IF(AND((B66/10)&lt;1,(B66/10)&gt;0),1,(B66/10)*130%)</f>
        <v>112.58</v>
      </c>
    </row>
    <row r="67" spans="1:4" x14ac:dyDescent="0.35">
      <c r="A67" t="s">
        <v>96</v>
      </c>
      <c r="B67">
        <v>846</v>
      </c>
      <c r="C67" t="str">
        <f t="shared" si="2"/>
        <v>EMSG:-STRACE:gw.job.QuoteProcess.requestQuote(QuoteProcess.gs:XXXSTRACERAW:-</v>
      </c>
      <c r="D67" s="3">
        <f t="shared" si="3"/>
        <v>109.97999999999999</v>
      </c>
    </row>
    <row r="68" spans="1:4" x14ac:dyDescent="0.35">
      <c r="A68" t="s">
        <v>99</v>
      </c>
      <c r="B68">
        <v>822</v>
      </c>
      <c r="C68" t="str">
        <f t="shared" si="2"/>
        <v>EMSG:Create Note User not found in PolicyCenter: XXXSTRACE:edge.capabilities.gateway.note.DefaultNotePlugin.createNoteForPolicy(DefaultNotePlugin.gs:XXXSTRACERAW:-</v>
      </c>
      <c r="D68" s="3">
        <f t="shared" si="3"/>
        <v>106.86000000000001</v>
      </c>
    </row>
    <row r="69" spans="1:4" ht="29" x14ac:dyDescent="0.35">
      <c r="A69" s="4" t="s">
        <v>607</v>
      </c>
      <c r="B69">
        <v>813</v>
      </c>
      <c r="C69" t="str">
        <f t="shared" si="2"/>
        <v>EMSG:The object you are trying to update was XXXSTRACE:XXX/XXX/XXX XXX:XXX AM. Please cancel and retry your change.
	at edge.capabilities.quote.submission.GatewayQuoteHandler.handleOrThrowException(GatewayQuoteHandler.gs:XXXSTRACERAW:-</v>
      </c>
      <c r="D69" s="3">
        <f t="shared" si="3"/>
        <v>105.69</v>
      </c>
    </row>
    <row r="70" spans="1:4" x14ac:dyDescent="0.35">
      <c r="A70" t="s">
        <v>128</v>
      </c>
      <c r="B70">
        <v>807</v>
      </c>
      <c r="C70" t="str">
        <f t="shared" si="2"/>
        <v>EMSG:-STRACE:-STRACERAW:gw.pcf.job.QuoteUIHelper.validateFlexLiabLimits(QuoteUIHelper.gs:XXX</v>
      </c>
      <c r="D70" s="3">
        <f t="shared" si="3"/>
        <v>104.91000000000001</v>
      </c>
    </row>
    <row r="71" spans="1:4" x14ac:dyDescent="0.35">
      <c r="A71" t="s">
        <v>103</v>
      </c>
      <c r="B71">
        <v>789</v>
      </c>
      <c r="C71" t="str">
        <f t="shared" si="2"/>
        <v>EMSG:Cannot calculate an age without a date of birth.STRACE:gw.contact.PolicyContactRoleEnhancement.AgeAtTermStartDate(PolicyContactRoleEnhancement.gsx:XXXSTRACERAW:-</v>
      </c>
      <c r="D71" s="3">
        <f t="shared" si="3"/>
        <v>102.57000000000001</v>
      </c>
    </row>
    <row r="72" spans="1:4" x14ac:dyDescent="0.35">
      <c r="A72" t="s">
        <v>108</v>
      </c>
      <c r="B72">
        <v>736</v>
      </c>
      <c r="C72" t="str">
        <f t="shared" si="2"/>
        <v>EMSG:Policy is ineligible for Farmers Auto.STRACE:gw.lob.pa.PAPolicyLineMethods.postRateProcessing_Ext(PAPolicyLineMethods.gs:XXXSTRACERAW:-</v>
      </c>
      <c r="D72" s="3">
        <f t="shared" si="3"/>
        <v>95.679999999999993</v>
      </c>
    </row>
    <row r="73" spans="1:4" x14ac:dyDescent="0.35">
      <c r="A73" t="s">
        <v>600</v>
      </c>
      <c r="B73">
        <v>736</v>
      </c>
      <c r="C73" t="str">
        <f t="shared" si="2"/>
        <v>EMSG:PolicyCenter Quote is in withdrawn statusSTRACE:com.farmers.config.commonutil.QuoteUtil.handlePolicyPeriodStatus(QuoteUtil.gs:XXXSTRACERAW:-</v>
      </c>
      <c r="D73" s="3">
        <f t="shared" si="3"/>
        <v>95.679999999999993</v>
      </c>
    </row>
    <row r="74" spans="1:4" x14ac:dyDescent="0.35">
      <c r="A74" t="s">
        <v>155</v>
      </c>
      <c r="B74">
        <v>697</v>
      </c>
      <c r="C74" t="str">
        <f t="shared" si="2"/>
        <v>EMSG:-STRACE:-STRACERAW:gw.contact.PolicyContactRoleEnhancement.AgeAtTermStartDate(PolicyContactRoleEnhancement.gsx:XXX</v>
      </c>
      <c r="D74" s="3">
        <f t="shared" si="3"/>
        <v>90.610000000000014</v>
      </c>
    </row>
    <row r="75" spans="1:4" ht="43.5" x14ac:dyDescent="0.35">
      <c r="A75" s="4" t="s">
        <v>596</v>
      </c>
      <c r="B75">
        <v>687</v>
      </c>
      <c r="C75" t="str">
        <f t="shared" si="2"/>
        <v>EMSG:Select XXX as the Primary Driver on at least one vehicle. Since the number of vehicles is greater than the number of driversSTRACE:least one vehicle. Since the number of vehicles is greater than the number of drivers, each driver must be a Primary Dr</v>
      </c>
      <c r="D75" s="3">
        <f t="shared" si="3"/>
        <v>89.31</v>
      </c>
    </row>
    <row r="76" spans="1:4" x14ac:dyDescent="0.35">
      <c r="A76" t="s">
        <v>714</v>
      </c>
      <c r="B76">
        <v>685</v>
      </c>
      <c r="C76" t="str">
        <f t="shared" si="2"/>
        <v>EMSG:, AOR=XXXSTRACE:com.farmers.config.pa.adpf.PIADPFReportHelper.orderReportAndFlood(PIADPFReportHelper.gs:XXXSTRACERAW:-</v>
      </c>
      <c r="D76" s="3">
        <f t="shared" si="3"/>
        <v>89.05</v>
      </c>
    </row>
    <row r="77" spans="1:4" x14ac:dyDescent="0.35">
      <c r="A77" t="s">
        <v>161</v>
      </c>
      <c r="B77">
        <v>669</v>
      </c>
      <c r="C77" t="str">
        <f t="shared" si="2"/>
        <v>EMSG:-STRACE:-STRACERAW:deployment.pc.war//com.guidewire.pl.system.bundle.EntityBundleImpl.commitAndGetBeans(EntityBundleImpl.java:XXX</v>
      </c>
      <c r="D77" s="3">
        <f t="shared" si="3"/>
        <v>86.970000000000013</v>
      </c>
    </row>
    <row r="78" spans="1:4" x14ac:dyDescent="0.35">
      <c r="A78" t="s">
        <v>102</v>
      </c>
      <c r="B78">
        <v>661</v>
      </c>
      <c r="C78" t="str">
        <f t="shared" si="2"/>
        <v>EMSG:, AOR=XXXSTRACE:com.farmers.integ.downstream.util.DownstreamHelper.handleLuwStatusIssue(DownstreamHelper.gs:XXXSTRACERAW:-</v>
      </c>
      <c r="D78" s="3">
        <f t="shared" si="3"/>
        <v>85.929999999999993</v>
      </c>
    </row>
    <row r="79" spans="1:4" x14ac:dyDescent="0.35">
      <c r="A79" t="s">
        <v>145</v>
      </c>
      <c r="B79">
        <v>646</v>
      </c>
      <c r="C79" t="str">
        <f t="shared" si="2"/>
        <v>EMSG:Database bean version conflict : XXXSTRACE:com.farmers.integ.framework.job.automatejob.AutomatedJob.executeJob(AutomatedJob.gs:XXXSTRACERAW:-</v>
      </c>
      <c r="D79" s="3">
        <f t="shared" si="3"/>
        <v>83.97999999999999</v>
      </c>
    </row>
    <row r="80" spans="1:4" x14ac:dyDescent="0.35">
      <c r="A80" t="s">
        <v>133</v>
      </c>
      <c r="B80">
        <v>642</v>
      </c>
      <c r="C80" t="str">
        <f t="shared" si="2"/>
        <v>EMSG:ConcurrentDataChangeException XXXSTRACE:java.base/java.util.concurrent.FutureTask.report(FutureTask.java:XXXSTRACERAW:-</v>
      </c>
      <c r="D80" s="3">
        <f t="shared" si="3"/>
        <v>83.460000000000008</v>
      </c>
    </row>
    <row r="81" spans="1:4" x14ac:dyDescent="0.35">
      <c r="A81" t="s">
        <v>122</v>
      </c>
      <c r="B81">
        <v>642</v>
      </c>
      <c r="C81" t="str">
        <f t="shared" si="2"/>
        <v>EMSG:Invalid QuoteSTRACE:gw.job.sxs.SideBySideProcess$ParallelQuoteCallable.call(SideBySideProcess.gs:XXXSTRACERAW:-</v>
      </c>
      <c r="D81" s="3">
        <f t="shared" si="3"/>
        <v>83.460000000000008</v>
      </c>
    </row>
    <row r="82" spans="1:4" x14ac:dyDescent="0.35">
      <c r="A82" t="s">
        <v>136</v>
      </c>
      <c r="B82">
        <v>613</v>
      </c>
      <c r="C82" t="str">
        <f t="shared" si="2"/>
        <v>EMSG:, AOR=XXXSTRACE:deployment.pc.war//com.guidewire.pl.system.entity.proxy.BeanProxy.loadForeignKeyBean(BeanProxy.java:XXXSTRACERAW:-</v>
      </c>
      <c r="D82" s="3">
        <f t="shared" si="3"/>
        <v>79.69</v>
      </c>
    </row>
    <row r="83" spans="1:4" x14ac:dyDescent="0.35">
      <c r="A83" t="s">
        <v>115</v>
      </c>
      <c r="B83">
        <v>599</v>
      </c>
      <c r="C83" t="str">
        <f t="shared" si="2"/>
        <v>EMSG:The applicant has past due Earned Premium. EP must be collected prior to quoting Billing Account# XXXSTRACE:com.farmers.config.common.mdm.MDMProcess.retrieveEarnedPremiumForContacts(MDMProcess.gs:XXXSTRACERAW:-</v>
      </c>
      <c r="D83" s="3">
        <f t="shared" si="3"/>
        <v>77.87</v>
      </c>
    </row>
    <row r="84" spans="1:4" x14ac:dyDescent="0.35">
      <c r="A84" t="s">
        <v>138</v>
      </c>
      <c r="B84">
        <v>597</v>
      </c>
      <c r="C84" t="str">
        <f t="shared" si="2"/>
        <v>EMSG:-STRACE:-STRACERAW:edge.validation.EdgeValidationContext.raiseExceptionIfProblemsFound(EdgeValidationContext.gs:XXX</v>
      </c>
      <c r="D84" s="3">
        <f t="shared" si="3"/>
        <v>77.61</v>
      </c>
    </row>
    <row r="85" spans="1:4" x14ac:dyDescent="0.35">
      <c r="A85" t="s">
        <v>724</v>
      </c>
      <c r="B85">
        <v>595</v>
      </c>
      <c r="C85" t="str">
        <f t="shared" si="2"/>
        <v>EMSG:, AOR=XXXSTRACE:gw.lob.pa.PALineDriversValidator.validateDriverDPSScore(PALineDriversValidator.gs:XXXSTRACERAW:-</v>
      </c>
      <c r="D85" s="3">
        <f t="shared" si="3"/>
        <v>77.350000000000009</v>
      </c>
    </row>
    <row r="86" spans="1:4" x14ac:dyDescent="0.35">
      <c r="A86" t="s">
        <v>725</v>
      </c>
      <c r="B86">
        <v>595</v>
      </c>
      <c r="C86" t="str">
        <f t="shared" si="2"/>
        <v>EMSG:-STRACE:gw.lob.pa.PALineDriversValidator.validateDriverDPSScore(PALineDriversValidator.gs:XXXSTRACERAW:-</v>
      </c>
      <c r="D86" s="3">
        <f t="shared" si="3"/>
        <v>77.350000000000009</v>
      </c>
    </row>
    <row r="87" spans="1:4" x14ac:dyDescent="0.35">
      <c r="A87" t="s">
        <v>168</v>
      </c>
      <c r="B87">
        <v>578</v>
      </c>
      <c r="C87" t="str">
        <f t="shared" si="2"/>
        <v>EMSG:Correct VIN on XXX.  VIN failed verification.;STRACE:edge.capabilities.quote.submission.quoting.util.SubmissionUnderwritingIssuesUtil.checkVerifyRateExceptions(SubmissionUnderwritingIssuesUtil.gs:XXXSTRACERAW:-</v>
      </c>
      <c r="D87" s="3">
        <f t="shared" si="3"/>
        <v>75.14</v>
      </c>
    </row>
    <row r="88" spans="1:4" x14ac:dyDescent="0.35">
      <c r="A88" t="s">
        <v>177</v>
      </c>
      <c r="B88">
        <v>572</v>
      </c>
      <c r="C88" t="str">
        <f t="shared" si="2"/>
        <v>EMSG:Unable to set property '_TransactionRequestDt' of 'com.farmers.integ.distribution.lms.wsc.uploadcustomerwsc.ecms_quote_xsd.types.complex.HomePolicyQuoteInqRq_Type instance'STRACE:deployment.pc.war//gw.internal.xml.XmlSchemaProperty.setValue(XmlSchema</v>
      </c>
      <c r="D88" s="3">
        <f t="shared" si="3"/>
        <v>74.36</v>
      </c>
    </row>
    <row r="89" spans="1:4" x14ac:dyDescent="0.35">
      <c r="A89" t="s">
        <v>146</v>
      </c>
      <c r="B89">
        <v>548</v>
      </c>
      <c r="C89" t="str">
        <f t="shared" si="2"/>
        <v>EMSG:The client is ineligible for an umbrella policy because the allowable amount of driving activity has been exceeded.STRACE:gw.pcf.job.QuoteUIHelper.validateFlexLiabLimits(QuoteUIHelper.gs:XXXSTRACERAW:-</v>
      </c>
      <c r="D89" s="3">
        <f t="shared" si="3"/>
        <v>71.239999999999995</v>
      </c>
    </row>
    <row r="90" spans="1:4" x14ac:dyDescent="0.35">
      <c r="A90" t="s">
        <v>163</v>
      </c>
      <c r="B90">
        <v>547</v>
      </c>
      <c r="C90" t="str">
        <f t="shared" si="2"/>
        <v>EMSG:-STRACE:-STRACERAW:java.util.concurrent.FutureTask.report(FutureTask.java:XXX</v>
      </c>
      <c r="D90" s="3">
        <f t="shared" si="3"/>
        <v>71.11</v>
      </c>
    </row>
    <row r="91" spans="1:4" x14ac:dyDescent="0.35">
      <c r="A91" t="s">
        <v>110</v>
      </c>
      <c r="B91">
        <v>528</v>
      </c>
      <c r="C91" t="str">
        <f t="shared" si="2"/>
        <v>EMSG:Auto/Home-Life discount has been removedSTRACE:com.farmers.config.quoteandbind.validatequote.AbstractValidateQuoteHandler.validate(AbstractValidateQuoteHandler.gs:XXXSTRACERAW:-</v>
      </c>
      <c r="D91" s="3">
        <f t="shared" si="3"/>
        <v>68.64</v>
      </c>
    </row>
    <row r="92" spans="1:4" x14ac:dyDescent="0.35">
      <c r="A92" t="s">
        <v>141</v>
      </c>
      <c r="B92">
        <v>508</v>
      </c>
      <c r="C92" t="str">
        <f t="shared" si="2"/>
        <v>EMSG:-STRACE:-STRACERAW:gw.job.QuoteProcess.requestQuote(QuoteProcess.gs:XXX</v>
      </c>
      <c r="D92" s="3">
        <f t="shared" si="3"/>
        <v>66.039999999999992</v>
      </c>
    </row>
    <row r="93" spans="1:4" x14ac:dyDescent="0.35">
      <c r="A93" t="s">
        <v>132</v>
      </c>
      <c r="B93">
        <v>508</v>
      </c>
      <c r="C93" t="str">
        <f t="shared" si="2"/>
        <v>EMSG:error:entity.xxxUI-ValidationERRORMessagexxxSTRACE:com.farmers.integ.framework.job.automatejob.AutomatedJob.executeJob(AutomatedJob.gs:XXXSTRACERAW:-</v>
      </c>
      <c r="D93" s="3">
        <f t="shared" si="3"/>
        <v>66.039999999999992</v>
      </c>
    </row>
    <row r="94" spans="1:4" x14ac:dyDescent="0.35">
      <c r="A94" t="s">
        <v>117</v>
      </c>
      <c r="B94">
        <v>508</v>
      </c>
      <c r="C94" t="str">
        <f t="shared" si="2"/>
        <v>EMSG:java.lang.IllegalStateException: Attempt to access bean of type "PolicyIIDADPFPNIDetl_Ext" id=XXX with a null bundleSTRACE:deployment.pc.war//com.guidewire.pl.web.widget.Widget.getVisibleValue(Widget.java:XXXSTRACERAW:-</v>
      </c>
      <c r="D94" s="3">
        <f t="shared" si="3"/>
        <v>66.039999999999992</v>
      </c>
    </row>
    <row r="95" spans="1:4" x14ac:dyDescent="0.35">
      <c r="A95" t="s">
        <v>969</v>
      </c>
      <c r="B95">
        <v>493</v>
      </c>
      <c r="C95" t="str">
        <f t="shared" si="2"/>
        <v>EMSG:Accident Forgiveness coverage cannot be added to this quote. Please remove it and re-rateSTRACE:edge.capabilities.policycommon.coverage.util.CoverageUtil.updateFrom XXXSTRACERAW:-</v>
      </c>
      <c r="D95" s="3">
        <f t="shared" si="3"/>
        <v>64.09</v>
      </c>
    </row>
    <row r="96" spans="1:4" x14ac:dyDescent="0.35">
      <c r="A96" t="s">
        <v>109</v>
      </c>
      <c r="B96">
        <v>486</v>
      </c>
      <c r="C96" t="str">
        <f t="shared" si="2"/>
        <v>EMSG:, AOR=XXXSTRACE:-STRACERAW:(XXX</v>
      </c>
      <c r="D96" s="3">
        <f t="shared" si="3"/>
        <v>63.180000000000007</v>
      </c>
    </row>
    <row r="97" spans="1:4" x14ac:dyDescent="0.35">
      <c r="A97" t="s">
        <v>872</v>
      </c>
      <c r="B97">
        <v>481</v>
      </c>
      <c r="C97" t="str">
        <f t="shared" si="2"/>
        <v>EMSG:TieringResult_Ext:XXX deleted from databaseSTRACE:deployment.pc.war//com.guidewire.pl.system.database.entitywriter.DatabaseEntityWriterImpl.writeSingleBeanUpdate(DatabaseEntityWriterImpl.java:XXXSTRACERAW:-</v>
      </c>
      <c r="D97" s="3">
        <f t="shared" si="3"/>
        <v>62.53</v>
      </c>
    </row>
    <row r="98" spans="1:4" x14ac:dyDescent="0.35">
      <c r="A98" t="s">
        <v>305</v>
      </c>
      <c r="B98">
        <v>477</v>
      </c>
      <c r="C98" t="str">
        <f t="shared" si="2"/>
        <v>EMSG:No message configured: XXXSTRACE:gw.api.extension.PCExtensionInterfacesMapper$block_XXX_.invoke(PCExtensionInterfacesMapper.gs:XXXSTRACERAW:-</v>
      </c>
      <c r="D98" s="3">
        <f t="shared" si="3"/>
        <v>62.010000000000005</v>
      </c>
    </row>
    <row r="99" spans="1:4" x14ac:dyDescent="0.35">
      <c r="A99" t="s">
        <v>119</v>
      </c>
      <c r="B99">
        <v>474</v>
      </c>
      <c r="C99" t="str">
        <f t="shared" si="2"/>
        <v>EMSG:Failed Login Exception: Couldn't authenticate userSTRACE:deployment.pc.war//gw.api.webservice.exception.LoginException.FailedLoginException(LoginException.java:XXXSTRACERAW:-</v>
      </c>
      <c r="D99" s="3">
        <f t="shared" si="3"/>
        <v>61.62</v>
      </c>
    </row>
    <row r="100" spans="1:4" x14ac:dyDescent="0.35">
      <c r="A100" t="s">
        <v>723</v>
      </c>
      <c r="B100">
        <v>464</v>
      </c>
      <c r="C100" t="str">
        <f t="shared" si="2"/>
        <v>EMSG:Try again later. Equifax credit reporting is unavailable.STRACE:com.farmers.config.common.credit.pa.PACreditScoreProcess.createEnterpriseCreditReportData(PACreditScoreProcess.gs:XXXSTRACERAW:-</v>
      </c>
      <c r="D100" s="3">
        <f t="shared" si="3"/>
        <v>60.32</v>
      </c>
    </row>
    <row r="101" spans="1:4" x14ac:dyDescent="0.35">
      <c r="A101" t="s">
        <v>121</v>
      </c>
      <c r="B101">
        <v>461</v>
      </c>
      <c r="C101" t="str">
        <f t="shared" si="2"/>
        <v>EMSG:-STRACE:-STRACERAW:com.guidewire.pl.web.widget.Widget.getVisibleValue(Widget.java:XXX</v>
      </c>
      <c r="D101" s="3">
        <f t="shared" si="3"/>
        <v>59.930000000000007</v>
      </c>
    </row>
    <row r="102" spans="1:4" x14ac:dyDescent="0.35">
      <c r="A102" t="s">
        <v>131</v>
      </c>
      <c r="B102">
        <v>449</v>
      </c>
      <c r="C102" t="str">
        <f t="shared" si="2"/>
        <v>EMSG:Policy is ineligible for Farmers Auto due to driver(s) with unacceptable license status.STRACE:com.farmers.config.pa.validator.BrightlineValidator.validateQuoteBrightlineRules(BrightlineValidator.gs:XXXSTRACERAW:-</v>
      </c>
      <c r="D102" s="3">
        <f t="shared" si="3"/>
        <v>58.37</v>
      </c>
    </row>
    <row r="103" spans="1:4" x14ac:dyDescent="0.35">
      <c r="A103" t="s">
        <v>46</v>
      </c>
      <c r="B103">
        <v>448</v>
      </c>
      <c r="C103" t="str">
        <f t="shared" si="2"/>
        <v>EMSG:-STRACE:-STRACERAW:[Source: (String</v>
      </c>
      <c r="D103" s="3">
        <f t="shared" si="3"/>
        <v>58.239999999999995</v>
      </c>
    </row>
    <row r="104" spans="1:4" x14ac:dyDescent="0.35">
      <c r="A104" t="s">
        <v>720</v>
      </c>
      <c r="B104">
        <v>446</v>
      </c>
      <c r="C104" t="str">
        <f t="shared" si="2"/>
        <v>EMSG:Policy is ineligible for Farmers Auto.STRACE:edge.capabilities.quote.submission.quoting.util.SubmissionUnderwritingIssuesUtil.checkSideBySideProcessExceptions(SubmissionUnderwritingIssuesUtil.gs:XXXSTRACERAW:-</v>
      </c>
      <c r="D104" s="3">
        <f t="shared" si="3"/>
        <v>57.980000000000004</v>
      </c>
    </row>
    <row r="105" spans="1:4" x14ac:dyDescent="0.35">
      <c r="A105" t="s">
        <v>406</v>
      </c>
      <c r="B105">
        <v>438</v>
      </c>
      <c r="C105" t="str">
        <f t="shared" si="2"/>
        <v>EMSG:-STRACE:-STRACERAW:sun.net.www.protocol.http.HttpURLConnection.getInputStreamXXX(HttpURLConnection.java:XXX</v>
      </c>
      <c r="D105" s="3">
        <f t="shared" si="3"/>
        <v>56.94</v>
      </c>
    </row>
    <row r="106" spans="1:4" x14ac:dyDescent="0.35">
      <c r="A106" t="s">
        <v>111</v>
      </c>
      <c r="B106">
        <v>436</v>
      </c>
      <c r="C106" t="str">
        <f t="shared" si="2"/>
        <v>EMSG:java.lang.NullPointerExceptionSTRACE:com.farmers.integ.framework.service.rest.RestServiceAdapter.invokeService(RestServiceAdapter.gs:XXXSTRACERAW:-</v>
      </c>
      <c r="D106" s="3">
        <f t="shared" si="3"/>
        <v>56.680000000000007</v>
      </c>
    </row>
    <row r="107" spans="1:4" x14ac:dyDescent="0.35">
      <c r="A107" t="s">
        <v>966</v>
      </c>
      <c r="B107">
        <v>433</v>
      </c>
      <c r="C107" t="str">
        <f t="shared" si="2"/>
        <v>EMSG:-STRACE:-STRACERAW:org.joda.time.DateTimeUtils.getChronology(DateTimeUtils.java:XXX</v>
      </c>
      <c r="D107" s="3">
        <f t="shared" si="3"/>
        <v>56.29</v>
      </c>
    </row>
    <row r="108" spans="1:4" ht="29" x14ac:dyDescent="0.35">
      <c r="A108" s="4" t="s">
        <v>608</v>
      </c>
      <c r="B108">
        <v>405</v>
      </c>
      <c r="C108" t="str">
        <f t="shared" si="2"/>
        <v>EMSG:The object you are trying to update was XXXSTRACE:XXX/XXX/XXX XXX:XXX PM. Please cancel and retry your change.
	at edge.capabilities.quote.submission.GatewayQuoteHandler.handleOrThrowException(GatewayQuoteHandler.gs:XXXSTRACERAW:-</v>
      </c>
      <c r="D108" s="3">
        <f t="shared" si="3"/>
        <v>52.65</v>
      </c>
    </row>
    <row r="109" spans="1:4" x14ac:dyDescent="0.35">
      <c r="A109" t="s">
        <v>152</v>
      </c>
      <c r="B109">
        <v>392</v>
      </c>
      <c r="C109" t="str">
        <f t="shared" si="2"/>
        <v>EMSG:-STRACE:-STRACERAW:com.guidewire.pl.system.entity.proxy.EffDatedBaseProxy.getSliceUntyped(EffDatedBaseProxy.java:XXX</v>
      </c>
      <c r="D109" s="3">
        <f t="shared" si="3"/>
        <v>50.960000000000008</v>
      </c>
    </row>
    <row r="110" spans="1:4" x14ac:dyDescent="0.35">
      <c r="A110" t="s">
        <v>143</v>
      </c>
      <c r="B110">
        <v>388</v>
      </c>
      <c r="C110" t="str">
        <f t="shared" si="2"/>
        <v>EMSG:-STRACE:-STRACERAW:com.guidewire.pl.web.adaptor.render.WidgetRendererClassReflection$ConstructorFactory.createRenderer(WidgetRendererClassReflection.java:XXX</v>
      </c>
      <c r="D110" s="3">
        <f t="shared" si="3"/>
        <v>50.44</v>
      </c>
    </row>
    <row r="111" spans="1:4" x14ac:dyDescent="0.35">
      <c r="A111" t="s">
        <v>144</v>
      </c>
      <c r="B111">
        <v>388</v>
      </c>
      <c r="C111" t="str">
        <f t="shared" si="2"/>
        <v>EMSG:-STRACE:-STRACERAW:jdk.internal.reflect.GeneratedConstructorAccessorXXX.newInstance(Unknown Source</v>
      </c>
      <c r="D111" s="3">
        <f t="shared" si="3"/>
        <v>50.44</v>
      </c>
    </row>
    <row r="112" spans="1:4" x14ac:dyDescent="0.35">
      <c r="A112" t="s">
        <v>135</v>
      </c>
      <c r="B112">
        <v>380</v>
      </c>
      <c r="C112" t="str">
        <f t="shared" si="2"/>
        <v>EMSG:-STRACE:-STRACERAW:com.guidewire.pl.web.navigation.Location.render(Location.java:XXX</v>
      </c>
      <c r="D112" s="3">
        <f t="shared" si="3"/>
        <v>49.4</v>
      </c>
    </row>
    <row r="113" spans="1:4" x14ac:dyDescent="0.35">
      <c r="A113" t="s">
        <v>137</v>
      </c>
      <c r="B113">
        <v>378</v>
      </c>
      <c r="C113" t="str">
        <f t="shared" si="2"/>
        <v>EMSG:PolicyPeriod:XXX = XXX/XXXSTRACE:com.farmers.integ.framework.job.automatejob.AutomatedJob.executeJob(AutomatedJob.gs:XXXSTRACERAW:-</v>
      </c>
      <c r="D113" s="3">
        <f t="shared" si="3"/>
        <v>49.14</v>
      </c>
    </row>
    <row r="114" spans="1:4" x14ac:dyDescent="0.35">
      <c r="A114" t="s">
        <v>242</v>
      </c>
      <c r="B114">
        <v>341</v>
      </c>
      <c r="C114" t="str">
        <f t="shared" si="2"/>
        <v>EMSG:, AOR=XXXSTRACE:deployment.pc.war//com.guidewire.pl.system.bundle.EntityBundleImpl.replaceBean(EntityBundleImpl.java:XXXSTRACERAW:-</v>
      </c>
      <c r="D114" s="3">
        <f t="shared" si="3"/>
        <v>44.330000000000005</v>
      </c>
    </row>
    <row r="115" spans="1:4" x14ac:dyDescent="0.35">
      <c r="A115" t="s">
        <v>120</v>
      </c>
      <c r="B115">
        <v>335</v>
      </c>
      <c r="C115" t="str">
        <f t="shared" si="2"/>
        <v>EMSG:LHPI Ordering Failed! - [Value required.STRACE:java.base/jdk.internal.reflect.GeneratedConstructorAccessorXXX.newInstance(Unknown SourceSTRACERAW:-</v>
      </c>
      <c r="D115" s="3">
        <f t="shared" si="3"/>
        <v>43.550000000000004</v>
      </c>
    </row>
    <row r="116" spans="1:4" x14ac:dyDescent="0.35">
      <c r="A116" t="s">
        <v>317</v>
      </c>
      <c r="B116">
        <v>327</v>
      </c>
      <c r="C116" t="str">
        <f t="shared" si="2"/>
        <v>EMSG:The call to external service MVR failedSTRACE:com.farmers.config.pa.adpf.ParallelServiceExecutor$block_XXX_.invoke(ParallelServiceExecutor.gs:XXXSTRACERAW:-</v>
      </c>
      <c r="D116" s="3">
        <f t="shared" si="3"/>
        <v>42.510000000000005</v>
      </c>
    </row>
    <row r="117" spans="1:4" x14ac:dyDescent="0.35">
      <c r="A117" t="s">
        <v>180</v>
      </c>
      <c r="B117">
        <v>319</v>
      </c>
      <c r="C117" t="str">
        <f t="shared" si="2"/>
        <v>EMSG:-STRACE:-STRACERAW:deployment.pc.war//com.guidewire.pl.system.entity.proxy.EffDatedBranchProxy.checkBranchVersionMostRecent(EffDatedBranchProxy.java:XXX</v>
      </c>
      <c r="D117" s="3">
        <f t="shared" si="3"/>
        <v>41.47</v>
      </c>
    </row>
    <row r="118" spans="1:4" x14ac:dyDescent="0.35">
      <c r="A118" t="s">
        <v>166</v>
      </c>
      <c r="B118">
        <v>316</v>
      </c>
      <c r="C118" t="str">
        <f t="shared" si="2"/>
        <v>EMSG:, AOR=XXXSTRACE:deployment.pc.war//gw.api.util.LocationUtil.addRequestScopedMessage(LocationUtil.java:XXXSTRACERAW:-</v>
      </c>
      <c r="D118" s="3">
        <f t="shared" si="3"/>
        <v>41.080000000000005</v>
      </c>
    </row>
    <row r="119" spans="1:4" x14ac:dyDescent="0.35">
      <c r="A119" t="s">
        <v>130</v>
      </c>
      <c r="B119">
        <v>314</v>
      </c>
      <c r="C119" t="str">
        <f t="shared" si="2"/>
        <v>EMSG:XXX with one or more major citations in the last XXX years are not eligible for coverage. Coverage may be available with Bristol West.STRACE:com.farmers.config.pa.validator.BrightlineValidator.validateQuoteBrightlineRules(BrightlineValidator.gs:XXXST</v>
      </c>
      <c r="D119" s="3">
        <f t="shared" si="3"/>
        <v>40.82</v>
      </c>
    </row>
    <row r="120" spans="1:4" x14ac:dyDescent="0.35">
      <c r="A120" t="s">
        <v>311</v>
      </c>
      <c r="B120">
        <v>311</v>
      </c>
      <c r="C120" t="str">
        <f t="shared" si="2"/>
        <v>EMSG:-STRACE:-STRACERAW:com.guidewire.pl.system.database.query.DeleteBuilder.execute(DeleteBuilder.java:XXX</v>
      </c>
      <c r="D120" s="3">
        <f t="shared" si="3"/>
        <v>40.43</v>
      </c>
    </row>
    <row r="121" spans="1:4" x14ac:dyDescent="0.35">
      <c r="A121" t="s">
        <v>229</v>
      </c>
      <c r="B121">
        <v>304</v>
      </c>
      <c r="C121" t="str">
        <f t="shared" si="2"/>
        <v>EMSG:-STRACE:com.farmers.integ.framework.job.automatejob.AutomatedJob.executeJob(AutomatedJob.gs:XXXSTRACERAW:-</v>
      </c>
      <c r="D121" s="3">
        <f t="shared" si="3"/>
        <v>39.519999999999996</v>
      </c>
    </row>
    <row r="122" spans="1:4" x14ac:dyDescent="0.35">
      <c r="A122" t="s">
        <v>1123</v>
      </c>
      <c r="B122">
        <v>296</v>
      </c>
      <c r="C122" t="str">
        <f t="shared" si="2"/>
        <v>EMSG:The value XXX is not formatted correctly for the field "RoofingUpgradeDate": RoofingUpgradeDate must be a four-digit year between XXX and XXXSTRACE:deployment.pc.war//com.guidewire.pl.metadata.datatypeXXX.fieldvalidator.FieldValidatorInfo.validateFor</v>
      </c>
      <c r="D122" s="3">
        <f t="shared" si="3"/>
        <v>38.480000000000004</v>
      </c>
    </row>
    <row r="123" spans="1:4" x14ac:dyDescent="0.35">
      <c r="A123" t="s">
        <v>729</v>
      </c>
      <c r="B123">
        <v>295</v>
      </c>
      <c r="C123" t="str">
        <f t="shared" si="2"/>
        <v>EMSG:, AOR=XXXSTRACE:gw.lob.pa.PAPolicyLineMethods.postRateProcessing_Ext(PAPolicyLineMethods.gs:XXXSTRACERAW:-</v>
      </c>
      <c r="D123" s="3">
        <f t="shared" si="3"/>
        <v>38.35</v>
      </c>
    </row>
    <row r="124" spans="1:4" x14ac:dyDescent="0.35">
      <c r="A124" t="s">
        <v>730</v>
      </c>
      <c r="B124">
        <v>295</v>
      </c>
      <c r="C124" t="str">
        <f t="shared" si="2"/>
        <v>EMSG:-STRACE:gw.lob.pa.PAPolicyLineMethods.postRateProcessing_Ext(PAPolicyLineMethods.gs:XXXSTRACERAW:-</v>
      </c>
      <c r="D124" s="3">
        <f t="shared" si="3"/>
        <v>38.35</v>
      </c>
    </row>
    <row r="125" spans="1:4" x14ac:dyDescent="0.35">
      <c r="A125" t="s">
        <v>212</v>
      </c>
      <c r="B125">
        <v>286</v>
      </c>
      <c r="C125" t="str">
        <f t="shared" si="2"/>
        <v>EMSG:Cannot re-add UserRole:XXX since it has already been removed.  You must use bundle rollback to undo a remove.STRACE:deployment.pc.war//com.guidewire.pl.system.bundle.EntityBundleImpl.add(EntityBundleImpl.java:XXXSTRACERAW:-</v>
      </c>
      <c r="D125" s="3">
        <f t="shared" si="3"/>
        <v>37.18</v>
      </c>
    </row>
    <row r="126" spans="1:4" x14ac:dyDescent="0.35">
      <c r="A126" t="s">
        <v>162</v>
      </c>
      <c r="B126">
        <v>286</v>
      </c>
      <c r="C126" t="str">
        <f t="shared" si="2"/>
        <v>EMSG:Policy not found in system:nullSTRACE:com.farmers.integ.serviceoperations.deeplaunch.servlets.DeepLaunchServlet.validatePolicyNumber(DeepLaunchServlet.gs:XXXSTRACERAW:-</v>
      </c>
      <c r="D126" s="3">
        <f t="shared" si="3"/>
        <v>37.18</v>
      </c>
    </row>
    <row r="127" spans="1:4" x14ac:dyDescent="0.35">
      <c r="A127" t="s">
        <v>157</v>
      </c>
      <c r="B127">
        <v>276</v>
      </c>
      <c r="C127" t="str">
        <f t="shared" si="2"/>
        <v>EMSG:A balance of $XXX.XXX must be paid prior to rewriting or reinstating this policy. The Account is on a Notice of Cancellation.STRACE:com.farmers.billing.dao.BillingInformationProcessor.validateNOCorServiceFailure(BillingInformationProcessor.gs:XXXSTRA</v>
      </c>
      <c r="D127" s="3">
        <f t="shared" si="3"/>
        <v>35.880000000000003</v>
      </c>
    </row>
    <row r="128" spans="1:4" x14ac:dyDescent="0.35">
      <c r="A128" t="s">
        <v>124</v>
      </c>
      <c r="B128">
        <v>273</v>
      </c>
      <c r="C128" t="str">
        <f t="shared" si="2"/>
        <v>EMSG:Personal Auto Line: Personal Injury Protection is required and must be added. XXXSTRACE:gw.api.extension.PCExtensionInterfacesMapper$block_XXX_.invoke(PCExtensionInterfacesMapper.gs:XXXSTRACERAW:-</v>
      </c>
      <c r="D128" s="3">
        <f t="shared" si="3"/>
        <v>35.49</v>
      </c>
    </row>
    <row r="129" spans="1:4" ht="29" x14ac:dyDescent="0.35">
      <c r="A129" s="4" t="s">
        <v>602</v>
      </c>
      <c r="B129">
        <v>271</v>
      </c>
      <c r="C129" t="str">
        <f t="shared" si="2"/>
        <v>EMSG:The PolicyPeriod you are trying to change is currently being quoted by another userSTRACE:this time
	at deployment.pc.war//com.guidewire.pc.domain.policy.period.impl.PolicyPeriodImpl.checkForCommitRestraints(PolicyPeriodImpl.java:XXXSTRACERAW:-</v>
      </c>
      <c r="D129" s="3">
        <f t="shared" si="3"/>
        <v>35.230000000000004</v>
      </c>
    </row>
    <row r="130" spans="1:4" x14ac:dyDescent="0.35">
      <c r="A130" t="s">
        <v>716</v>
      </c>
      <c r="B130">
        <v>269</v>
      </c>
      <c r="C130" t="str">
        <f t="shared" ref="C130:C193" si="4">LEFT(A130,255)</f>
        <v>EMSG:, AOR=XXXSTRACE:com.farmers.config.ceaforemost.HOCEAForemostServiceHelper.syncSNI(HOCEAForemostServiceHelper.gs:XXXSTRACERAW:-</v>
      </c>
      <c r="D130" s="3">
        <f t="shared" ref="D130:D193" si="5">IF(AND((B130/10)&lt;1,(B130/10)&gt;0),1,(B130/10)*130%)</f>
        <v>34.97</v>
      </c>
    </row>
    <row r="131" spans="1:4" x14ac:dyDescent="0.35">
      <c r="A131" t="s">
        <v>709</v>
      </c>
      <c r="B131">
        <v>260</v>
      </c>
      <c r="C131" t="str">
        <f t="shared" si="4"/>
        <v>EMSG:-STRACE:com.farmers.integ.downstream.policytransaction.PolicyTransaction.updateTransactionOOS(PolicyTransaction.gs:XXXSTRACERAW:-</v>
      </c>
      <c r="D131" s="3">
        <f t="shared" si="5"/>
        <v>33.800000000000004</v>
      </c>
    </row>
    <row r="132" spans="1:4" x14ac:dyDescent="0.35">
      <c r="A132" t="s">
        <v>374</v>
      </c>
      <c r="B132">
        <v>258</v>
      </c>
      <c r="C132" t="str">
        <f t="shared" si="4"/>
        <v>EMSG:Invalid producer code: XXXSTRACE:edge.capabilities.quote.submission.base.account.DefaultSubmissionAccountPlugin.createNewAccount(DefaultSubmissionAccountPlugin.gs:XXXSTRACERAW:-</v>
      </c>
      <c r="D132" s="3">
        <f t="shared" si="5"/>
        <v>33.54</v>
      </c>
    </row>
    <row r="133" spans="1:4" ht="43.5" x14ac:dyDescent="0.35">
      <c r="A133" s="4" t="s">
        <v>605</v>
      </c>
      <c r="B133">
        <v>258</v>
      </c>
      <c r="C133" t="str">
        <f t="shared" si="4"/>
        <v>EMSG:gw.xml.XmlException: 'Unable to parse XML from xml string using schemas [com.farmers.integ.householding.mdm.wsc.mdmsearchcustomerwsc.mdmcustomerinformationmanagement_vXXXSTRACE:line XXX column XXX'
	at deployment.pc.war//gw.internal.xml.ws.WsdlPortIm</v>
      </c>
      <c r="D133" s="3">
        <f t="shared" si="5"/>
        <v>33.54</v>
      </c>
    </row>
    <row r="134" spans="1:4" x14ac:dyDescent="0.35">
      <c r="A134" t="s">
        <v>741</v>
      </c>
      <c r="B134">
        <v>256</v>
      </c>
      <c r="C134" t="str">
        <f t="shared" si="4"/>
        <v>EMSG:Try again later. Equifax credit reporting is unavailable.STRACE:com.farmers.config.common.credit.ho.HOCreditScoreProcess.createEnterpriseCreditReportData(HOCreditScoreProcess.gs:XXXSTRACERAW:-</v>
      </c>
      <c r="D134" s="3">
        <f t="shared" si="5"/>
        <v>33.28</v>
      </c>
    </row>
    <row r="135" spans="1:4" x14ac:dyDescent="0.35">
      <c r="A135" t="s">
        <v>710</v>
      </c>
      <c r="B135">
        <v>255</v>
      </c>
      <c r="C135" t="str">
        <f t="shared" si="4"/>
        <v>EMSG:-STRACE:com.farmers.integ.downstream.util.DownstreamHelper.handleLuwStatusIssue(DownstreamHelper.gs:XXXSTRACERAW:-</v>
      </c>
      <c r="D135" s="3">
        <f t="shared" si="5"/>
        <v>33.15</v>
      </c>
    </row>
    <row r="136" spans="1:4" x14ac:dyDescent="0.35">
      <c r="A136" t="s">
        <v>234</v>
      </c>
      <c r="B136">
        <v>240</v>
      </c>
      <c r="C136" t="str">
        <f t="shared" si="4"/>
        <v>EMSG:Found more than one target of the property XXXSTRACE:com.farmers.integ.framework.job.automatejob.AutomatedJob.executeJob(AutomatedJob.gs:XXXSTRACERAW:-</v>
      </c>
      <c r="D136" s="3">
        <f t="shared" si="5"/>
        <v>31.200000000000003</v>
      </c>
    </row>
    <row r="137" spans="1:4" x14ac:dyDescent="0.35">
      <c r="A137" t="s">
        <v>160</v>
      </c>
      <c r="B137">
        <v>239</v>
      </c>
      <c r="C137" t="str">
        <f t="shared" si="4"/>
        <v>EMSG:-STRACE:-STRACERAW:com.guidewire.pl.system.entity.proxy.EffDatedVersionListImpl.lambda$isNonOverlapping$XXX(EffDatedVersionListImpl.java:XXX</v>
      </c>
      <c r="D137" s="3">
        <f t="shared" si="5"/>
        <v>31.07</v>
      </c>
    </row>
    <row r="138" spans="1:4" x14ac:dyDescent="0.35">
      <c r="A138" t="s">
        <v>808</v>
      </c>
      <c r="B138">
        <v>236</v>
      </c>
      <c r="C138" t="str">
        <f t="shared" si="4"/>
        <v>EMSG:-STRACE:com.farmers.contingencies.contingencyinference.DLUDriverLicenseUpdate.action(DLUDriverLicenseUpdate.gs:XXXSTRACERAW:-</v>
      </c>
      <c r="D138" s="3">
        <f t="shared" si="5"/>
        <v>30.680000000000003</v>
      </c>
    </row>
    <row r="139" spans="1:4" x14ac:dyDescent="0.35">
      <c r="A139" t="s">
        <v>182</v>
      </c>
      <c r="B139">
        <v>224</v>
      </c>
      <c r="C139" t="str">
        <f t="shared" si="4"/>
        <v>EMSG:-STRACE:-STRACERAW:com.farmers.config.pa.validator.PALineQuoteValidator_Ext.checkDriverDPSScoreForPolicyChange(PALineQuoteValidator_Ext.gs:XXX</v>
      </c>
      <c r="D139" s="3">
        <f t="shared" si="5"/>
        <v>29.119999999999997</v>
      </c>
    </row>
    <row r="140" spans="1:4" x14ac:dyDescent="0.35">
      <c r="A140" t="s">
        <v>183</v>
      </c>
      <c r="B140">
        <v>224</v>
      </c>
      <c r="C140" t="str">
        <f t="shared" si="4"/>
        <v>EMSG:Drivers who do not qualify for the Good Driver Discount must have a clean driving record and be accompanied on the policy by a Good Driver to be eligible for a policy with Farmers.STRACE:com.farmers.config.pa.validator.PALineQuoteValidator_Ext.checkD</v>
      </c>
      <c r="D140" s="3">
        <f t="shared" si="5"/>
        <v>29.119999999999997</v>
      </c>
    </row>
    <row r="141" spans="1:4" x14ac:dyDescent="0.35">
      <c r="A141" t="s">
        <v>116</v>
      </c>
      <c r="B141">
        <v>224</v>
      </c>
      <c r="C141" t="str">
        <f t="shared" si="4"/>
        <v>EMSG:Exception during Rating ExecuteIterationsMultiThreaded : java.util.concurrent.ExecutionException: com.guidewire.pl.system.exception.DBException: Failed to close the connectionSTRACE:com.farmers.rating.common.flow.iteration.impl.IterationsExecutorImpl</v>
      </c>
      <c r="D141" s="3">
        <f t="shared" si="5"/>
        <v>29.119999999999997</v>
      </c>
    </row>
    <row r="142" spans="1:4" x14ac:dyDescent="0.35">
      <c r="A142" t="s">
        <v>904</v>
      </c>
      <c r="B142">
        <v>222</v>
      </c>
      <c r="C142" t="str">
        <f t="shared" si="4"/>
        <v>EMSG:-STRACE:com.farmers.integ.downstream.policytransaction.PolicyTransactionBuilder.buildMessage(PolicyTransactionBuilder.gs:XXXSTRACERAW:-</v>
      </c>
      <c r="D142" s="3">
        <f t="shared" si="5"/>
        <v>28.86</v>
      </c>
    </row>
    <row r="143" spans="1:4" x14ac:dyDescent="0.35">
      <c r="A143" t="s">
        <v>722</v>
      </c>
      <c r="B143">
        <v>222</v>
      </c>
      <c r="C143" t="str">
        <f t="shared" si="4"/>
        <v>EMSG:The umbrella policy is ineligible for coverage because the number of permissive losses on the underlying auto policy has been exceeded.STRACE:gw.pcf.job.QuoteUIHelper.validateFlexLiabLimits(QuoteUIHelper.gs:XXXSTRACERAW:-</v>
      </c>
      <c r="D143" s="3">
        <f t="shared" si="5"/>
        <v>28.86</v>
      </c>
    </row>
    <row r="144" spans="1:4" x14ac:dyDescent="0.35">
      <c r="A144" t="s">
        <v>139</v>
      </c>
      <c r="B144">
        <v>218</v>
      </c>
      <c r="C144" t="str">
        <f t="shared" si="4"/>
        <v>EMSG:java.lang.NullPointerExceptionSTRACE:com.farmers.integ.documentmgmt.ondemand.api.transformer.GetPolicyDetailsRestRequestTransformer.transform(GetPolicyDetailsRestRequestTransformer.gs:XXXSTRACERAW:-</v>
      </c>
      <c r="D144" s="3">
        <f t="shared" si="5"/>
        <v>28.340000000000003</v>
      </c>
    </row>
    <row r="145" spans="1:4" x14ac:dyDescent="0.35">
      <c r="A145" t="s">
        <v>215</v>
      </c>
      <c r="B145">
        <v>216</v>
      </c>
      <c r="C145" t="str">
        <f t="shared" si="4"/>
        <v>EMSG:Slice date XXX outside of range XXX for XXX XXX bean of type ULPolicy_PUESTRACE:deployment.pc.war//com.guidewire.pl.system.entity.proxy.EffDatedBaseProxy.getSliceUntyped(EffDatedBaseProxy.java:XXXSTRACERAW:-</v>
      </c>
      <c r="D145" s="3">
        <f t="shared" si="5"/>
        <v>28.080000000000002</v>
      </c>
    </row>
    <row r="146" spans="1:4" x14ac:dyDescent="0.35">
      <c r="A146" t="s">
        <v>638</v>
      </c>
      <c r="B146">
        <v>209</v>
      </c>
      <c r="C146" t="str">
        <f t="shared" si="4"/>
        <v>EMSG:-STRACE:-STRACERAW:edge.validation.EdgeValidationContext.raiseExceptionIfErrorsFound(EdgeValidationContext.gs:XXX</v>
      </c>
      <c r="D146" s="3">
        <f t="shared" si="5"/>
        <v>27.169999999999998</v>
      </c>
    </row>
    <row r="147" spans="1:4" ht="29" x14ac:dyDescent="0.35">
      <c r="A147" s="4" t="s">
        <v>601</v>
      </c>
      <c r="B147">
        <v>208</v>
      </c>
      <c r="C147" t="str">
        <f t="shared" si="4"/>
        <v>EMSG:Correct the License # for XXXSTRACE:error
	at com.farmers.config.common.mvr.MVRProcess.orderMVR(MVRProcess.gs:XXXSTRACERAW:-</v>
      </c>
      <c r="D147" s="3">
        <f t="shared" si="5"/>
        <v>27.040000000000003</v>
      </c>
    </row>
    <row r="148" spans="1:4" x14ac:dyDescent="0.35">
      <c r="A148" t="s">
        <v>187</v>
      </c>
      <c r="B148">
        <v>208</v>
      </c>
      <c r="C148" t="str">
        <f t="shared" si="4"/>
        <v>EMSG:Try again later. Unable to retrieve Auto Data Prefill (ADPF) report.STRACE:com.farmers.config.pa.adpf.ADPFReportHelper.orderReportAndFlood(ADPFReportHelper.gs:XXXSTRACERAW:-</v>
      </c>
      <c r="D148" s="3">
        <f t="shared" si="5"/>
        <v>27.040000000000003</v>
      </c>
    </row>
    <row r="149" spans="1:4" x14ac:dyDescent="0.35">
      <c r="A149" t="s">
        <v>1260</v>
      </c>
      <c r="B149">
        <v>206</v>
      </c>
      <c r="C149" t="str">
        <f t="shared" si="4"/>
        <v>EMSG:Duplicate key PACompSelectedBy foundSTRACE:edge.util.MapUtil.groupUnique(MapUtil.gs:XXXSTRACERAW:-</v>
      </c>
      <c r="D149" s="3">
        <f t="shared" si="5"/>
        <v>26.78</v>
      </c>
    </row>
    <row r="150" spans="1:4" x14ac:dyDescent="0.35">
      <c r="A150" t="s">
        <v>848</v>
      </c>
      <c r="B150">
        <v>205</v>
      </c>
      <c r="C150" t="str">
        <f t="shared" si="4"/>
        <v>EMSG:Exception during Rating ExecuteIterationsMultiThreaded : java.lang.IllegalStateException: [] is emptySTRACE:com.farmers.rating.common.flow.iteration.impl.IterationsExecutorImpl$block_XXX_.invoke(IterationsExecutorImpl.gs:XXXSTRACERAW:-</v>
      </c>
      <c r="D150" s="3">
        <f t="shared" si="5"/>
        <v>26.650000000000002</v>
      </c>
    </row>
    <row r="151" spans="1:4" x14ac:dyDescent="0.35">
      <c r="A151" t="s">
        <v>147</v>
      </c>
      <c r="B151">
        <v>199</v>
      </c>
      <c r="C151" t="str">
        <f t="shared" si="4"/>
        <v>EMSG:-STRACE:gw.acc.luw.LUWExceptionHelper.processJobStateException(LUWExceptionHelper.gs:XXXSTRACERAW:-</v>
      </c>
      <c r="D151" s="3">
        <f t="shared" si="5"/>
        <v>25.869999999999997</v>
      </c>
    </row>
    <row r="152" spans="1:4" x14ac:dyDescent="0.35">
      <c r="A152" t="s">
        <v>189</v>
      </c>
      <c r="B152">
        <v>198</v>
      </c>
      <c r="C152" t="str">
        <f t="shared" si="4"/>
        <v>EMSG:You do not have the permission required to perform this action: User doesn't have sufficient permission to perform this task.STRACE:deployment.pc.war//com.guidewire.pl.domain.community.impl.UserImpl.assertPermission(UserImpl.java:XXXSTRACERAW:-</v>
      </c>
      <c r="D152" s="3">
        <f t="shared" si="5"/>
        <v>25.740000000000002</v>
      </c>
    </row>
    <row r="153" spans="1:4" x14ac:dyDescent="0.35">
      <c r="A153" t="s">
        <v>721</v>
      </c>
      <c r="B153">
        <v>196</v>
      </c>
      <c r="C153" t="str">
        <f t="shared" si="4"/>
        <v>EMSG:Expiration date cannot be before effective dateSTRACE:deployment.pc.war//com.guidewire.pl.system.entity.proxy.EffDatedBranchProxy.setPeriodWindow(EffDatedBranchProxy.java:XXXSTRACERAW:-</v>
      </c>
      <c r="D153" s="3">
        <f t="shared" si="5"/>
        <v>25.480000000000004</v>
      </c>
    </row>
    <row r="154" spans="1:4" x14ac:dyDescent="0.35">
      <c r="A154" t="s">
        <v>159</v>
      </c>
      <c r="B154">
        <v>195</v>
      </c>
      <c r="C154" t="str">
        <f t="shared" si="4"/>
        <v>EMSG:-STRACE:-STRACERAW:com.guidewire.pl.web.controller.autocomplete.AutocompleteWebRequestHandler.handleAjaxRequest(AutocompleteWebRequestHandler.java:XXX</v>
      </c>
      <c r="D154" s="3">
        <f t="shared" si="5"/>
        <v>25.35</v>
      </c>
    </row>
    <row r="155" spans="1:4" ht="43.5" x14ac:dyDescent="0.35">
      <c r="A155" s="4" t="s">
        <v>849</v>
      </c>
      <c r="B155">
        <v>194</v>
      </c>
      <c r="C155" t="str">
        <f t="shared" si="4"/>
        <v>EMSG:Ineligible Submission - Based on aerial imagerySTRACE:may pose an unacceptable exposure. This is an ineligible condition. For consideration, please upload documentation showing the dwelling in acceptable condition.
	at edge.capabilities.quote.submiss</v>
      </c>
      <c r="D155" s="3">
        <f t="shared" si="5"/>
        <v>25.22</v>
      </c>
    </row>
    <row r="156" spans="1:4" x14ac:dyDescent="0.35">
      <c r="A156" t="s">
        <v>454</v>
      </c>
      <c r="B156">
        <v>190</v>
      </c>
      <c r="C156" t="str">
        <f t="shared" si="4"/>
        <v>EMSG:-STRACE:-STRACERAW:gw.plugin.billing.impl.StandAloneBillingSystemPlugin.generatePreviewFor(StandAloneBillingSystemPlugin.gs:XXX</v>
      </c>
      <c r="D156" s="3">
        <f t="shared" si="5"/>
        <v>24.7</v>
      </c>
    </row>
    <row r="157" spans="1:4" x14ac:dyDescent="0.35">
      <c r="A157" t="s">
        <v>193</v>
      </c>
      <c r="B157">
        <v>182</v>
      </c>
      <c r="C157" t="str">
        <f t="shared" si="4"/>
        <v>EMSG:, AOR=XXXSTRACE:java.base/java.util.HashMap$HashIterator.nextNode(HashMap.java:XXXSTRACERAW:-</v>
      </c>
      <c r="D157" s="3">
        <f t="shared" si="5"/>
        <v>23.66</v>
      </c>
    </row>
    <row r="158" spans="1:4" x14ac:dyDescent="0.35">
      <c r="A158" t="s">
        <v>154</v>
      </c>
      <c r="B158">
        <v>177</v>
      </c>
      <c r="C158" t="str">
        <f t="shared" si="4"/>
        <v>EMSG:-STRACE:-STRACERAW:com.guidewire.pl.system.entity.proxy.AbstractKeyableBeanProxy.getOneToOneForeignKeyId(AbstractKeyableBeanProxy.java:XXX</v>
      </c>
      <c r="D158" s="3">
        <f t="shared" si="5"/>
        <v>23.01</v>
      </c>
    </row>
    <row r="159" spans="1:4" x14ac:dyDescent="0.35">
      <c r="A159" t="s">
        <v>151</v>
      </c>
      <c r="B159">
        <v>174</v>
      </c>
      <c r="C159" t="str">
        <f t="shared" si="4"/>
        <v>EMSG:-STRACE:-STRACERAW:com.farmers.integ.framework.job.automatejob.AutomatedJob.executeJob(AutomatedJob.gs:XXX</v>
      </c>
      <c r="D159" s="3">
        <f t="shared" si="5"/>
        <v>22.619999999999997</v>
      </c>
    </row>
    <row r="160" spans="1:4" x14ac:dyDescent="0.35">
      <c r="A160" t="s">
        <v>179</v>
      </c>
      <c r="B160">
        <v>172</v>
      </c>
      <c r="C160" t="str">
        <f t="shared" si="4"/>
        <v>EMSG:MVR Ordering Failed! - [MVR interactive unavailableSTRACE:com.farmers.config.common.mvr.MVRProcess.orderMVR(MVRProcess.gs:XXXSTRACERAW:-</v>
      </c>
      <c r="D160" s="3">
        <f t="shared" si="5"/>
        <v>22.36</v>
      </c>
    </row>
    <row r="161" spans="1:4" x14ac:dyDescent="0.35">
      <c r="A161" t="s">
        <v>201</v>
      </c>
      <c r="B161">
        <v>170</v>
      </c>
      <c r="C161" t="str">
        <f t="shared" si="4"/>
        <v>EMSG:-STRACE:-STRACERAW:com.guidewire.pl.system.database.entitywriter.DatabaseEntityWriterImpl.checkForNullConstraintViolation(DatabaseEntityWriterImpl.java:XXX</v>
      </c>
      <c r="D161" s="3">
        <f t="shared" si="5"/>
        <v>22.1</v>
      </c>
    </row>
    <row r="162" spans="1:4" x14ac:dyDescent="0.35">
      <c r="A162" t="s">
        <v>732</v>
      </c>
      <c r="B162">
        <v>168</v>
      </c>
      <c r="C162" t="str">
        <f t="shared" si="4"/>
        <v>EMSG:Drivers who do not qualify for the Good Driver Discount must have a clean driving record and be accompanied on the policy by a Good Driver to be eligible for a policy with Farmers.STRACE:edge.capabilities.quote.submission.quoting.util.SubmissionUnder</v>
      </c>
      <c r="D162" s="3">
        <f t="shared" si="5"/>
        <v>21.840000000000003</v>
      </c>
    </row>
    <row r="163" spans="1:4" x14ac:dyDescent="0.35">
      <c r="A163" t="s">
        <v>170</v>
      </c>
      <c r="B163">
        <v>167</v>
      </c>
      <c r="C163" t="str">
        <f t="shared" si="4"/>
        <v>EMSG:Attempt to access bean of type "PolicyPeriod" id=XXX with a null bundleSTRACE:deployment.pc.war//com.guidewire.pl.system.entity.proxy.BeanProxy.checkIsInBundle(BeanProxy.java:XXXSTRACERAW:-</v>
      </c>
      <c r="D163" s="3">
        <f t="shared" si="5"/>
        <v>21.71</v>
      </c>
    </row>
    <row r="164" spans="1:4" x14ac:dyDescent="0.35">
      <c r="A164" t="s">
        <v>169</v>
      </c>
      <c r="B164">
        <v>166</v>
      </c>
      <c r="C164" t="str">
        <f t="shared" si="4"/>
        <v>EMSG:There is no Underwriting Company with input NAIC Code XXX in Policy CenterSTRACE:com.farmers.integ.security.community.ace.agent.license.AgentLicenseHelper.updateAgentLicenseInfo(AgentLicenseHelper.gs:XXXSTRACERAW:-</v>
      </c>
      <c r="D164" s="3">
        <f t="shared" si="5"/>
        <v>21.580000000000002</v>
      </c>
    </row>
    <row r="165" spans="1:4" x14ac:dyDescent="0.35">
      <c r="A165" t="s">
        <v>181</v>
      </c>
      <c r="B165">
        <v>165</v>
      </c>
      <c r="C165" t="str">
        <f t="shared" si="4"/>
        <v>EMSG:-STRACE:-STRACERAW:gw.acc.luw.LUWCoordinator.withdrawJob(LUWCoordinator.gs:XXX</v>
      </c>
      <c r="D165" s="3">
        <f t="shared" si="5"/>
        <v>21.45</v>
      </c>
    </row>
    <row r="166" spans="1:4" x14ac:dyDescent="0.35">
      <c r="A166" t="s">
        <v>207</v>
      </c>
      <c r="B166">
        <v>163</v>
      </c>
      <c r="C166" t="str">
        <f t="shared" si="4"/>
        <v>EMSG:The risk is not eligible for a Farmers policy due to a driver with a financial responsibility filing. Select the Bridge to Bristol West button to create a quote in the Bristol West system.STRACE:com.farmers.config.pa.validator.BrightlineValidator.val</v>
      </c>
      <c r="D166" s="3">
        <f t="shared" si="5"/>
        <v>21.19</v>
      </c>
    </row>
    <row r="167" spans="1:4" x14ac:dyDescent="0.35">
      <c r="A167" t="s">
        <v>1261</v>
      </c>
      <c r="B167">
        <v>159</v>
      </c>
      <c r="C167" t="str">
        <f t="shared" si="4"/>
        <v>EMSG:-STRACE:com.farmers.config.pa.ddr.DDRProcess.validateDdrInputDrivers(DDRProcess.gs:XXXSTRACERAW:-</v>
      </c>
      <c r="D167" s="3">
        <f t="shared" si="5"/>
        <v>20.67</v>
      </c>
    </row>
    <row r="168" spans="1:4" x14ac:dyDescent="0.35">
      <c r="A168" t="s">
        <v>204</v>
      </c>
      <c r="B168">
        <v>158</v>
      </c>
      <c r="C168" t="str">
        <f t="shared" si="4"/>
        <v>EMSG:-STRACE:-STRACERAW:gw.xml.XMLParserBase.makeParseException(XMLParserBase.java:XXX</v>
      </c>
      <c r="D168" s="3">
        <f t="shared" si="5"/>
        <v>20.540000000000003</v>
      </c>
    </row>
    <row r="169" spans="1:4" x14ac:dyDescent="0.35">
      <c r="A169" t="s">
        <v>719</v>
      </c>
      <c r="B169">
        <v>158</v>
      </c>
      <c r="C169" t="str">
        <f t="shared" si="4"/>
        <v>EMSG:The primary Roof Type is ineligible for coverage.STRACE:edge.capabilities.quote.submission.quoting.util.SubmissionUnderwritingIssuesUtil.checkSideBySideProcessExceptions(SubmissionUnderwritingIssuesUtil.gs:XXXSTRACERAW:-</v>
      </c>
      <c r="D169" s="3">
        <f t="shared" si="5"/>
        <v>20.540000000000003</v>
      </c>
    </row>
    <row r="170" spans="1:4" x14ac:dyDescent="0.35">
      <c r="A170" t="s">
        <v>172</v>
      </c>
      <c r="B170">
        <v>156</v>
      </c>
      <c r="C170" t="str">
        <f t="shared" si="4"/>
        <v>EMSG:-STRACE:-STRACERAW:edge.servlet.jsonrpc.marshalling.TypeKeyInstantiator.createFromString(TypeKeyInstantiator.gs:XXX</v>
      </c>
      <c r="D170" s="3">
        <f t="shared" si="5"/>
        <v>20.28</v>
      </c>
    </row>
    <row r="171" spans="1:4" x14ac:dyDescent="0.35">
      <c r="A171" t="s">
        <v>697</v>
      </c>
      <c r="B171">
        <v>154</v>
      </c>
      <c r="C171" t="str">
        <f t="shared" si="4"/>
        <v>EMSG:Agent number does not match policy state. Please choose the appropriate agent number matching the state.STRACE:edge.capabilities.quote.submission.GatewayQuoteHandler.createOrUpdateQuoteData(GatewayQuoteHandler.gs:XXXSTRACERAW:-</v>
      </c>
      <c r="D171" s="3">
        <f t="shared" si="5"/>
        <v>20.02</v>
      </c>
    </row>
    <row r="172" spans="1:4" x14ac:dyDescent="0.35">
      <c r="A172" t="s">
        <v>310</v>
      </c>
      <c r="B172">
        <v>154</v>
      </c>
      <c r="C172" t="str">
        <f t="shared" si="4"/>
        <v>EMSG:Unable to set property '_PhoneNumber' of 'com.farmers.integ.distribution.lms.wsc.uploadcustomerwsc.ecms_quote_xsd.types.complex.PhoneInfo_Type instance'STRACE:deployment.pc.war//gw.internal.xml.XmlSchemaProperty.setValue(XmlSchemaProperty.java:XXXSTR</v>
      </c>
      <c r="D172" s="3">
        <f t="shared" si="5"/>
        <v>20.02</v>
      </c>
    </row>
    <row r="173" spans="1:4" x14ac:dyDescent="0.35">
      <c r="A173" t="s">
        <v>200</v>
      </c>
      <c r="B173">
        <v>153</v>
      </c>
      <c r="C173" t="str">
        <f t="shared" si="4"/>
        <v>EMSG:Update Primary Use for vehicles with XXXSTRACE:com.farmers.lob.pa.driverassignment.DriverAssignment.validateData(DriverAssignment.gs:XXXSTRACERAW:-</v>
      </c>
      <c r="D173" s="3">
        <f t="shared" si="5"/>
        <v>19.89</v>
      </c>
    </row>
    <row r="174" spans="1:4" x14ac:dyDescent="0.35">
      <c r="A174" t="s">
        <v>149</v>
      </c>
      <c r="B174">
        <v>151</v>
      </c>
      <c r="C174" t="str">
        <f t="shared" si="4"/>
        <v>EMSG:-STRACE:-STRACERAW:gw.transaction.Transaction.runWithNewBundle(Transaction.java:XXX</v>
      </c>
      <c r="D174" s="3">
        <f t="shared" si="5"/>
        <v>19.63</v>
      </c>
    </row>
    <row r="175" spans="1:4" x14ac:dyDescent="0.35">
      <c r="A175" t="s">
        <v>288</v>
      </c>
      <c r="B175">
        <v>149</v>
      </c>
      <c r="C175" t="str">
        <f t="shared" si="4"/>
        <v>EMSG:-STRACE:deployment.pc.war//com.guidewire.pl.system.transaction.ConnectionHandler.newDbException(ConnectionHandler.java:XXXSTRACERAW:-</v>
      </c>
      <c r="D175" s="3">
        <f t="shared" si="5"/>
        <v>19.37</v>
      </c>
    </row>
    <row r="176" spans="1:4" x14ac:dyDescent="0.35">
      <c r="A176" t="s">
        <v>715</v>
      </c>
      <c r="B176">
        <v>147</v>
      </c>
      <c r="C176" t="str">
        <f t="shared" si="4"/>
        <v>EMSG:-STRACE:edge.capabilities.quote.submission.quoting.util.SubmissionUnderwritingIssuesUtil.checkSideBySideProcessExceptions(SubmissionUnderwritingIssuesUtil.gs:XXXSTRACERAW:-</v>
      </c>
      <c r="D176" s="3">
        <f t="shared" si="5"/>
        <v>19.11</v>
      </c>
    </row>
    <row r="177" spans="1:4" x14ac:dyDescent="0.35">
      <c r="A177" t="s">
        <v>493</v>
      </c>
      <c r="B177">
        <v>147</v>
      </c>
      <c r="C177" t="str">
        <f t="shared" si="4"/>
        <v>EMSG:Try again later. Equifax credit reporting is unavailable.STRACE:com.farmers.config.common.credit.pa.PACreditScoreProcess.invokeService(PACreditScoreProcess.gs:XXXSTRACERAW:-</v>
      </c>
      <c r="D177" s="3">
        <f t="shared" si="5"/>
        <v>19.11</v>
      </c>
    </row>
    <row r="178" spans="1:4" x14ac:dyDescent="0.35">
      <c r="A178" t="s">
        <v>164</v>
      </c>
      <c r="B178">
        <v>146</v>
      </c>
      <c r="C178" t="str">
        <f t="shared" si="4"/>
        <v>EMSG:com.guidewire.pl.system.exception.DBException: Failed to close the connectionSTRACE:gw.rating.flow.domain.CalcRoutine.executeRoutine(CalcRoutine.gs:XXXSTRACERAW:-</v>
      </c>
      <c r="D178" s="3">
        <f t="shared" si="5"/>
        <v>18.98</v>
      </c>
    </row>
    <row r="179" spans="1:4" x14ac:dyDescent="0.35">
      <c r="A179" t="s">
        <v>263</v>
      </c>
      <c r="B179">
        <v>142</v>
      </c>
      <c r="C179" t="str">
        <f t="shared" si="4"/>
        <v>EMSG:-STRACE:edge.validation.EdgeValidationContext.raiseExceptionIfErrorsFound(EdgeValidationContext.gs:XXXSTRACERAW:-</v>
      </c>
      <c r="D179" s="3">
        <f t="shared" si="5"/>
        <v>18.46</v>
      </c>
    </row>
    <row r="180" spans="1:4" x14ac:dyDescent="0.35">
      <c r="A180" t="s">
        <v>909</v>
      </c>
      <c r="B180">
        <v>142</v>
      </c>
      <c r="C180" t="str">
        <f t="shared" si="4"/>
        <v>EMSG:One or more null constraint violations detected for HOPolicyClaim_ExtSTRACE:deployment.pc.war//com.guidewire.pl.system.database.entitywriter.DatabaseEntityWriterImpl.checkForNullConstraintViolation(DatabaseEntityWriterImpl.java:XXXSTRACERAW:-</v>
      </c>
      <c r="D180" s="3">
        <f t="shared" si="5"/>
        <v>18.46</v>
      </c>
    </row>
    <row r="181" spans="1:4" x14ac:dyDescent="0.35">
      <c r="A181" t="s">
        <v>344</v>
      </c>
      <c r="B181">
        <v>142</v>
      </c>
      <c r="C181" t="str">
        <f t="shared" si="4"/>
        <v>EMSG:warning:entity.xxxUI-ValidationWARNMessagexxxSTRACE:com.farmers.integ.framework.job.automatejob.AutomatedJob.executeJob(AutomatedJob.gs:XXXSTRACERAW:-</v>
      </c>
      <c r="D181" s="3">
        <f t="shared" si="5"/>
        <v>18.46</v>
      </c>
    </row>
    <row r="182" spans="1:4" x14ac:dyDescent="0.35">
      <c r="A182" t="s">
        <v>174</v>
      </c>
      <c r="B182">
        <v>141</v>
      </c>
      <c r="C182" t="str">
        <f t="shared" si="4"/>
        <v>EMSG:-STRACE:-STRACERAW:com.guidewire.pl.system.entity.proxy.BeanProxy.loadForeignKeyBean(BeanProxy.java:XXX</v>
      </c>
      <c r="D182" s="3">
        <f t="shared" si="5"/>
        <v>18.330000000000002</v>
      </c>
    </row>
    <row r="183" spans="1:4" x14ac:dyDescent="0.35">
      <c r="A183" t="s">
        <v>198</v>
      </c>
      <c r="B183">
        <v>140</v>
      </c>
      <c r="C183" t="str">
        <f t="shared" si="4"/>
        <v>EMSG:, AOR=XXXSTRACE:deployment.pc.war//com.guidewire.pl.web.navigation.Location.reValidateModel(Location.java:XXXSTRACERAW:-</v>
      </c>
      <c r="D183" s="3">
        <f t="shared" si="5"/>
        <v>18.2</v>
      </c>
    </row>
    <row r="184" spans="1:4" x14ac:dyDescent="0.35">
      <c r="A184" t="s">
        <v>318</v>
      </c>
      <c r="B184">
        <v>138</v>
      </c>
      <c r="C184" t="str">
        <f t="shared" si="4"/>
        <v>EMSG:com.guidewire.pl.system.exception.DBException: Failed to close the connectionSTRACE:com.farmers.integ.documentmgmt.ondemand.autoformgeneration.transformer.AutoOnDemandFormGenRequestTransformer.transform(AutoOnDemandFormGenRequestTransformer.gs:XXXSTR</v>
      </c>
      <c r="D184" s="3">
        <f t="shared" si="5"/>
        <v>17.940000000000001</v>
      </c>
    </row>
    <row r="185" spans="1:4" ht="29" x14ac:dyDescent="0.35">
      <c r="A185" s="4" t="s">
        <v>623</v>
      </c>
      <c r="B185">
        <v>138</v>
      </c>
      <c r="C185" t="str">
        <f t="shared" si="4"/>
        <v>EMSG:error:entity.xxxUI-ValidationERRORMessagexxxSTRACE:this time. Billing updates in process.              
	at com.farmers.integ.framework.job.automatejob.AutomatedJob.executeJob(AutomatedJob.gs:XXXSTRACERAW:-</v>
      </c>
      <c r="D185" s="3">
        <f t="shared" si="5"/>
        <v>17.940000000000001</v>
      </c>
    </row>
    <row r="186" spans="1:4" x14ac:dyDescent="0.35">
      <c r="A186" t="s">
        <v>194</v>
      </c>
      <c r="B186">
        <v>137</v>
      </c>
      <c r="C186" t="str">
        <f t="shared" si="4"/>
        <v>EMSG:XXX has exceeded the maximum accident count with BI payout for the state. You may select the Bridge to Bristol West button to create a quote in the Bristol West system.STRACE:com.farmers.config.pa.validator.BrightlineValidator.validateQuoteBrightline</v>
      </c>
      <c r="D186" s="3">
        <f t="shared" si="5"/>
        <v>17.809999999999999</v>
      </c>
    </row>
    <row r="187" spans="1:4" x14ac:dyDescent="0.35">
      <c r="A187" t="s">
        <v>156</v>
      </c>
      <c r="B187">
        <v>136</v>
      </c>
      <c r="C187" t="str">
        <f t="shared" si="4"/>
        <v>EMSG:-STRACE:-STRACERAW:com.guidewire.pl.system.entity.proxy.AbstractKeyableBeanProxy.getEdgeForeignKeyId(AbstractKeyableBeanProxy.java:XXX</v>
      </c>
      <c r="D187" s="3">
        <f t="shared" si="5"/>
        <v>17.68</v>
      </c>
    </row>
    <row r="188" spans="1:4" x14ac:dyDescent="0.35">
      <c r="A188" t="s">
        <v>300</v>
      </c>
      <c r="B188">
        <v>136</v>
      </c>
      <c r="C188" t="str">
        <f t="shared" si="4"/>
        <v>EMSG:Exception occurs while transforming request for RetrieveContactID Service Call STRACE:com.farmers.integ.framework.service.rest.RestServiceAdapter.invokeService(RestServiceAdapter.gs:XXXSTRACERAW:-</v>
      </c>
      <c r="D188" s="3">
        <f t="shared" si="5"/>
        <v>17.68</v>
      </c>
    </row>
    <row r="189" spans="1:4" x14ac:dyDescent="0.35">
      <c r="A189" t="s">
        <v>176</v>
      </c>
      <c r="B189">
        <v>135</v>
      </c>
      <c r="C189" t="str">
        <f t="shared" si="4"/>
        <v>EMSG:Not able to map the payload value pcOperation_START on index XXXSTRACE:com.farmers.integ.coexistence.helper.NRTCoExistenceMessageHelper.generateCoexistencePLAtoPCMsgPayload(NRTCoExistenceMessageHelper.gs:XXXSTRACERAW:-</v>
      </c>
      <c r="D189" s="3">
        <f t="shared" si="5"/>
        <v>17.55</v>
      </c>
    </row>
    <row r="190" spans="1:4" x14ac:dyDescent="0.35">
      <c r="A190" t="s">
        <v>726</v>
      </c>
      <c r="B190">
        <v>134</v>
      </c>
      <c r="C190" t="str">
        <f t="shared" si="4"/>
        <v>EMSG:Policy details are not found for policyNumber : XXX with the effective date : XXXXXXXXXSTRACE:com.farmers.edge.capabilities.conversion.ProductRewriteHandler.checkProductRewriteEligibility(ProductRewriteHandler.gs:XXXSTRACERAW:-</v>
      </c>
      <c r="D190" s="3">
        <f t="shared" si="5"/>
        <v>17.420000000000002</v>
      </c>
    </row>
    <row r="191" spans="1:4" x14ac:dyDescent="0.35">
      <c r="A191" t="s">
        <v>323</v>
      </c>
      <c r="B191">
        <v>133</v>
      </c>
      <c r="C191" t="str">
        <f t="shared" si="4"/>
        <v>EMSG:The client is ineligible for an umbrella policy because the allowable amount of driving activity has been exceeded.STRACE:gw.job.QuoteProcess.requestQuote(QuoteProcess.gs:XXXSTRACERAW:-</v>
      </c>
      <c r="D191" s="3">
        <f t="shared" si="5"/>
        <v>17.290000000000003</v>
      </c>
    </row>
    <row r="192" spans="1:4" x14ac:dyDescent="0.35">
      <c r="A192" t="s">
        <v>514</v>
      </c>
      <c r="B192">
        <v>132</v>
      </c>
      <c r="C192" t="str">
        <f t="shared" si="4"/>
        <v>EMSG:Try again later. Equifax credit reporting is unavailable.STRACE:com.farmers.config.common.credit.ho.HOCreditScoreProcess.invokeService(HOCreditScoreProcess.gs:XXXSTRACERAW:-</v>
      </c>
      <c r="D192" s="3">
        <f t="shared" si="5"/>
        <v>17.16</v>
      </c>
    </row>
    <row r="193" spans="1:4" ht="43.5" x14ac:dyDescent="0.35">
      <c r="A193" s="4" t="s">
        <v>598</v>
      </c>
      <c r="B193">
        <v>128</v>
      </c>
      <c r="C193" t="str">
        <f t="shared" si="4"/>
        <v>EMSG:gw.xml.XmlException: 'Unable to parse XML from xml string using schemas [com.farmers.integ.marketing.agent.wsc.prospectquotewsc.prospectquote_vXXXSTRACE:line XXX column XXX'
	at deployment.pc.war//gw.internal.xml.ws.WsdlPortImpl.invoke(WsdlPortImpl.j</v>
      </c>
      <c r="D193" s="3">
        <f t="shared" si="5"/>
        <v>16.64</v>
      </c>
    </row>
    <row r="194" spans="1:4" ht="29" x14ac:dyDescent="0.35">
      <c r="A194" s="4" t="s">
        <v>617</v>
      </c>
      <c r="B194">
        <v>126</v>
      </c>
      <c r="C194" t="str">
        <f t="shared" ref="C194:C257" si="6">LEFT(A194,255)</f>
        <v>EMSG:The value XXX is not formatted correctly for the field "EmailAddressXXX": Enter a valid Email address. The address that was entered is not valid.STRACE:was entered is not valid.
	at deployment.pc.war//com.guidewire.pl.metadata.datatypeXXX.fieldvalida</v>
      </c>
      <c r="D194" s="3">
        <f t="shared" ref="D194:D257" si="7">IF(AND((B194/10)&lt;1,(B194/10)&gt;0),1,(B194/10)*130%)</f>
        <v>16.38</v>
      </c>
    </row>
    <row r="195" spans="1:4" x14ac:dyDescent="0.35">
      <c r="A195" t="s">
        <v>306</v>
      </c>
      <c r="B195">
        <v>124</v>
      </c>
      <c r="C195" t="str">
        <f t="shared" si="6"/>
        <v>EMSG:LHPI Ordering Failed due to TimeOut! - [java.lang.RuntimeException: java.util.concurrent.TimeoutException]STRACE:java.base/jdk.internal.reflect.NativeConstructorAccessorImpl.newInstanceXXX(Native MethodSTRACERAW:-</v>
      </c>
      <c r="D195" s="3">
        <f t="shared" si="7"/>
        <v>16.12</v>
      </c>
    </row>
    <row r="196" spans="1:4" ht="43.5" x14ac:dyDescent="0.35">
      <c r="A196" s="4" t="s">
        <v>629</v>
      </c>
      <c r="B196">
        <v>122</v>
      </c>
      <c r="C196" t="str">
        <f t="shared" si="6"/>
        <v>EMSG:gw.xml.XmlException: 'Unable to parse XML from xml string using schemas [com.farmers.integ.documentmgmt.vipdocument.wsc.vipdocgeneration.ondemandmultilobformgenerationserviceSTRACE:line XXX column XXX'
	at deployment.pc.war//gw.internal.xml.ws.WsdlPo</v>
      </c>
      <c r="D196" s="3">
        <f t="shared" si="7"/>
        <v>15.86</v>
      </c>
    </row>
    <row r="197" spans="1:4" x14ac:dyDescent="0.35">
      <c r="A197" t="s">
        <v>249</v>
      </c>
      <c r="B197">
        <v>121</v>
      </c>
      <c r="C197" t="str">
        <f t="shared" si="6"/>
        <v>EMSG:-STRACE:-STRACERAW:com.guidewire.pl.domain.community.impl.UserImpl.assertPermission(UserImpl.java:XXX</v>
      </c>
      <c r="D197" s="3">
        <f t="shared" si="7"/>
        <v>15.73</v>
      </c>
    </row>
    <row r="198" spans="1:4" x14ac:dyDescent="0.35">
      <c r="A198" t="s">
        <v>184</v>
      </c>
      <c r="B198">
        <v>120</v>
      </c>
      <c r="C198" t="str">
        <f t="shared" si="6"/>
        <v>EMSG:There is no Underwriting Company with input NAIC Code XXX in Policy CenterSTRACE:com.farmers.integ.security.community.ace.agent.license.AgentLicenseHelper.insertAgentLicenseInfo(AgentLicenseHelper.gs:XXXSTRACERAW:-</v>
      </c>
      <c r="D198" s="3">
        <f t="shared" si="7"/>
        <v>15.600000000000001</v>
      </c>
    </row>
    <row r="199" spans="1:4" x14ac:dyDescent="0.35">
      <c r="A199" t="s">
        <v>205</v>
      </c>
      <c r="B199">
        <v>120</v>
      </c>
      <c r="C199" t="str">
        <f t="shared" si="6"/>
        <v>EMSG:error:entity.xxxUI-ValidationERRORMessagexxxSTRACE:edge.capabilities.quote.submission.GatewayQuoteHandler.submitBindPolicy(GatewayQuoteHandler.gs:XXXSTRACERAW:-</v>
      </c>
      <c r="D199" s="3">
        <f t="shared" si="7"/>
        <v>15.600000000000001</v>
      </c>
    </row>
    <row r="200" spans="1:4" x14ac:dyDescent="0.35">
      <c r="A200" t="s">
        <v>957</v>
      </c>
      <c r="B200">
        <v>119</v>
      </c>
      <c r="C200" t="str">
        <f t="shared" si="6"/>
        <v>EMSG:-STRACE:-STRACERAW:java.lang.String.substring(String.java:XXX</v>
      </c>
      <c r="D200" s="3">
        <f t="shared" si="7"/>
        <v>15.47</v>
      </c>
    </row>
    <row r="201" spans="1:4" x14ac:dyDescent="0.35">
      <c r="A201" t="s">
        <v>222</v>
      </c>
      <c r="B201">
        <v>119</v>
      </c>
      <c r="C201" t="str">
        <f t="shared" si="6"/>
        <v>EMSG:error:entity.xxxUI-ValidationERRORMessagexxxSTRACE:(XXXSTRACERAW:-</v>
      </c>
      <c r="D201" s="3">
        <f t="shared" si="7"/>
        <v>15.47</v>
      </c>
    </row>
    <row r="202" spans="1:4" x14ac:dyDescent="0.35">
      <c r="A202" t="s">
        <v>735</v>
      </c>
      <c r="B202">
        <v>114</v>
      </c>
      <c r="C202" t="str">
        <f t="shared" si="6"/>
        <v>EMSG:The umbrella policy is ineligible for coverage because the number of permissive losses on the underlying auto policy has been exceeded.STRACE:gw.job.QuoteProcess.requestQuote(QuoteProcess.gs:XXXSTRACERAW:-</v>
      </c>
      <c r="D202" s="3">
        <f t="shared" si="7"/>
        <v>14.82</v>
      </c>
    </row>
    <row r="203" spans="1:4" x14ac:dyDescent="0.35">
      <c r="A203" t="s">
        <v>613</v>
      </c>
      <c r="B203">
        <v>112</v>
      </c>
      <c r="C203" t="str">
        <f t="shared" si="6"/>
        <v>EMSG:PolicyCenter Quote is already in bound statusSTRACE:com.farmers.config.commonutil.QuoteUtil.handlePolicyPeriodStatus(QuoteUtil.gs:XXXSTRACERAW:-</v>
      </c>
      <c r="D203" s="3">
        <f t="shared" si="7"/>
        <v>14.559999999999999</v>
      </c>
    </row>
    <row r="204" spans="1:4" x14ac:dyDescent="0.35">
      <c r="A204" t="s">
        <v>432</v>
      </c>
      <c r="B204">
        <v>109</v>
      </c>
      <c r="C204" t="str">
        <f t="shared" si="6"/>
        <v>EMSG:-STRACE:-STRACERAW:com.farmers.config.pa.adpf.ParallelServiceExecutor$block_XXX_.invoke(ParallelServiceExecutor.gs:XXX</v>
      </c>
      <c r="D204" s="3">
        <f t="shared" si="7"/>
        <v>14.170000000000002</v>
      </c>
    </row>
    <row r="205" spans="1:4" x14ac:dyDescent="0.35">
      <c r="A205" t="s">
        <v>543</v>
      </c>
      <c r="B205">
        <v>109</v>
      </c>
      <c r="C205" t="str">
        <f t="shared" si="6"/>
        <v>EMSG:-STRACE:-STRACERAW:deployment.pc.war//com.guidewire.pl.system.database.entitywriter.TableWriterImpl.throwDBDuplicateKeyException(TableWriterImpl.java:XXX</v>
      </c>
      <c r="D205" s="3">
        <f t="shared" si="7"/>
        <v>14.170000000000002</v>
      </c>
    </row>
    <row r="206" spans="1:4" x14ac:dyDescent="0.35">
      <c r="A206" t="s">
        <v>487</v>
      </c>
      <c r="B206">
        <v>109</v>
      </c>
      <c r="C206" t="str">
        <f t="shared" si="6"/>
        <v>EMSG:New Agent Not FoundSTRACE:com.farmers.integ.distribution.opra.batch.helper.OpraRecordHandler.validateRecords(OpraRecordHandler.gs:XXXSTRACERAW:-</v>
      </c>
      <c r="D206" s="3">
        <f t="shared" si="7"/>
        <v>14.170000000000002</v>
      </c>
    </row>
    <row r="207" spans="1:4" x14ac:dyDescent="0.35">
      <c r="A207" t="s">
        <v>1022</v>
      </c>
      <c r="B207">
        <v>108</v>
      </c>
      <c r="C207" t="str">
        <f t="shared" si="6"/>
        <v>EMSG:-STRACE:-STRACERAW:deployment.ojdbcXXXXXX.XXX.XXX.XXX.XXX.jar//oracle.jdbc.driver.PhysicalConnection.prepareStatementInternal(PhysicalConnection.java:XXX</v>
      </c>
      <c r="D207" s="3">
        <f t="shared" si="7"/>
        <v>14.040000000000001</v>
      </c>
    </row>
    <row r="208" spans="1:4" x14ac:dyDescent="0.35">
      <c r="A208" t="s">
        <v>977</v>
      </c>
      <c r="B208">
        <v>107</v>
      </c>
      <c r="C208" t="str">
        <f t="shared" si="6"/>
        <v>EMSG:-STRACE:-STRACERAW:com.farmers.rating.pa.FarmersPARatingEngine.runStepsByVehInParallel(FarmersPARatingEngine.gs:XXX</v>
      </c>
      <c r="D208" s="3">
        <f t="shared" si="7"/>
        <v>13.91</v>
      </c>
    </row>
    <row r="209" spans="1:4" x14ac:dyDescent="0.35">
      <c r="A209" t="s">
        <v>270</v>
      </c>
      <c r="B209">
        <v>107</v>
      </c>
      <c r="C209" t="str">
        <f t="shared" si="6"/>
        <v>EMSG:-STRACE:-STRACERAW:com.sun.proxy.$ProxyXXX.invoke(Unknown Source</v>
      </c>
      <c r="D209" s="3">
        <f t="shared" si="7"/>
        <v>13.91</v>
      </c>
    </row>
    <row r="210" spans="1:4" x14ac:dyDescent="0.35">
      <c r="A210" t="s">
        <v>905</v>
      </c>
      <c r="B210">
        <v>104</v>
      </c>
      <c r="C210" t="str">
        <f t="shared" si="6"/>
        <v>EMSG:, AOR=XXXSTRACE:com.farmers.config.ceaforemost.HOCEAForemostServiceHelper$block_XXX_.invoke(HOCEAForemostServiceHelper.gs:XXXSTRACERAW:-</v>
      </c>
      <c r="D210" s="3">
        <f t="shared" si="7"/>
        <v>13.520000000000001</v>
      </c>
    </row>
    <row r="211" spans="1:4" x14ac:dyDescent="0.35">
      <c r="A211" t="s">
        <v>974</v>
      </c>
      <c r="B211">
        <v>104</v>
      </c>
      <c r="C211" t="str">
        <f t="shared" si="6"/>
        <v>EMSG:-STRACE:-STRACERAW:gw.acc.luw.perf.JobQuoter.processQuoteIssues(JobQuoter.gs:XXX</v>
      </c>
      <c r="D211" s="3">
        <f t="shared" si="7"/>
        <v>13.520000000000001</v>
      </c>
    </row>
    <row r="212" spans="1:4" x14ac:dyDescent="0.35">
      <c r="A212" t="s">
        <v>851</v>
      </c>
      <c r="B212">
        <v>103</v>
      </c>
      <c r="C212" t="str">
        <f t="shared" si="6"/>
        <v>EMSG:, AOR=XXXSTRACE:edge.validation.EdgeValidationContext.raiseExceptionIfErrorsFound(EdgeValidationContext.gs:XXXSTRACERAW:-</v>
      </c>
      <c r="D212" s="3">
        <f t="shared" si="7"/>
        <v>13.39</v>
      </c>
    </row>
    <row r="213" spans="1:4" x14ac:dyDescent="0.35">
      <c r="A213" t="s">
        <v>433</v>
      </c>
      <c r="B213">
        <v>103</v>
      </c>
      <c r="C213" t="str">
        <f t="shared" si="6"/>
        <v>EMSG:-STRACE:-STRACERAW:com.guidewire.pl.system.lease.impl.DBLeaseMgrImpl.transaction(DBLeaseMgrImpl.java:XXX</v>
      </c>
      <c r="D213" s="3">
        <f t="shared" si="7"/>
        <v>13.39</v>
      </c>
    </row>
    <row r="214" spans="1:4" x14ac:dyDescent="0.35">
      <c r="A214" t="s">
        <v>190</v>
      </c>
      <c r="B214">
        <v>102</v>
      </c>
      <c r="C214" t="str">
        <f t="shared" si="6"/>
        <v>EMSG:Submission is not DPJ eligibleSTRACE:edge.capabilities.quote.submission.QuoteHandler.retrieve(QuoteHandler.gs:XXXSTRACERAW:-</v>
      </c>
      <c r="D214" s="3">
        <f t="shared" si="7"/>
        <v>13.26</v>
      </c>
    </row>
    <row r="215" spans="1:4" x14ac:dyDescent="0.35">
      <c r="A215" t="s">
        <v>416</v>
      </c>
      <c r="B215">
        <v>102</v>
      </c>
      <c r="C215" t="str">
        <f t="shared" si="6"/>
        <v>EMSG:You do not have the permission required to perform this action: User doesn't have permission: Permission to create a submission jobSTRACE:deployment.pc.war//com.guidewire.pl.domain.community.impl.UserImpl.assertPermission(UserImpl.java:XXXSTRACERAW:-</v>
      </c>
      <c r="D215" s="3">
        <f t="shared" si="7"/>
        <v>13.26</v>
      </c>
    </row>
    <row r="216" spans="1:4" x14ac:dyDescent="0.35">
      <c r="A216" t="s">
        <v>736</v>
      </c>
      <c r="B216">
        <v>100</v>
      </c>
      <c r="C216" t="str">
        <f t="shared" si="6"/>
        <v>EMSG:Exclude the Driver XXXSTRACE:edge.capabilities.quote.submission.quoting.util.SubmissionUnderwritingIssuesUtil.checkSideBySideProcessExceptions(SubmissionUnderwritingIssuesUtil.gs:XXXSTRACERAW:-</v>
      </c>
      <c r="D216" s="3">
        <f t="shared" si="7"/>
        <v>13</v>
      </c>
    </row>
    <row r="217" spans="1:4" x14ac:dyDescent="0.35">
      <c r="A217" t="s">
        <v>171</v>
      </c>
      <c r="B217">
        <v>98</v>
      </c>
      <c r="C217" t="str">
        <f t="shared" si="6"/>
        <v>EMSG:-STRACE:-STRACERAW:com.guidewire.pl.system.entity.proxy.EffDatedBranchProxy.checkForOverlapsAndGaps(EffDatedBranchProxy.java:XXX</v>
      </c>
      <c r="D217" s="3">
        <f t="shared" si="7"/>
        <v>12.740000000000002</v>
      </c>
    </row>
    <row r="218" spans="1:4" x14ac:dyDescent="0.35">
      <c r="A218" t="s">
        <v>267</v>
      </c>
      <c r="B218">
        <v>98</v>
      </c>
      <c r="C218" t="str">
        <f t="shared" si="6"/>
        <v>EMSG:XXX with one or more major citations in the last XXX years are not eligible for coverage. Coverage may be available with Bristol West.STRACE:gw.job.QuoteProcess.requestQuote(QuoteProcess.gs:XXXSTRACERAW:-</v>
      </c>
      <c r="D218" s="3">
        <f t="shared" si="7"/>
        <v>12.740000000000002</v>
      </c>
    </row>
    <row r="219" spans="1:4" x14ac:dyDescent="0.35">
      <c r="A219" t="s">
        <v>227</v>
      </c>
      <c r="B219">
        <v>98</v>
      </c>
      <c r="C219" t="str">
        <f t="shared" si="6"/>
        <v>EMSG:api-int.farmersinsurance.com:XXX failed to respondSTRACE:deployment.pc.war//org.apache.http.impl.conn.DefaultHttpResponseParser.parseHead(DefaultHttpResponseParser.java:XXXSTRACERAW:-</v>
      </c>
      <c r="D219" s="3">
        <f t="shared" si="7"/>
        <v>12.740000000000002</v>
      </c>
    </row>
    <row r="220" spans="1:4" x14ac:dyDescent="0.35">
      <c r="A220" t="s">
        <v>221</v>
      </c>
      <c r="B220">
        <v>95</v>
      </c>
      <c r="C220" t="str">
        <f t="shared" si="6"/>
        <v>EMSG:-STRACE:-STRACERAW:com.farmers.integ.serviceoperations.deeplaunch.servlets.util.PolicySearchHelper.policySearch(PolicySearchHelper.gs:XXX</v>
      </c>
      <c r="D220" s="3">
        <f t="shared" si="7"/>
        <v>12.35</v>
      </c>
    </row>
    <row r="221" spans="1:4" x14ac:dyDescent="0.35">
      <c r="A221" t="s">
        <v>561</v>
      </c>
      <c r="B221">
        <v>93</v>
      </c>
      <c r="C221" t="str">
        <f t="shared" si="6"/>
        <v>EMSG:The risk is not eligible for a Farmers policy due to a driver with a financial responsibility filing. Select the Bridge to Bristol West button to create a quote in the Bristol West system.STRACE:gw.job.QuoteProcess.requestQuote(QuoteProcess.gs:XXXSTR</v>
      </c>
      <c r="D221" s="3">
        <f t="shared" si="7"/>
        <v>12.090000000000002</v>
      </c>
    </row>
    <row r="222" spans="1:4" x14ac:dyDescent="0.35">
      <c r="A222" t="s">
        <v>269</v>
      </c>
      <c r="B222">
        <v>92</v>
      </c>
      <c r="C222" t="str">
        <f t="shared" si="6"/>
        <v>EMSG:, AOR=XXXSTRACE:com.farmers.integ.framework.job.automatejob.policychange.AutomatedPolicyChangeJobAPI.finishJob(AutomatedPolicyChangeJobAPI.gs:XXXSTRACERAW:-</v>
      </c>
      <c r="D222" s="3">
        <f t="shared" si="7"/>
        <v>11.959999999999999</v>
      </c>
    </row>
    <row r="223" spans="1:4" x14ac:dyDescent="0.35">
      <c r="A223" t="s">
        <v>224</v>
      </c>
      <c r="B223">
        <v>92</v>
      </c>
      <c r="C223" t="str">
        <f t="shared" si="6"/>
        <v>EMSG:gw.xml.XmlSortException: Unable to process children of element '{http://zsoa.zurichna.com/enterpriseservices/ZSOA_FinancialTransaction}fullTermPremiumAmount'. Expected one of '{theCurrencyAmount}'STRACE:deployment.pc.war//gw.internal.xml.ws.WsdlPortI</v>
      </c>
      <c r="D223" s="3">
        <f t="shared" si="7"/>
        <v>11.959999999999999</v>
      </c>
    </row>
    <row r="224" spans="1:4" x14ac:dyDescent="0.35">
      <c r="A224" t="s">
        <v>329</v>
      </c>
      <c r="B224">
        <v>90</v>
      </c>
      <c r="C224" t="str">
        <f t="shared" si="6"/>
        <v>EMSG:Multiple entries with same key: loggedOnUserID=&lt;?xml version="XXX.XXX" encoding="UTFXXX"?&gt;&lt;loggedOnUserID xmlns="http://zsoa.zurichna.com/enterpriseservices/ZSOA"&gt;customerdaemon&lt;/loggedOnUserID&gt; and loggedOnUserID=&lt;?xml version="XXX.XXX" encoding="UT</v>
      </c>
      <c r="D224" s="3">
        <f t="shared" si="7"/>
        <v>11.700000000000001</v>
      </c>
    </row>
    <row r="225" spans="1:4" x14ac:dyDescent="0.35">
      <c r="A225" t="s">
        <v>223</v>
      </c>
      <c r="B225">
        <v>90</v>
      </c>
      <c r="C225" t="str">
        <f t="shared" si="6"/>
        <v>EMSG:java.util.ConcurrentModificationExceptionSTRACE:deployment.pc.war//gw.internal.xml.ws.WsdlPortImpl.invoke(WsdlPortImpl.java:XXXSTRACERAW:-</v>
      </c>
      <c r="D225" s="3">
        <f t="shared" si="7"/>
        <v>11.700000000000001</v>
      </c>
    </row>
    <row r="226" spans="1:4" x14ac:dyDescent="0.35">
      <c r="A226" t="s">
        <v>175</v>
      </c>
      <c r="B226">
        <v>87</v>
      </c>
      <c r="C226" t="str">
        <f t="shared" si="6"/>
        <v>EMSG:Old Agent no longer on policy to be transferredSTRACE:com.farmers.integ.distribution.opra.batch.helper.OpraRecordHandler.validateRecords(OpraRecordHandler.gs:XXXSTRACERAW:-</v>
      </c>
      <c r="D226" s="3">
        <f t="shared" si="7"/>
        <v>11.309999999999999</v>
      </c>
    </row>
    <row r="227" spans="1:4" x14ac:dyDescent="0.35">
      <c r="A227" t="s">
        <v>516</v>
      </c>
      <c r="B227">
        <v>87</v>
      </c>
      <c r="C227" t="str">
        <f t="shared" si="6"/>
        <v>EMSG:You do not have the permission required to perform this action: User doesn't have permission to edit this activitySTRACE:deployment.pc.war//com.guidewire.pl.domain.community.impl.UserImpl.assertPermission(UserImpl.java:XXXSTRACERAW:-</v>
      </c>
      <c r="D227" s="3">
        <f t="shared" si="7"/>
        <v>11.309999999999999</v>
      </c>
    </row>
    <row r="228" spans="1:4" x14ac:dyDescent="0.35">
      <c r="A228" t="s">
        <v>203</v>
      </c>
      <c r="B228">
        <v>86</v>
      </c>
      <c r="C228" t="str">
        <f t="shared" si="6"/>
        <v>EMSG:, AOR=XXXSTRACE:com.farmers.config.pa.adpf.ADPFReportHelper.startProcessing(ADPFReportHelper.gs:XXXSTRACERAW:-</v>
      </c>
      <c r="D228" s="3">
        <f t="shared" si="7"/>
        <v>11.18</v>
      </c>
    </row>
    <row r="229" spans="1:4" x14ac:dyDescent="0.35">
      <c r="A229" t="s">
        <v>82</v>
      </c>
      <c r="B229">
        <v>85</v>
      </c>
      <c r="C229" t="str">
        <f t="shared" si="6"/>
        <v>EMSG:, AOR=XXXSTRACE:deployment.pc.war//com.guidewire.pl.system.entity.proxy.BeanProxy.checkIsInBundle(BeanProxy.java:XXXSTRACERAW:-</v>
      </c>
      <c r="D229" s="3">
        <f t="shared" si="7"/>
        <v>11.05</v>
      </c>
    </row>
    <row r="230" spans="1:4" x14ac:dyDescent="0.35">
      <c r="A230" t="s">
        <v>142</v>
      </c>
      <c r="B230">
        <v>84</v>
      </c>
      <c r="C230" t="str">
        <f t="shared" si="6"/>
        <v>EMSG:, AOR=XXXSTRACE:deployment.pc.war//com.guidewire.pl.system.entity.proxy.EffDatedBranchProxy.isChanged(EffDatedBranchProxy.java:XXXSTRACERAW:-</v>
      </c>
      <c r="D230" s="3">
        <f t="shared" si="7"/>
        <v>10.920000000000002</v>
      </c>
    </row>
    <row r="231" spans="1:4" x14ac:dyDescent="0.35">
      <c r="A231" t="s">
        <v>216</v>
      </c>
      <c r="B231">
        <v>84</v>
      </c>
      <c r="C231" t="str">
        <f t="shared" si="6"/>
        <v>EMSG:Account Creation failed because of invalid AgentOfRecord XXXSTRACE:com.farmers.integ.distribution.ecms.deeplaunch.util.QuoteNavigationHelper.retrieveProducerCode(QuoteNavigationHelper.gs:XXXSTRACERAW:-</v>
      </c>
      <c r="D231" s="3">
        <f t="shared" si="7"/>
        <v>10.920000000000002</v>
      </c>
    </row>
    <row r="232" spans="1:4" x14ac:dyDescent="0.35">
      <c r="A232" t="s">
        <v>387</v>
      </c>
      <c r="B232">
        <v>84</v>
      </c>
      <c r="C232" t="str">
        <f t="shared" si="6"/>
        <v>EMSG:Cannot create Dwelling because it already exists.STRACE:deployment.pc.war//com.guidewire.pc.domain.coverage.impl.CoverableImpl.createCoverage(CoverableImpl.java:XXXSTRACERAW:-</v>
      </c>
      <c r="D232" s="3">
        <f t="shared" si="7"/>
        <v>10.920000000000002</v>
      </c>
    </row>
    <row r="233" spans="1:4" x14ac:dyDescent="0.35">
      <c r="A233" t="s">
        <v>889</v>
      </c>
      <c r="B233">
        <v>82</v>
      </c>
      <c r="C233" t="str">
        <f t="shared" si="6"/>
        <v>EMSG:A balance of $null must be paid prior to rewriting or reinstating this policy. The Account is on a Notice of Cancellation.STRACE:com.farmers.billing.dao.BillingInformationProcessor.validateNOCorServiceFailure(BillingInformationProcessor.gs:XXXSTRACER</v>
      </c>
      <c r="D233" s="3">
        <f t="shared" si="7"/>
        <v>10.66</v>
      </c>
    </row>
    <row r="234" spans="1:4" x14ac:dyDescent="0.35">
      <c r="A234" t="s">
        <v>257</v>
      </c>
      <c r="B234">
        <v>81</v>
      </c>
      <c r="C234" t="str">
        <f t="shared" si="6"/>
        <v>EMSG:Unparseable date: "XXX/XXX/XXX"STRACE:java.base/java.text.DateFormat.parse(DateFormat.java:XXXSTRACERAW:-</v>
      </c>
      <c r="D234" s="3">
        <f t="shared" si="7"/>
        <v>10.53</v>
      </c>
    </row>
    <row r="235" spans="1:4" x14ac:dyDescent="0.35">
      <c r="A235" t="s">
        <v>236</v>
      </c>
      <c r="B235">
        <v>80</v>
      </c>
      <c r="C235" t="str">
        <f t="shared" si="6"/>
        <v>EMSG:, AOR=XXXSTRACE:deployment.pc.war//com.guidewire.pl.system.bundle.EntityBundleImpl.removeInternal(EntityBundleImpl.java:XXXSTRACERAW:-</v>
      </c>
      <c r="D235" s="3">
        <f t="shared" si="7"/>
        <v>10.4</v>
      </c>
    </row>
    <row r="236" spans="1:4" x14ac:dyDescent="0.35">
      <c r="A236" t="s">
        <v>247</v>
      </c>
      <c r="B236">
        <v>80</v>
      </c>
      <c r="C236" t="str">
        <f t="shared" si="6"/>
        <v>EMSG:-STRACE:-STRACERAW:pcfc.expressions.SideBySideScreenExpressions$SideBySideScreenExpressionsImpl.initialValue_XXX(SideBySideScreenExpressions.gs:XXX</v>
      </c>
      <c r="D236" s="3">
        <f t="shared" si="7"/>
        <v>10.4</v>
      </c>
    </row>
    <row r="237" spans="1:4" x14ac:dyDescent="0.35">
      <c r="A237" t="s">
        <v>218</v>
      </c>
      <c r="B237">
        <v>79</v>
      </c>
      <c r="C237" t="str">
        <f t="shared" si="6"/>
        <v>EMSG:One or more null constraint violations detected for DiagnosticRatingWorksheetSTRACE:deployment.pc.war//com.guidewire.pl.system.database.entitywriter.DatabaseEntityWriterImpl.checkForNullConstraintViolation(DatabaseEntityWriterImpl.java:XXXSTRACERAW:-</v>
      </c>
      <c r="D237" s="3">
        <f t="shared" si="7"/>
        <v>10.270000000000001</v>
      </c>
    </row>
    <row r="238" spans="1:4" x14ac:dyDescent="0.35">
      <c r="A238" t="s">
        <v>745</v>
      </c>
      <c r="B238">
        <v>78</v>
      </c>
      <c r="C238" t="str">
        <f t="shared" si="6"/>
        <v>EMSG:Unacceptable Risk. Unable to complete the quote. The property is isolated (not visible from the main road or neighbors).STRACE:edge.capabilities.quote.submission.quoting.util.SubmissionUnderwritingIssuesUtil.checkSideBySideProcessExceptions(Submissio</v>
      </c>
      <c r="D238" s="3">
        <f t="shared" si="7"/>
        <v>10.14</v>
      </c>
    </row>
    <row r="239" spans="1:4" x14ac:dyDescent="0.35">
      <c r="A239" t="s">
        <v>1262</v>
      </c>
      <c r="B239">
        <v>76</v>
      </c>
      <c r="C239" t="str">
        <f t="shared" si="6"/>
        <v>EMSG:, AOR=XXXSTRACE:java.base/java.lang.NumberFormatException.forInputString(NumberFormatException.java:XXXSTRACERAW:-</v>
      </c>
      <c r="D239" s="3">
        <f t="shared" si="7"/>
        <v>9.879999999999999</v>
      </c>
    </row>
    <row r="240" spans="1:4" x14ac:dyDescent="0.35">
      <c r="A240" t="s">
        <v>173</v>
      </c>
      <c r="B240">
        <v>76</v>
      </c>
      <c r="C240" t="str">
        <f t="shared" si="6"/>
        <v>EMSG:Cannot start job XXXSTRACE:com.farmers.integ.framework.job.automatejob.AutomatedJob$block_XXX_.invoke(AutomatedJob.gs:XXXSTRACERAW:-</v>
      </c>
      <c r="D240" s="3">
        <f t="shared" si="7"/>
        <v>9.879999999999999</v>
      </c>
    </row>
    <row r="241" spans="1:4" x14ac:dyDescent="0.35">
      <c r="A241" t="s">
        <v>343</v>
      </c>
      <c r="B241">
        <v>76</v>
      </c>
      <c r="C241" t="str">
        <f t="shared" si="6"/>
        <v>EMSG:begin XXXSTRACE:java.base/java.lang.String.checkBoundsBeginEnd(String.java:XXXSTRACERAW:-</v>
      </c>
      <c r="D241" s="3">
        <f t="shared" si="7"/>
        <v>9.879999999999999</v>
      </c>
    </row>
    <row r="242" spans="1:4" x14ac:dyDescent="0.35">
      <c r="A242" t="s">
        <v>906</v>
      </c>
      <c r="B242">
        <v>75</v>
      </c>
      <c r="C242" t="str">
        <f t="shared" si="6"/>
        <v>EMSG:The value XXX is not formatted correctly for the field "Name": Exceeds the maximum length of XXX characters (XXX)STRACE:deployment.pc.war//gw.datatype.impl.StringConstraintsHandlerBase.validateStringLength(StringConstraintsHandlerBase.java:XXXSTRACER</v>
      </c>
      <c r="D242" s="3">
        <f t="shared" si="7"/>
        <v>9.75</v>
      </c>
    </row>
    <row r="243" spans="1:4" x14ac:dyDescent="0.35">
      <c r="A243" t="s">
        <v>217</v>
      </c>
      <c r="B243">
        <v>74</v>
      </c>
      <c r="C243" t="str">
        <f t="shared" si="6"/>
        <v>EMSG:-STRACE:-STRACERAW:java.util.HashMap$HashIterator.nextNode(HashMap.java:XXX</v>
      </c>
      <c r="D243" s="3">
        <f t="shared" si="7"/>
        <v>9.620000000000001</v>
      </c>
    </row>
    <row r="244" spans="1:4" x14ac:dyDescent="0.35">
      <c r="A244" t="s">
        <v>357</v>
      </c>
      <c r="B244">
        <v>73</v>
      </c>
      <c r="C244" t="str">
        <f t="shared" si="6"/>
        <v>EMSG:-STRACE:-STRACERAW:com.guidewire.pl.system.bundle.EntityBundleImpl.replaceBean(EntityBundleImpl.java:XXX</v>
      </c>
      <c r="D244" s="3">
        <f t="shared" si="7"/>
        <v>9.49</v>
      </c>
    </row>
    <row r="245" spans="1:4" x14ac:dyDescent="0.35">
      <c r="A245" t="s">
        <v>443</v>
      </c>
      <c r="B245">
        <v>72</v>
      </c>
      <c r="C245" t="str">
        <f t="shared" si="6"/>
        <v>EMSG:, AOR=XXXSTRACE:com.sun.proxy.$ProxyXXX.invoke(Unknown SourceSTRACERAW:-</v>
      </c>
      <c r="D245" s="3">
        <f t="shared" si="7"/>
        <v>9.3600000000000012</v>
      </c>
    </row>
    <row r="246" spans="1:4" x14ac:dyDescent="0.35">
      <c r="A246" t="s">
        <v>914</v>
      </c>
      <c r="B246">
        <v>72</v>
      </c>
      <c r="C246" t="str">
        <f t="shared" si="6"/>
        <v>EMSG:-STRACE:-STRACERAW:[Source: UNKNOWN; byte offset: #UNKNOWN] (through reference chain: edge.capabilities.quote.submission.dto.QuoteDataDTO["lobData"]-&gt;edge.capabilities.policyjob.lob.personalauto.dto.PaLobDataDTO["coverables"]-&gt;edge.capabilities.polic</v>
      </c>
      <c r="D246" s="3">
        <f t="shared" si="7"/>
        <v>9.3600000000000012</v>
      </c>
    </row>
    <row r="247" spans="1:4" x14ac:dyDescent="0.35">
      <c r="A247" t="s">
        <v>243</v>
      </c>
      <c r="B247">
        <v>72</v>
      </c>
      <c r="C247" t="str">
        <f t="shared" si="6"/>
        <v>EMSG:Account Holder in PC is different from Head of Hosuehold. Account Holder in PC needs to be manually corrected before attempting Product Rewrite.STRACE:edge.capabilities.gateway.account.DefaultAccountPlugin.verifyAndReassignAccountHolder(DefaultAccoun</v>
      </c>
      <c r="D247" s="3">
        <f t="shared" si="7"/>
        <v>9.3600000000000012</v>
      </c>
    </row>
    <row r="248" spans="1:4" x14ac:dyDescent="0.35">
      <c r="A248" t="s">
        <v>739</v>
      </c>
      <c r="B248">
        <v>72</v>
      </c>
      <c r="C248" t="str">
        <f t="shared" si="6"/>
        <v>EMSG:[XXX] Cannot load a temporary id from the backing entity source: Submission:XXXSTRACE:deployment.pc.war//com.guidewire.pl.system.bundle.EntityBundleImpl.loadBean(EntityBundleImpl.java:XXXSTRACERAW:-</v>
      </c>
      <c r="D248" s="3">
        <f t="shared" si="7"/>
        <v>9.3600000000000012</v>
      </c>
    </row>
    <row r="249" spans="1:4" x14ac:dyDescent="0.35">
      <c r="A249" t="s">
        <v>195</v>
      </c>
      <c r="B249">
        <v>72</v>
      </c>
      <c r="C249" t="str">
        <f t="shared" si="6"/>
        <v>EMSG:apis-pceisg.farmersinsurance.com:XXX failed to respondSTRACE:deployment.pc.war//org.apache.http.impl.conn.DefaultHttpResponseParser.parseHead(DefaultHttpResponseParser.java:XXXSTRACERAW:-</v>
      </c>
      <c r="D249" s="3">
        <f t="shared" si="7"/>
        <v>9.3600000000000012</v>
      </c>
    </row>
    <row r="250" spans="1:4" x14ac:dyDescent="0.35">
      <c r="A250" t="s">
        <v>49</v>
      </c>
      <c r="B250">
        <v>72</v>
      </c>
      <c r="C250" t="str">
        <f t="shared" si="6"/>
        <v>EMSG:error:entity.xxxUI-ValidationERRORMessagexxxSTRACE:-STRACERAW:</v>
      </c>
      <c r="D250" s="3">
        <f t="shared" si="7"/>
        <v>9.3600000000000012</v>
      </c>
    </row>
    <row r="251" spans="1:4" x14ac:dyDescent="0.35">
      <c r="A251" t="s">
        <v>554</v>
      </c>
      <c r="B251">
        <v>71</v>
      </c>
      <c r="C251" t="str">
        <f t="shared" si="6"/>
        <v>EMSG:Failed to execute a batch updateSTRACE:deployment.pc.war//com.guidewire.pl.system.transaction.ConnectionHandler.newDbException(ConnectionHandler.java:XXXSTRACERAW:-</v>
      </c>
      <c r="D251" s="3">
        <f t="shared" si="7"/>
        <v>9.23</v>
      </c>
    </row>
    <row r="252" spans="1:4" x14ac:dyDescent="0.35">
      <c r="A252" t="s">
        <v>284</v>
      </c>
      <c r="B252">
        <v>71</v>
      </c>
      <c r="C252" t="str">
        <f t="shared" si="6"/>
        <v>EMSG:XXX has exceeded the maximum accident count with BI payout for the state. You may select the Bridge to Bristol West button to create a quote in the Bristol West system.STRACE:gw.job.QuoteProcess.requestQuote(QuoteProcess.gs:XXXSTRACERAW:-</v>
      </c>
      <c r="D252" s="3">
        <f t="shared" si="7"/>
        <v>9.23</v>
      </c>
    </row>
    <row r="253" spans="1:4" x14ac:dyDescent="0.35">
      <c r="A253" t="s">
        <v>299</v>
      </c>
      <c r="B253">
        <v>70</v>
      </c>
      <c r="C253" t="str">
        <f t="shared" si="6"/>
        <v>EMSG:-STRACE:-STRACERAW:gw.job.JobProcessUWIssueEvaluator.evaluateAndCheckForBlockingUWIssuesInSlices(JobProcessUWIssueEvaluator.gs:XXX</v>
      </c>
      <c r="D253" s="3">
        <f t="shared" si="7"/>
        <v>9.1</v>
      </c>
    </row>
    <row r="254" spans="1:4" x14ac:dyDescent="0.35">
      <c r="A254" t="s">
        <v>202</v>
      </c>
      <c r="B254">
        <v>70</v>
      </c>
      <c r="C254" t="str">
        <f t="shared" si="6"/>
        <v>EMSG:Enter a Carrier Name. It is required for an underlying policy.STRACE:gw.lob.pup.PUPLineValidation_PUE.validateIneligiblePUPfields(PUPLineValidation_PUE.gs:XXXSTRACERAW:-</v>
      </c>
      <c r="D254" s="3">
        <f t="shared" si="7"/>
        <v>9.1</v>
      </c>
    </row>
    <row r="255" spans="1:4" x14ac:dyDescent="0.35">
      <c r="A255" t="s">
        <v>744</v>
      </c>
      <c r="B255">
        <v>69</v>
      </c>
      <c r="C255" t="str">
        <f t="shared" si="6"/>
        <v>EMSG:-STRACE:-STRACERAW:gwservices.pc.dm.gxmig.base.policy.PolicyPeriodPopulator.finish(PolicyPeriodPopulator.gs:XXX</v>
      </c>
      <c r="D255" s="3">
        <f t="shared" si="7"/>
        <v>8.9700000000000006</v>
      </c>
    </row>
    <row r="256" spans="1:4" x14ac:dyDescent="0.35">
      <c r="A256" t="s">
        <v>244</v>
      </c>
      <c r="B256">
        <v>69</v>
      </c>
      <c r="C256" t="str">
        <f t="shared" si="6"/>
        <v>EMSG:-STRACE:java.base/java.util.HashMap$HashIterator.nextNode(HashMap.java:XXXSTRACERAW:-</v>
      </c>
      <c r="D256" s="3">
        <f t="shared" si="7"/>
        <v>8.9700000000000006</v>
      </c>
    </row>
    <row r="257" spans="1:4" x14ac:dyDescent="0.35">
      <c r="A257" t="s">
        <v>57</v>
      </c>
      <c r="B257">
        <v>69</v>
      </c>
      <c r="C257" t="str">
        <f t="shared" si="6"/>
        <v>EMSG:No message configured: XXXSTRACE:-STRACERAW:</v>
      </c>
      <c r="D257" s="3">
        <f t="shared" si="7"/>
        <v>8.9700000000000006</v>
      </c>
    </row>
    <row r="258" spans="1:4" x14ac:dyDescent="0.35">
      <c r="A258" t="s">
        <v>371</v>
      </c>
      <c r="B258">
        <v>68</v>
      </c>
      <c r="C258" t="str">
        <f t="shared" ref="C258:C321" si="8">LEFT(A258,255)</f>
        <v>EMSG:-STRACE:com.farmers.integ.erti.riskanalysis.contactid.transformer.RetrieveContactIDRequestTransformer.getAddress(RetrieveContactIDRequestTransformer.gs:XXXSTRACERAW:-</v>
      </c>
      <c r="D258" s="3">
        <f t="shared" ref="D258:D321" si="9">IF(AND((B258/10)&lt;1,(B258/10)&gt;0),1,(B258/10)*130%)</f>
        <v>8.84</v>
      </c>
    </row>
    <row r="259" spans="1:4" x14ac:dyDescent="0.35">
      <c r="A259" t="s">
        <v>261</v>
      </c>
      <c r="B259">
        <v>68</v>
      </c>
      <c r="C259" t="str">
        <f t="shared" si="8"/>
        <v>EMSG:Cannot create Fences because it already exists.STRACE:deployment.pc.war//com.guidewire.pc.domain.coverage.impl.CoverableImpl.createCoverage(CoverableImpl.java:XXXSTRACERAW:-</v>
      </c>
      <c r="D259" s="3">
        <f t="shared" si="9"/>
        <v>8.84</v>
      </c>
    </row>
    <row r="260" spans="1:4" x14ac:dyDescent="0.35">
      <c r="A260" t="s">
        <v>373</v>
      </c>
      <c r="B260">
        <v>68</v>
      </c>
      <c r="C260" t="str">
        <f t="shared" si="8"/>
        <v>EMSG:Exception occurs while transforming request for RetrieveContactID Service Call STRACE:com.farmers.integ.erti.riskanalysis.contactid.transformer.RetrieveContactIDRequestTransformer.transform(RetrieveContactIDRequestTransformer.gs:XXXSTRACERAW:-</v>
      </c>
      <c r="D260" s="3">
        <f t="shared" si="9"/>
        <v>8.84</v>
      </c>
    </row>
    <row r="261" spans="1:4" ht="29" x14ac:dyDescent="0.35">
      <c r="A261" s="4" t="s">
        <v>610</v>
      </c>
      <c r="B261">
        <v>67</v>
      </c>
      <c r="C261" t="str">
        <f t="shared" si="8"/>
        <v>EMSG:Contact Service Operations at XXXXXXXXX. The transmission of data from APEX failed.STRACE:XXXXXXXXX. The transmission of data from APEX failed.
	at com.farmers.integ.distribution.ecms.deeplaunch.servlets.QuoteNavigationServlet.doGet(QuoteNavigationSe</v>
      </c>
      <c r="D261" s="3">
        <f t="shared" si="9"/>
        <v>8.7100000000000009</v>
      </c>
    </row>
    <row r="262" spans="1:4" x14ac:dyDescent="0.35">
      <c r="A262" t="s">
        <v>192</v>
      </c>
      <c r="B262">
        <v>66</v>
      </c>
      <c r="C262" t="str">
        <f t="shared" si="8"/>
        <v>EMSG:Cannot start job XXXSTRACE:com.farmers.integ.framework.job.automatejob.AutomatedJob.executeJob(AutomatedJob.gs:XXXSTRACERAW:-</v>
      </c>
      <c r="D262" s="3">
        <f t="shared" si="9"/>
        <v>8.58</v>
      </c>
    </row>
    <row r="263" spans="1:4" x14ac:dyDescent="0.35">
      <c r="A263" t="s">
        <v>1263</v>
      </c>
      <c r="B263">
        <v>66</v>
      </c>
      <c r="C263" t="str">
        <f t="shared" si="8"/>
        <v>EMSG:Duplicate key PACollSelectedBy foundSTRACE:edge.util.MapUtil.groupUnique(MapUtil.gs:XXXSTRACERAW:-</v>
      </c>
      <c r="D263" s="3">
        <f t="shared" si="9"/>
        <v>8.58</v>
      </c>
    </row>
    <row r="264" spans="1:4" x14ac:dyDescent="0.35">
      <c r="A264" t="s">
        <v>754</v>
      </c>
      <c r="B264">
        <v>66</v>
      </c>
      <c r="C264" t="str">
        <f t="shared" si="8"/>
        <v>EMSG:ERC endorsement ineligible on dwellings with PPC XXX.STRACE:edge.capabilities.quote.submission.quoting.util.SubmissionUnderwritingIssuesUtil.checkSideBySideProcessExceptions(SubmissionUnderwritingIssuesUtil.gs:XXXSTRACERAW:-</v>
      </c>
      <c r="D264" s="3">
        <f t="shared" si="9"/>
        <v>8.58</v>
      </c>
    </row>
    <row r="265" spans="1:4" x14ac:dyDescent="0.35">
      <c r="A265" t="s">
        <v>970</v>
      </c>
      <c r="B265">
        <v>64</v>
      </c>
      <c r="C265" t="str">
        <f t="shared" si="8"/>
        <v>EMSG:Exception while performing the search operation with search criteria Street Number:XXXSTRACE:com.farmers.integ.erti.iso.location.impl.AbstractISOLocationFinder.search(AbstractISOLocationFinder.gs:XXXSTRACERAW:-</v>
      </c>
      <c r="D265" s="3">
        <f t="shared" si="9"/>
        <v>8.32</v>
      </c>
    </row>
    <row r="266" spans="1:4" x14ac:dyDescent="0.35">
      <c r="A266" t="s">
        <v>325</v>
      </c>
      <c r="B266">
        <v>63</v>
      </c>
      <c r="C266" t="str">
        <f t="shared" si="8"/>
        <v>EMSG:-STRACE:-STRACERAW:com.guidewire.pl.system.entity.proxy.EffDatedBeanProxy.checkForOverlaps(EffDatedBeanProxy.java:XXX</v>
      </c>
      <c r="D266" s="3">
        <f t="shared" si="9"/>
        <v>8.19</v>
      </c>
    </row>
    <row r="267" spans="1:4" x14ac:dyDescent="0.35">
      <c r="A267" t="s">
        <v>873</v>
      </c>
      <c r="B267">
        <v>63</v>
      </c>
      <c r="C267" t="str">
        <f t="shared" si="8"/>
        <v>EMSG:Personal Auto:XXX deleted from databaseSTRACE:deployment.pc.war//com.guidewire.pl.system.database.entitywriter.DatabaseEntityWriterImpl.writeSingleBeanUpdate(DatabaseEntityWriterImpl.java:XXXSTRACERAW:-</v>
      </c>
      <c r="D267" s="3">
        <f t="shared" si="9"/>
        <v>8.19</v>
      </c>
    </row>
    <row r="268" spans="1:4" x14ac:dyDescent="0.35">
      <c r="A268" t="s">
        <v>226</v>
      </c>
      <c r="B268">
        <v>63</v>
      </c>
      <c r="C268" t="str">
        <f t="shared" si="8"/>
        <v>EMSG:This risk is not eligible for the new auto product due to excessive accidents and/or violations.STRACE:com.farmers.config.pa.validator.BrightlineValidator.validateQuoteBrightlineRules(BrightlineValidator.gs:XXXSTRACERAW:-</v>
      </c>
      <c r="D268" s="3">
        <f t="shared" si="9"/>
        <v>8.19</v>
      </c>
    </row>
    <row r="269" spans="1:4" x14ac:dyDescent="0.35">
      <c r="A269" t="s">
        <v>266</v>
      </c>
      <c r="B269">
        <v>62</v>
      </c>
      <c r="C269" t="str">
        <f t="shared" si="8"/>
        <v>EMSG:Update XXX for Driver XXXSTRACE:edge.capabilities.quote.submission.quoting.util.SubmissionUnderwritingIssuesUtil.checkVerifyRateExceptions(SubmissionUnderwritingIssuesUtil.gs:XXXSTRACERAW:-</v>
      </c>
      <c r="D269" s="3">
        <f t="shared" si="9"/>
        <v>8.06</v>
      </c>
    </row>
    <row r="270" spans="1:4" x14ac:dyDescent="0.35">
      <c r="A270" t="s">
        <v>303</v>
      </c>
      <c r="B270">
        <v>62</v>
      </c>
      <c r="C270" t="str">
        <f t="shared" si="8"/>
        <v>EMSG:XXX Policy Period not in Quoted statusSTRACE:edge.capabilities.quote.submission.GatewayQuoteHandler.submitBindPolicy(GatewayQuoteHandler.gs:XXXSTRACERAW:-</v>
      </c>
      <c r="D270" s="3">
        <f t="shared" si="9"/>
        <v>8.06</v>
      </c>
    </row>
    <row r="271" spans="1:4" x14ac:dyDescent="0.35">
      <c r="A271" t="s">
        <v>1264</v>
      </c>
      <c r="B271">
        <v>60</v>
      </c>
      <c r="C271" t="str">
        <f t="shared" si="8"/>
        <v>EMSG:, AOR=XXXSTRACE:com.farmers.config.common.enhancements.PolicyPeriodEnhancement.accountSyncFieldRevert(PolicyPeriodEnhancement.gsx:XXXSTRACERAW:-</v>
      </c>
      <c r="D271" s="3">
        <f t="shared" si="9"/>
        <v>7.8000000000000007</v>
      </c>
    </row>
    <row r="272" spans="1:4" x14ac:dyDescent="0.35">
      <c r="A272" t="s">
        <v>45</v>
      </c>
      <c r="B272">
        <v>60</v>
      </c>
      <c r="C272" t="str">
        <f t="shared" si="8"/>
        <v>EMSG:-STRACE:STRACERAW:-</v>
      </c>
      <c r="D272" s="3">
        <f t="shared" si="9"/>
        <v>7.8000000000000007</v>
      </c>
    </row>
    <row r="273" spans="1:4" x14ac:dyDescent="0.35">
      <c r="A273" t="s">
        <v>314</v>
      </c>
      <c r="B273">
        <v>60</v>
      </c>
      <c r="C273" t="str">
        <f t="shared" si="8"/>
        <v>EMSG:-STRACE:edge.capabilities.policyjob.lob.homeowners.HoCoverageDefaultPlugin.updateDefaultCoverages(HoCoverageDefaultPlugin.gs:XXXSTRACERAW:-</v>
      </c>
      <c r="D273" s="3">
        <f t="shared" si="9"/>
        <v>7.8000000000000007</v>
      </c>
    </row>
    <row r="274" spans="1:4" x14ac:dyDescent="0.35">
      <c r="A274" t="s">
        <v>286</v>
      </c>
      <c r="B274">
        <v>59</v>
      </c>
      <c r="C274" t="str">
        <f t="shared" si="8"/>
        <v>EMSG:The value XXX is not formatted correctly for the field "City": Exceeds the maximum length of XXX characters (XXX)STRACE:deployment.pc.war//gw.datatype.impl.StringConstraintsHandlerBase.validateStringLength(StringConstraintsHandlerBase.java:XXXSTRACER</v>
      </c>
      <c r="D274" s="3">
        <f t="shared" si="9"/>
        <v>7.6700000000000008</v>
      </c>
    </row>
    <row r="275" spans="1:4" x14ac:dyDescent="0.35">
      <c r="A275" t="s">
        <v>292</v>
      </c>
      <c r="B275">
        <v>58</v>
      </c>
      <c r="C275" t="str">
        <f t="shared" si="8"/>
        <v>EMSG:-STRACE:-STRACERAW:com.guidewire.pl.system.transaction.TransactionManagerImpl.executeInJoinedThread(TransactionManagerImpl.java:XXX</v>
      </c>
      <c r="D275" s="3">
        <f t="shared" si="9"/>
        <v>7.54</v>
      </c>
    </row>
    <row r="276" spans="1:4" x14ac:dyDescent="0.35">
      <c r="A276" t="s">
        <v>301</v>
      </c>
      <c r="B276">
        <v>58</v>
      </c>
      <c r="C276" t="str">
        <f t="shared" si="8"/>
        <v>EMSG:MVR Ordering Failed! - [Runtime Error]STRACE:com.farmers.config.common.mvr.MVRProcess.orderMVR(MVRProcess.gs:XXXSTRACERAW:-</v>
      </c>
      <c r="D276" s="3">
        <f t="shared" si="9"/>
        <v>7.54</v>
      </c>
    </row>
    <row r="277" spans="1:4" x14ac:dyDescent="0.35">
      <c r="A277" t="s">
        <v>158</v>
      </c>
      <c r="B277">
        <v>57</v>
      </c>
      <c r="C277" t="str">
        <f t="shared" si="8"/>
        <v>EMSG:-STRACE:-STRACERAW:(XXX</v>
      </c>
      <c r="D277" s="3">
        <f t="shared" si="9"/>
        <v>7.41</v>
      </c>
    </row>
    <row r="278" spans="1:4" x14ac:dyDescent="0.35">
      <c r="A278" t="s">
        <v>545</v>
      </c>
      <c r="B278">
        <v>57</v>
      </c>
      <c r="C278" t="str">
        <f t="shared" si="8"/>
        <v>EMSG:-STRACE:-STRACERAW:gw.lang.enhancements.OrderedList$XXX.compare(OrderedList.java:XXX</v>
      </c>
      <c r="D278" s="3">
        <f t="shared" si="9"/>
        <v>7.41</v>
      </c>
    </row>
    <row r="279" spans="1:4" x14ac:dyDescent="0.35">
      <c r="A279" t="s">
        <v>388</v>
      </c>
      <c r="B279">
        <v>55</v>
      </c>
      <c r="C279" t="str">
        <f t="shared" si="8"/>
        <v>EMSG:Cannot re-add ULPolicy_PUE:XXX since it has already been removed.  You must use bundle rollback to undo a remove.STRACE:deployment.pc.war//com.guidewire.pl.system.bundle.EntityBundleImpl.add(EntityBundleImpl.java:XXXSTRACERAW:-</v>
      </c>
      <c r="D279" s="3">
        <f t="shared" si="9"/>
        <v>7.15</v>
      </c>
    </row>
    <row r="280" spans="1:4" x14ac:dyDescent="0.35">
      <c r="A280" t="s">
        <v>787</v>
      </c>
      <c r="B280">
        <v>55</v>
      </c>
      <c r="C280" t="str">
        <f t="shared" si="8"/>
        <v>EMSG:Duplicate key HODW_EarthquakeDeductible_Ext foundSTRACE:edge.util.MapUtil.groupUnique(MapUtil.gs:XXXSTRACERAW:-</v>
      </c>
      <c r="D280" s="3">
        <f t="shared" si="9"/>
        <v>7.15</v>
      </c>
    </row>
    <row r="281" spans="1:4" x14ac:dyDescent="0.35">
      <c r="A281" t="s">
        <v>1265</v>
      </c>
      <c r="B281">
        <v>54</v>
      </c>
      <c r="C281" t="str">
        <f t="shared" si="8"/>
        <v>EMSG:-STRACE:-STRACERAW:java.lang.String.checkBoundsBeginEnd(String.java:XXX</v>
      </c>
      <c r="D281" s="3">
        <f t="shared" si="9"/>
        <v>7.0200000000000005</v>
      </c>
    </row>
    <row r="282" spans="1:4" x14ac:dyDescent="0.35">
      <c r="A282" t="s">
        <v>178</v>
      </c>
      <c r="B282">
        <v>54</v>
      </c>
      <c r="C282" t="str">
        <f t="shared" si="8"/>
        <v>EMSG:No rate book found for filter [ref date: XXXXXXXXXSTRACE:gw.rating.rtm.query.RatingQueryFacade.matchRateBook(RatingQueryFacade.gs:XXXSTRACERAW:-</v>
      </c>
      <c r="D282" s="3">
        <f t="shared" si="9"/>
        <v>7.0200000000000005</v>
      </c>
    </row>
    <row r="283" spans="1:4" ht="29" x14ac:dyDescent="0.35">
      <c r="A283" s="4" t="s">
        <v>636</v>
      </c>
      <c r="B283">
        <v>54</v>
      </c>
      <c r="C283" t="str">
        <f t="shared" si="8"/>
        <v>EMSG:Unacceptable Risk. Unable to complete the quote. The property has a Foundation type that is not eligible for coverage.STRACE:is not eligible for coverage.
	at edge.capabilities.quote.submission.quoting.util.SubmissionUnderwritingIssuesUtil.checkSideB</v>
      </c>
      <c r="D283" s="3">
        <f t="shared" si="9"/>
        <v>7.0200000000000005</v>
      </c>
    </row>
    <row r="284" spans="1:4" x14ac:dyDescent="0.35">
      <c r="A284" t="s">
        <v>337</v>
      </c>
      <c r="B284">
        <v>54</v>
      </c>
      <c r="C284" t="str">
        <f t="shared" si="8"/>
        <v>EMSG:com.guidewire.pl.system.exception.DBException: Failed to close the connectionSTRACE:com.farmers.integ.documentmgmt.ondemand.homeformgeneration.transformer.HomeOnDemandFormGenRequestTransformer.transform(HomeOnDemandFormGenRequestTransformer.gs:XXXSTR</v>
      </c>
      <c r="D284" s="3">
        <f t="shared" si="9"/>
        <v>7.0200000000000005</v>
      </c>
    </row>
    <row r="285" spans="1:4" x14ac:dyDescent="0.35">
      <c r="A285" t="s">
        <v>252</v>
      </c>
      <c r="B285">
        <v>53</v>
      </c>
      <c r="C285" t="str">
        <f t="shared" si="8"/>
        <v>EMSG:-STRACE:-STRACERAW:com.guidewire.pl.system.bundle.EntityBundleImpl.removeInternal(EntityBundleImpl.java:XXX</v>
      </c>
      <c r="D285" s="3">
        <f t="shared" si="9"/>
        <v>6.89</v>
      </c>
    </row>
    <row r="286" spans="1:4" x14ac:dyDescent="0.35">
      <c r="A286" t="s">
        <v>196</v>
      </c>
      <c r="B286">
        <v>52</v>
      </c>
      <c r="C286" t="str">
        <f t="shared" si="8"/>
        <v>EMSG:-STRACE:-STRACERAW:deployment.pc.war//com.guidewire.pl.system.transaction.ConnectionHandler.executeDatabaseOperationForCloseConnection(ConnectionHandler.java:XXX</v>
      </c>
      <c r="D286" s="3">
        <f t="shared" si="9"/>
        <v>6.7600000000000007</v>
      </c>
    </row>
    <row r="287" spans="1:4" x14ac:dyDescent="0.35">
      <c r="A287" t="s">
        <v>208</v>
      </c>
      <c r="B287">
        <v>52</v>
      </c>
      <c r="C287" t="str">
        <f t="shared" si="8"/>
        <v>EMSG:-STRACE:deployment.pc.war//com.guidewire.pl.system.entity.proxy.EffDatedBranchProxy.isChanged(EffDatedBranchProxy.java:XXXSTRACERAW:-</v>
      </c>
      <c r="D287" s="3">
        <f t="shared" si="9"/>
        <v>6.7600000000000007</v>
      </c>
    </row>
    <row r="288" spans="1:4" x14ac:dyDescent="0.35">
      <c r="A288" t="s">
        <v>682</v>
      </c>
      <c r="B288">
        <v>51</v>
      </c>
      <c r="C288" t="str">
        <f t="shared" si="8"/>
        <v>EMSG:-STRACE:com.farmers.integ.security.community.ace.agent.profile.processor.updator.BristolWestCodeUpdateProcessor.setBWCodesToUser(BristolWestCodeUpdateProcessor.gs:XXXSTRACERAW:-</v>
      </c>
      <c r="D288" s="3">
        <f t="shared" si="9"/>
        <v>6.63</v>
      </c>
    </row>
    <row r="289" spans="1:4" x14ac:dyDescent="0.35">
      <c r="A289" t="s">
        <v>255</v>
      </c>
      <c r="B289">
        <v>51</v>
      </c>
      <c r="C289" t="str">
        <f t="shared" si="8"/>
        <v>EMSG:Correct Name/DOB and/or License#  on Drivers screen and re-validate. Name/DOB on XXX MVR Report does not match entered information. Cannot submit until valid MVR is received.;STRACE:edge.capabilities.quote.submission.quoting.util.SubmissionUnderwriti</v>
      </c>
      <c r="D289" s="3">
        <f t="shared" si="9"/>
        <v>6.63</v>
      </c>
    </row>
    <row r="290" spans="1:4" x14ac:dyDescent="0.35">
      <c r="A290" t="s">
        <v>885</v>
      </c>
      <c r="B290">
        <v>50</v>
      </c>
      <c r="C290" t="str">
        <f t="shared" si="8"/>
        <v>EMSG:-STRACE:-STRACERAW:com.farmers.config.common.mli.MLIHelper.transferToCalFocus(MLIHelper.gs:XXX</v>
      </c>
      <c r="D290" s="3">
        <f t="shared" si="9"/>
        <v>6.5</v>
      </c>
    </row>
    <row r="291" spans="1:4" x14ac:dyDescent="0.35">
      <c r="A291" t="s">
        <v>990</v>
      </c>
      <c r="B291">
        <v>50</v>
      </c>
      <c r="C291" t="str">
        <f t="shared" si="8"/>
        <v>EMSG:-STRACE:com.farmers.edge.capabilities.quote.hvq.HighVolumeGatewayQuoteHandler$block_XXX_$block_XXX_.invoke(HighVolumeGatewayQuoteHandler.gs:XXXSTRACERAW:-</v>
      </c>
      <c r="D291" s="3">
        <f t="shared" si="9"/>
        <v>6.5</v>
      </c>
    </row>
    <row r="292" spans="1:4" x14ac:dyDescent="0.35">
      <c r="A292" t="s">
        <v>698</v>
      </c>
      <c r="B292">
        <v>48</v>
      </c>
      <c r="C292" t="str">
        <f t="shared" si="8"/>
        <v>EMSG:One or more null constraint violations detected for HOIncidentRecord_ExtSTRACE:deployment.pc.war//com.guidewire.pl.system.database.entitywriter.DatabaseEntityWriterImpl.checkForNullConstraintViolation(DatabaseEntityWriterImpl.java:XXXSTRACERAW:-</v>
      </c>
      <c r="D292" s="3">
        <f t="shared" si="9"/>
        <v>6.24</v>
      </c>
    </row>
    <row r="293" spans="1:4" x14ac:dyDescent="0.35">
      <c r="A293" t="s">
        <v>784</v>
      </c>
      <c r="B293">
        <v>47</v>
      </c>
      <c r="C293" t="str">
        <f t="shared" si="8"/>
        <v>EMSG:-STRACE:-STRACERAW:gwservices.pc.dm.gxmig.base.policy.PolicyPeriodPopulator.findEntity(PolicyPeriodPopulator.gs:XXX</v>
      </c>
      <c r="D293" s="3">
        <f t="shared" si="9"/>
        <v>6.11</v>
      </c>
    </row>
    <row r="294" spans="1:4" x14ac:dyDescent="0.35">
      <c r="A294" t="s">
        <v>219</v>
      </c>
      <c r="B294">
        <v>47</v>
      </c>
      <c r="C294" t="str">
        <f t="shared" si="8"/>
        <v>EMSG:-STRACE:-STRACERAW:pcfc.expressions.AccountFile_Summary_PolicyTerms_ExtCVExpressions$IteratorEntryExpressionsImpl.initializeVariables_XXX(AccountFile_Summary_PolicyTerms_ExtCVExpressions.gs:XXX</v>
      </c>
      <c r="D294" s="3">
        <f t="shared" si="9"/>
        <v>6.11</v>
      </c>
    </row>
    <row r="295" spans="1:4" ht="29" x14ac:dyDescent="0.35">
      <c r="A295" s="4" t="s">
        <v>611</v>
      </c>
      <c r="B295">
        <v>47</v>
      </c>
      <c r="C295" t="str">
        <f t="shared" si="8"/>
        <v>EMSG:-STRACE:XXX/XXX/XXX XXX:XXX AM. See error log for full details.
	at deployment.pc.war//com.guidewire.pc.domain.policy.period.impl.PolicyPeriodImpl.createBranchCreationFailedUserDisplayableException(PolicyPeriodImpl.java:XXXSTRACERAW:-</v>
      </c>
      <c r="D295" s="3">
        <f t="shared" si="9"/>
        <v>6.11</v>
      </c>
    </row>
    <row r="296" spans="1:4" x14ac:dyDescent="0.35">
      <c r="A296" t="s">
        <v>733</v>
      </c>
      <c r="B296">
        <v>47</v>
      </c>
      <c r="C296" t="str">
        <f t="shared" si="8"/>
        <v>EMSG:Cannot create Mine Subsidence because it already exists.STRACE:deployment.pc.war//com.guidewire.pc.domain.coverage.impl.CoverableImpl.createCoverage(CoverableImpl.java:XXXSTRACERAW:-</v>
      </c>
      <c r="D296" s="3">
        <f t="shared" si="9"/>
        <v>6.11</v>
      </c>
    </row>
    <row r="297" spans="1:4" x14ac:dyDescent="0.35">
      <c r="A297" t="s">
        <v>400</v>
      </c>
      <c r="B297">
        <v>47</v>
      </c>
      <c r="C297" t="str">
        <f t="shared" si="8"/>
        <v>EMSG:Personal Auto Line: UM/UIM - Property Damage is required and must be added. XXXSTRACE:gw.api.extension.PCExtensionInterfacesMapper$block_XXX_.invoke(PCExtensionInterfacesMapper.gs:XXXSTRACERAW:-</v>
      </c>
      <c r="D297" s="3">
        <f t="shared" si="9"/>
        <v>6.11</v>
      </c>
    </row>
    <row r="298" spans="1:4" x14ac:dyDescent="0.35">
      <c r="A298" t="s">
        <v>188</v>
      </c>
      <c r="B298">
        <v>46</v>
      </c>
      <c r="C298" t="str">
        <f t="shared" si="8"/>
        <v>EMSG:-STRACE:-STRACERAW:com.guidewire.pl.system.entity.proxy.EffDatedBranchProxy.isChanged(EffDatedBranchProxy.java:XXX</v>
      </c>
      <c r="D298" s="3">
        <f t="shared" si="9"/>
        <v>5.9799999999999995</v>
      </c>
    </row>
    <row r="299" spans="1:4" x14ac:dyDescent="0.35">
      <c r="A299" t="s">
        <v>240</v>
      </c>
      <c r="B299">
        <v>45</v>
      </c>
      <c r="C299" t="str">
        <f t="shared" si="8"/>
        <v>EMSG:-STRACE:-STRACERAW:gw.policy.PolicyPeriodBaseEnhancement$block_XXX_.invoke(PolicyPeriodBaseEnhancement.gsx:XXX</v>
      </c>
      <c r="D299" s="3">
        <f t="shared" si="9"/>
        <v>5.8500000000000005</v>
      </c>
    </row>
    <row r="300" spans="1:4" x14ac:dyDescent="0.35">
      <c r="A300" t="s">
        <v>258</v>
      </c>
      <c r="B300">
        <v>45</v>
      </c>
      <c r="C300" t="str">
        <f t="shared" si="8"/>
        <v>EMSG:-STRACE:com.farmers.integ.policychange.helper.HomeValidatorHelper.isDwellingAdditionalInterestAvailable(HomeValidatorHelper.gs:XXXSTRACERAW:-</v>
      </c>
      <c r="D300" s="3">
        <f t="shared" si="9"/>
        <v>5.8500000000000005</v>
      </c>
    </row>
    <row r="301" spans="1:4" x14ac:dyDescent="0.35">
      <c r="A301" t="s">
        <v>283</v>
      </c>
      <c r="B301">
        <v>45</v>
      </c>
      <c r="C301" t="str">
        <f t="shared" si="8"/>
        <v>EMSG:Comparison method violates its general contract!STRACE:java.base/java.util.TimSort.mergeHi(TimSort.java:XXXSTRACERAW:-</v>
      </c>
      <c r="D301" s="3">
        <f t="shared" si="9"/>
        <v>5.8500000000000005</v>
      </c>
    </row>
    <row r="302" spans="1:4" x14ac:dyDescent="0.35">
      <c r="A302" t="s">
        <v>235</v>
      </c>
      <c r="B302">
        <v>45</v>
      </c>
      <c r="C302" t="str">
        <f t="shared" si="8"/>
        <v>EMSG:You cannot change a locked branchSTRACE:com.farmers.integ.framework.job.automatejob.AutomatedJob.executeJob(AutomatedJob.gs:XXXSTRACERAW:-</v>
      </c>
      <c r="D302" s="3">
        <f t="shared" si="9"/>
        <v>5.8500000000000005</v>
      </c>
    </row>
    <row r="303" spans="1:4" x14ac:dyDescent="0.35">
      <c r="A303" t="s">
        <v>211</v>
      </c>
      <c r="B303">
        <v>44</v>
      </c>
      <c r="C303" t="str">
        <f t="shared" si="8"/>
        <v>EMSG:Personal Auto Line: Personal Injury Protection is required and must be added.STRACE:gw.api.extension.PCExtensionInterfacesMapper$block_XXX_.invoke(PCExtensionInterfacesMapper.gs:XXXSTRACERAW:-</v>
      </c>
      <c r="D303" s="3">
        <f t="shared" si="9"/>
        <v>5.7200000000000006</v>
      </c>
    </row>
    <row r="304" spans="1:4" x14ac:dyDescent="0.35">
      <c r="A304" t="s">
        <v>199</v>
      </c>
      <c r="B304">
        <v>44</v>
      </c>
      <c r="C304" t="str">
        <f t="shared" si="8"/>
        <v>EMSG:Review the Valuation ID. XXX Value was unable to locate a match.STRACE:com.farmers.config.ho.dwelling.propertyvaluation.process.HOPropertyValuationProcess.validateRetrieveReportStatusForPLARewrite(HOPropertyValuationProcess.gs:XXXSTRACERAW:-</v>
      </c>
      <c r="D304" s="3">
        <f t="shared" si="9"/>
        <v>5.7200000000000006</v>
      </c>
    </row>
    <row r="305" spans="1:4" x14ac:dyDescent="0.35">
      <c r="A305" t="s">
        <v>330</v>
      </c>
      <c r="B305">
        <v>44</v>
      </c>
      <c r="C305" t="str">
        <f t="shared" si="8"/>
        <v>EMSG:Submission has already been bound by DPJSTRACE:edge.capabilities.quote.submission.QuoteHandler.retrieve(QuoteHandler.gs:XXXSTRACERAW:-</v>
      </c>
      <c r="D305" s="3">
        <f t="shared" si="9"/>
        <v>5.7200000000000006</v>
      </c>
    </row>
    <row r="306" spans="1:4" x14ac:dyDescent="0.35">
      <c r="A306" t="s">
        <v>665</v>
      </c>
      <c r="B306">
        <v>43</v>
      </c>
      <c r="C306" t="str">
        <f t="shared" si="8"/>
        <v>EMSG:-STRACE:-STRACERAW:anonymous::XXXXXX (line: XXX, column: XXX</v>
      </c>
      <c r="D306" s="3">
        <f t="shared" si="9"/>
        <v>5.59</v>
      </c>
    </row>
    <row r="307" spans="1:4" x14ac:dyDescent="0.35">
      <c r="A307" t="s">
        <v>534</v>
      </c>
      <c r="B307">
        <v>43</v>
      </c>
      <c r="C307" t="str">
        <f t="shared" si="8"/>
        <v>EMSG:Quote number XXXSTRACE:edge.capabilities.quote.submission.GatewayQuoteHandler.handleCaughtExceptionsIfAny(GatewayQuoteHandler.gs:XXXSTRACERAW:-</v>
      </c>
      <c r="D307" s="3">
        <f t="shared" si="9"/>
        <v>5.59</v>
      </c>
    </row>
    <row r="308" spans="1:4" x14ac:dyDescent="0.35">
      <c r="A308" t="s">
        <v>304</v>
      </c>
      <c r="B308">
        <v>42</v>
      </c>
      <c r="C308" t="str">
        <f t="shared" si="8"/>
        <v>EMSG:-STRACE:-STRACERAW:com.guidewire.pl.system.integration.messaging.dispatch.DestinationManagerImpl.processor(DestinationManagerImpl.java:XXX</v>
      </c>
      <c r="D308" s="3">
        <f t="shared" si="9"/>
        <v>5.4600000000000009</v>
      </c>
    </row>
    <row r="309" spans="1:4" x14ac:dyDescent="0.35">
      <c r="A309" t="s">
        <v>280</v>
      </c>
      <c r="B309">
        <v>42</v>
      </c>
      <c r="C309" t="str">
        <f t="shared" si="8"/>
        <v>EMSG:-STRACE:-STRACERAW:com.guidewire.pl.system.workflow.engine.WorkflowEngineImpl.checkTriggerAvailable(WorkflowEngineImpl.java:XXX</v>
      </c>
      <c r="D309" s="3">
        <f t="shared" si="9"/>
        <v>5.4600000000000009</v>
      </c>
    </row>
    <row r="310" spans="1:4" x14ac:dyDescent="0.35">
      <c r="A310" t="s">
        <v>1266</v>
      </c>
      <c r="B310">
        <v>42</v>
      </c>
      <c r="C310" t="str">
        <f t="shared" si="8"/>
        <v>EMSG:Exception while performing the search operation with search criteria Street Number:XXX-BSTRACE:com.farmers.integ.erti.iso.location.impl.AbstractISOLocationFinder.search(AbstractISOLocationFinder.gs:XXXSTRACERAW:-</v>
      </c>
      <c r="D310" s="3">
        <f t="shared" si="9"/>
        <v>5.4600000000000009</v>
      </c>
    </row>
    <row r="311" spans="1:4" x14ac:dyDescent="0.35">
      <c r="A311" t="s">
        <v>358</v>
      </c>
      <c r="B311">
        <v>41</v>
      </c>
      <c r="C311" t="str">
        <f t="shared" si="8"/>
        <v>EMSG:-STRACE:-STRACERAW:deployment.pc.war//com.guidewire.pl.system.transaction.ConnectionHandler.newDbException(ConnectionHandler.java:XXX</v>
      </c>
      <c r="D311" s="3">
        <f t="shared" si="9"/>
        <v>5.33</v>
      </c>
    </row>
    <row r="312" spans="1:4" x14ac:dyDescent="0.35">
      <c r="A312" t="s">
        <v>1267</v>
      </c>
      <c r="B312">
        <v>40</v>
      </c>
      <c r="C312" t="str">
        <f t="shared" si="8"/>
        <v>EMSG:-STRACE:-STRACERAW:gw.web.productmodel.ProductModelSyncIssuesHandler$block_XXX_$block_XXX_.invoke(ProductModelSyncIssuesHandler.gs:XXX</v>
      </c>
      <c r="D312" s="3">
        <f t="shared" si="9"/>
        <v>5.2</v>
      </c>
    </row>
    <row r="313" spans="1:4" x14ac:dyDescent="0.35">
      <c r="A313" t="s">
        <v>185</v>
      </c>
      <c r="B313">
        <v>40</v>
      </c>
      <c r="C313" t="str">
        <f t="shared" si="8"/>
        <v>EMSG:Exception during Rating ExecuteIterationsMultiThreaded : com.guidewire.pl.system.exception.DBException: Failed to close the connectionSTRACE:com.farmers.rating.common.flow.iteration.impl.IterationsExecutorImpl$block_XXX_.invoke(IterationsExecutorImpl</v>
      </c>
      <c r="D313" s="3">
        <f t="shared" si="9"/>
        <v>5.2</v>
      </c>
    </row>
    <row r="314" spans="1:4" x14ac:dyDescent="0.35">
      <c r="A314" t="s">
        <v>287</v>
      </c>
      <c r="B314">
        <v>40</v>
      </c>
      <c r="C314" t="str">
        <f t="shared" si="8"/>
        <v>EMSG:Missing/Invalid Mandatory Fields - CriteriaSTRACE:com.farmers.integ.distribution.ecms.quote.validator.RetrieveQuotesValidator.validate(RetrieveQuotesValidator.gs:XXXSTRACERAW:-</v>
      </c>
      <c r="D314" s="3">
        <f t="shared" si="9"/>
        <v>5.2</v>
      </c>
    </row>
    <row r="315" spans="1:4" ht="29" x14ac:dyDescent="0.35">
      <c r="A315" s="4" t="s">
        <v>609</v>
      </c>
      <c r="B315">
        <v>39</v>
      </c>
      <c r="C315" t="str">
        <f t="shared" si="8"/>
        <v>EMSG:-STRACE:least one vehicle. Since the number of vehicles is greater than the number of drivers, each driver must be a Primary Driver on at least one vehicle.
	at com.farmers.lob.pa.driverassignment.DriverAssignment.validateData(DriverAssignment.gs:XXX</v>
      </c>
      <c r="D315" s="3">
        <f t="shared" si="9"/>
        <v>5.07</v>
      </c>
    </row>
    <row r="316" spans="1:4" ht="43.5" x14ac:dyDescent="0.35">
      <c r="A316" s="4" t="s">
        <v>619</v>
      </c>
      <c r="B316">
        <v>38</v>
      </c>
      <c r="C316" t="str">
        <f t="shared" si="8"/>
        <v>EMSG:'Unable to parse XML from xml string using schemas [com.farmers.integ.batch.mvrreport.inbound.xsd.mvrlnbatch] and schema root com.farmers.integ.batch.mvrreport.inbound.xsd.mvrlnbatch.Result at line XXX column XXX'STRACE:line XXX column XXX'
	at deplo</v>
      </c>
      <c r="D316" s="3">
        <f t="shared" si="9"/>
        <v>4.9399999999999995</v>
      </c>
    </row>
    <row r="317" spans="1:4" x14ac:dyDescent="0.35">
      <c r="A317" t="s">
        <v>254</v>
      </c>
      <c r="B317">
        <v>38</v>
      </c>
      <c r="C317" t="str">
        <f t="shared" si="8"/>
        <v>EMSG:, AOR=XXXSTRACE:java.base/java.lang.String.concat(String.java:XXXSTRACERAW:-</v>
      </c>
      <c r="D317" s="3">
        <f t="shared" si="9"/>
        <v>4.9399999999999995</v>
      </c>
    </row>
    <row r="318" spans="1:4" x14ac:dyDescent="0.35">
      <c r="A318" t="s">
        <v>911</v>
      </c>
      <c r="B318">
        <v>38</v>
      </c>
      <c r="C318" t="str">
        <f t="shared" si="8"/>
        <v>EMSG:-STRACE:gw.web.line.pa.policy.PADriversPanelSetUIHelper.getDriverAge_Ext(PADriversPanelSetUIHelper.gs:XXXSTRACERAW:-</v>
      </c>
      <c r="D318" s="3">
        <f t="shared" si="9"/>
        <v>4.9399999999999995</v>
      </c>
    </row>
    <row r="319" spans="1:4" x14ac:dyDescent="0.35">
      <c r="A319" t="s">
        <v>1130</v>
      </c>
      <c r="B319">
        <v>37</v>
      </c>
      <c r="C319" t="str">
        <f t="shared" si="8"/>
        <v>EMSG:-STRACE:-STRACERAW:Jan XXX XXX:XXX:XXX PST XXX, MSG="org.mule.weave.vXXX.core.exception.WriterExecutionException: Trying to write END_DOCUMENT when document has no root (ie. trying to output empty document</v>
      </c>
      <c r="D319" s="3">
        <f t="shared" si="9"/>
        <v>4.8100000000000005</v>
      </c>
    </row>
    <row r="320" spans="1:4" x14ac:dyDescent="0.35">
      <c r="A320" t="s">
        <v>43</v>
      </c>
      <c r="B320">
        <v>37</v>
      </c>
      <c r="C320" t="str">
        <f t="shared" si="8"/>
        <v>EMSG:Attempt to add coverage unsupported by pattern XXXSTRACE:edge.capabilities.policycommon.coverage.util.CoverageUtil.updateFrom XXXSTRACERAW:-</v>
      </c>
      <c r="D320" s="3">
        <f t="shared" si="9"/>
        <v>4.8100000000000005</v>
      </c>
    </row>
    <row r="321" spans="1:4" x14ac:dyDescent="0.35">
      <c r="A321" t="s">
        <v>277</v>
      </c>
      <c r="B321">
        <v>37</v>
      </c>
      <c r="C321" t="str">
        <f t="shared" si="8"/>
        <v>EMSG:Ineligible BIÂ limits. A risk with excessive accidents and/or violations is not eligible for Bodily Injury limits of XXXSTRACE:com.farmers.config.pa.validator.BrightlineValidator.validateQuoteBrightlineRules(BrightlineValidator.gs:XXXSTRACERAW:-</v>
      </c>
      <c r="D321" s="3">
        <f t="shared" si="9"/>
        <v>4.8100000000000005</v>
      </c>
    </row>
    <row r="322" spans="1:4" x14ac:dyDescent="0.35">
      <c r="A322" t="s">
        <v>756</v>
      </c>
      <c r="B322">
        <v>37</v>
      </c>
      <c r="C322" t="str">
        <f t="shared" ref="C322:C385" si="10">LEFT(A322,255)</f>
        <v>EMSG:[XXX] Cannot load a temporary id from the backing entity source: PolicyPeriod:XXXSTRACE:deployment.pc.war//com.guidewire.pl.system.bundle.EntityBundleImpl.loadBean(EntityBundleImpl.java:XXXSTRACERAW:-</v>
      </c>
      <c r="D322" s="3">
        <f t="shared" ref="D322:D385" si="11">IF(AND((B322/10)&lt;1,(B322/10)&gt;0),1,(B322/10)*130%)</f>
        <v>4.8100000000000005</v>
      </c>
    </row>
    <row r="323" spans="1:4" x14ac:dyDescent="0.35">
      <c r="A323" t="s">
        <v>341</v>
      </c>
      <c r="B323">
        <v>36</v>
      </c>
      <c r="C323" t="str">
        <f t="shared" si="10"/>
        <v>EMSG:Comparison method violates its general contract!STRACE:java.base/java.util.TimSort.mergeLo(TimSort.java:XXXSTRACERAW:-</v>
      </c>
      <c r="D323" s="3">
        <f t="shared" si="11"/>
        <v>4.6800000000000006</v>
      </c>
    </row>
    <row r="324" spans="1:4" x14ac:dyDescent="0.35">
      <c r="A324" t="s">
        <v>474</v>
      </c>
      <c r="B324">
        <v>35</v>
      </c>
      <c r="C324" t="str">
        <f t="shared" si="10"/>
        <v>EMSG:-STRACE:-STRACERAW:anonymous::main (line: XXX, column: XXX</v>
      </c>
      <c r="D324" s="3">
        <f t="shared" si="11"/>
        <v>4.55</v>
      </c>
    </row>
    <row r="325" spans="1:4" x14ac:dyDescent="0.35">
      <c r="A325" t="s">
        <v>947</v>
      </c>
      <c r="B325">
        <v>35</v>
      </c>
      <c r="C325" t="str">
        <f t="shared" si="10"/>
        <v>EMSG:-STRACE:com.farmers.integ.claims.cltf.transformer.ClaimTransformer.populateHOFarmersCalims(ClaimTransformer.gs:XXXSTRACERAW:-</v>
      </c>
      <c r="D325" s="3">
        <f t="shared" si="11"/>
        <v>4.55</v>
      </c>
    </row>
    <row r="326" spans="1:4" x14ac:dyDescent="0.35">
      <c r="A326" t="s">
        <v>285</v>
      </c>
      <c r="B326">
        <v>35</v>
      </c>
      <c r="C326" t="str">
        <f t="shared" si="10"/>
        <v>EMSG:-STRACE:gw.pcf.job.QuoteUIHelper.validateFlexLiabLimits(QuoteUIHelper.gs:XXXSTRACERAW:-</v>
      </c>
      <c r="D326" s="3">
        <f t="shared" si="11"/>
        <v>4.55</v>
      </c>
    </row>
    <row r="327" spans="1:4" x14ac:dyDescent="0.35">
      <c r="A327" t="s">
        <v>233</v>
      </c>
      <c r="B327">
        <v>35</v>
      </c>
      <c r="C327" t="str">
        <f t="shared" si="10"/>
        <v>EMSG:Restart the Product Rewrite transaction from Express. The system was unable to cancel the corresponding policy in Express.STRACE:gw.job.SubmissionProcess.sendRequesttoPLAonBind(SubmissionProcess.gs:XXXSTRACERAW:-</v>
      </c>
      <c r="D327" s="3">
        <f t="shared" si="11"/>
        <v>4.55</v>
      </c>
    </row>
    <row r="328" spans="1:4" ht="29" x14ac:dyDescent="0.35">
      <c r="A328" s="4" t="s">
        <v>731</v>
      </c>
      <c r="B328">
        <v>35</v>
      </c>
      <c r="C328" t="str">
        <f t="shared" si="10"/>
        <v>EMSG:Try again later. Credit ordering is unavailable at this time.STRACE:this time.
	at com.farmers.config.common.credit.pa.PACreditScoreProcess.createEnterpriseCreditReportData(PACreditScoreProcess.gs:XXXSTRACERAW:-</v>
      </c>
      <c r="D328" s="3">
        <f t="shared" si="11"/>
        <v>4.55</v>
      </c>
    </row>
    <row r="329" spans="1:4" x14ac:dyDescent="0.35">
      <c r="A329" t="s">
        <v>976</v>
      </c>
      <c r="B329">
        <v>35</v>
      </c>
      <c r="C329" t="str">
        <f t="shared" si="10"/>
        <v>EMSG:error:entity.xxxUI-ValidationERRORMessagexxxSTRACE:gw.acc.luw.perf.JobQuoter.processQuoteIssues(JobQuoter.gs:XXXSTRACERAW:-</v>
      </c>
      <c r="D329" s="3">
        <f t="shared" si="11"/>
        <v>4.55</v>
      </c>
    </row>
    <row r="330" spans="1:4" x14ac:dyDescent="0.35">
      <c r="A330" t="s">
        <v>751</v>
      </c>
      <c r="B330">
        <v>34</v>
      </c>
      <c r="C330" t="str">
        <f t="shared" si="10"/>
        <v>EMSG:, AOR=XXXSTRACE:gw.bizrules.provisioning.contexts.PolicyContextDefinitionLibrary.activePolicyExists(PolicyContextDefinitionLibrary.gs:XXXSTRACERAW:-</v>
      </c>
      <c r="D330" s="3">
        <f t="shared" si="11"/>
        <v>4.42</v>
      </c>
    </row>
    <row r="331" spans="1:4" x14ac:dyDescent="0.35">
      <c r="A331" t="s">
        <v>752</v>
      </c>
      <c r="B331">
        <v>34</v>
      </c>
      <c r="C331" t="str">
        <f t="shared" si="10"/>
        <v>EMSG:-STRACE:gw.bizrules.provisioning.contexts.PolicyContextDefinitionLibrary.activePolicyExists(PolicyContextDefinitionLibrary.gs:XXXSTRACERAW:-</v>
      </c>
      <c r="D331" s="3">
        <f t="shared" si="11"/>
        <v>4.42</v>
      </c>
    </row>
    <row r="332" spans="1:4" x14ac:dyDescent="0.35">
      <c r="A332" t="s">
        <v>1268</v>
      </c>
      <c r="B332">
        <v>34</v>
      </c>
      <c r="C332" t="str">
        <f t="shared" si="10"/>
        <v>EMSG:For input string: "XXX"STRACE:java.base/java.lang.NumberFormatException.forInputString(NumberFormatException.java:XXXSTRACERAW:-</v>
      </c>
      <c r="D332" s="3">
        <f t="shared" si="11"/>
        <v>4.42</v>
      </c>
    </row>
    <row r="333" spans="1:4" x14ac:dyDescent="0.35">
      <c r="A333" t="s">
        <v>331</v>
      </c>
      <c r="B333">
        <v>34</v>
      </c>
      <c r="C333" t="str">
        <f t="shared" si="10"/>
        <v>EMSG:The value XXX is not formatted correctly for the field "StInfoType_Ext": Exceeds the maximum length of XXX characters (XXX)STRACE:deployment.pc.war//gw.datatype.impl.StringConstraintsHandlerBase.validateStringLength(StringConstraintsHandlerBase.java:</v>
      </c>
      <c r="D333" s="3">
        <f t="shared" si="11"/>
        <v>4.42</v>
      </c>
    </row>
    <row r="334" spans="1:4" ht="29" x14ac:dyDescent="0.35">
      <c r="A334" s="4" t="s">
        <v>604</v>
      </c>
      <c r="B334">
        <v>34</v>
      </c>
      <c r="C334" t="str">
        <f t="shared" si="10"/>
        <v>EMSG:gw.xml.XmlException: 'Unable to parse XML from xml string using schemas [com.farmers.integ.erti.address.wsc.postaladdressmanagerwsc.vXXXSTRACE:line XXX column XXX'
	at deployment.pc.war//gw.internal.xml.ws.WsdlPortImpl.invoke(WsdlPortImpl.java:XXXSTR</v>
      </c>
      <c r="D334" s="3">
        <f t="shared" si="11"/>
        <v>4.42</v>
      </c>
    </row>
    <row r="335" spans="1:4" x14ac:dyDescent="0.35">
      <c r="A335" t="s">
        <v>1269</v>
      </c>
      <c r="B335">
        <v>33</v>
      </c>
      <c r="C335" t="str">
        <f t="shared" si="10"/>
        <v>EMSG:-STRACE:-STRACERAW:gw.job.RewriteEnhancement.checkNoticeOfCancellation(RewriteEnhancement.gsx:XXX</v>
      </c>
      <c r="D335" s="3">
        <f t="shared" si="11"/>
        <v>4.29</v>
      </c>
    </row>
    <row r="336" spans="1:4" x14ac:dyDescent="0.35">
      <c r="A336" t="s">
        <v>232</v>
      </c>
      <c r="B336">
        <v>33</v>
      </c>
      <c r="C336" t="str">
        <f t="shared" si="10"/>
        <v>EMSG:-STRACE:-STRACERAW:gw.job.SubmissionProcess.sendRequesttoPLAonBind(SubmissionProcess.gs:XXX</v>
      </c>
      <c r="D336" s="3">
        <f t="shared" si="11"/>
        <v>4.29</v>
      </c>
    </row>
    <row r="337" spans="1:4" x14ac:dyDescent="0.35">
      <c r="A337" t="s">
        <v>775</v>
      </c>
      <c r="B337">
        <v>33</v>
      </c>
      <c r="C337" t="str">
        <f t="shared" si="10"/>
        <v>EMSG:-STRACE:-STRACERAW:org.jboss.as.naming@XXX.XXX.XXX.GA-redhatXXX//org.jboss.as.naming.ServiceBasedNamingStore.lookup(ServiceBasedNamingStore.java:XXX</v>
      </c>
      <c r="D337" s="3">
        <f t="shared" si="11"/>
        <v>4.29</v>
      </c>
    </row>
    <row r="338" spans="1:4" x14ac:dyDescent="0.35">
      <c r="A338" t="s">
        <v>370</v>
      </c>
      <c r="B338">
        <v>33</v>
      </c>
      <c r="C338" t="str">
        <f t="shared" si="10"/>
        <v>EMSG:-STRACE:com.farmers.config.pa.mvr.validator.MVRDriverValidator.throwDisplayableExceptionIfNeeded(MVRDriverValidator.gs:XXXSTRACERAW:-</v>
      </c>
      <c r="D338" s="3">
        <f t="shared" si="11"/>
        <v>4.29</v>
      </c>
    </row>
    <row r="339" spans="1:4" x14ac:dyDescent="0.35">
      <c r="A339" t="s">
        <v>51</v>
      </c>
      <c r="B339">
        <v>33</v>
      </c>
      <c r="C339" t="str">
        <f t="shared" si="10"/>
        <v>EMSG:Select XXX as the Primary Driver on at least one vehicle by reviewing this transaction and associated transaction(s) XXX. Since the number of vehicles is greater than the number of driversSTRACE:least one vehicle by reviewing this transaction and ass</v>
      </c>
      <c r="D339" s="3">
        <f t="shared" si="11"/>
        <v>4.29</v>
      </c>
    </row>
    <row r="340" spans="1:4" x14ac:dyDescent="0.35">
      <c r="A340" t="s">
        <v>898</v>
      </c>
      <c r="B340">
        <v>32</v>
      </c>
      <c r="C340" t="str">
        <f t="shared" si="10"/>
        <v>EMSG:, AOR=XXXSTRACE:com.farmers.config.kraftlake.KraftLakeProcess.validateDiscountFromKraftlake(KraftLakeProcess.gs:XXXSTRACERAW:-</v>
      </c>
      <c r="D340" s="3">
        <f t="shared" si="11"/>
        <v>4.16</v>
      </c>
    </row>
    <row r="341" spans="1:4" x14ac:dyDescent="0.35">
      <c r="A341" t="s">
        <v>225</v>
      </c>
      <c r="B341">
        <v>32</v>
      </c>
      <c r="C341" t="str">
        <f t="shared" si="10"/>
        <v>EMSG:-STRACE:gw.acc.luw.LUWExceptionHelper.processUserDisplayableException(LUWExceptionHelper.gs:XXXSTRACERAW:-</v>
      </c>
      <c r="D341" s="3">
        <f t="shared" si="11"/>
        <v>4.16</v>
      </c>
    </row>
    <row r="342" spans="1:4" x14ac:dyDescent="0.35">
      <c r="A342" t="s">
        <v>250</v>
      </c>
      <c r="B342">
        <v>32</v>
      </c>
      <c r="C342" t="str">
        <f t="shared" si="10"/>
        <v>EMSG:Cannot create Access through Foundations and Walls because it already exists.STRACE:deployment.pc.war//com.guidewire.pc.domain.coverage.impl.CoverableImpl.createCoverage(CoverableImpl.java:XXXSTRACERAW:-</v>
      </c>
      <c r="D342" s="3">
        <f t="shared" si="11"/>
        <v>4.16</v>
      </c>
    </row>
    <row r="343" spans="1:4" x14ac:dyDescent="0.35">
      <c r="A343" t="s">
        <v>711</v>
      </c>
      <c r="B343">
        <v>32</v>
      </c>
      <c r="C343" t="str">
        <f t="shared" si="10"/>
        <v>EMSG:No Policy found for XXXSTRACE:edge.capabilities.helpers.PolicyUtil.retrieveLatestBoundPeriodByEffectiveDateAndPolicyNumber(PolicyUtil.gs:XXXSTRACERAW:-</v>
      </c>
      <c r="D343" s="3">
        <f t="shared" si="11"/>
        <v>4.16</v>
      </c>
    </row>
    <row r="344" spans="1:4" x14ac:dyDescent="0.35">
      <c r="A344" t="s">
        <v>209</v>
      </c>
      <c r="B344">
        <v>32</v>
      </c>
      <c r="C344" t="str">
        <f t="shared" si="10"/>
        <v>EMSG:Professionally installed and monitored central burglar and fire alarm systemsSTRACE:edge.capabilities.quote.submission.quoting.util.SubmissionUnderwritingIssuesUtil.checkSideBySideProcessExceptions(SubmissionUnderwritingIssuesUtil.gs:XXXSTRACERAW:-</v>
      </c>
      <c r="D344" s="3">
        <f t="shared" si="11"/>
        <v>4.16</v>
      </c>
    </row>
    <row r="345" spans="1:4" ht="29" x14ac:dyDescent="0.35">
      <c r="A345" s="4" t="s">
        <v>606</v>
      </c>
      <c r="B345">
        <v>32</v>
      </c>
      <c r="C345" t="str">
        <f t="shared" si="10"/>
        <v>EMSG:Stored bean is not the bean that was changed.STRACE:was changed.
	at deployment.pc.war//com.guidewire.pl.system.bundle.EntityBundleImpl.handleBeanChange(EntityBundleImpl.java:XXXSTRACERAW:-</v>
      </c>
      <c r="D345" s="3">
        <f t="shared" si="11"/>
        <v>4.16</v>
      </c>
    </row>
    <row r="346" spans="1:4" x14ac:dyDescent="0.35">
      <c r="A346" t="s">
        <v>362</v>
      </c>
      <c r="B346">
        <v>31</v>
      </c>
      <c r="C346" t="str">
        <f t="shared" si="10"/>
        <v>EMSG:-STRACE:-STRACERAW:com.farmers.config.pa.mvr.validator.MVRDriverValidator.throwDisplayableExceptionIfNeeded(MVRDriverValidator.gs:XXX</v>
      </c>
      <c r="D346" s="3">
        <f t="shared" si="11"/>
        <v>4.03</v>
      </c>
    </row>
    <row r="347" spans="1:4" x14ac:dyDescent="0.35">
      <c r="A347" t="s">
        <v>312</v>
      </c>
      <c r="B347">
        <v>31</v>
      </c>
      <c r="C347" t="str">
        <f t="shared" si="10"/>
        <v>EMSG:Attempt to access bean of type "EffectiveDatedFields" id=XXX with a null bundleSTRACE:deployment.pc.war//com.guidewire.pl.system.entity.proxy.BeanProxy.checkIsInBundle(BeanProxy.java:XXXSTRACERAW:-</v>
      </c>
      <c r="D347" s="3">
        <f t="shared" si="11"/>
        <v>4.03</v>
      </c>
    </row>
    <row r="348" spans="1:4" x14ac:dyDescent="0.35">
      <c r="A348" t="s">
        <v>1270</v>
      </c>
      <c r="B348">
        <v>31</v>
      </c>
      <c r="C348" t="str">
        <f t="shared" si="10"/>
        <v>EMSG:Could not deserialize typecode XA for typelist typekey.LeadSource_ExtSTRACE:edge.servlet.jsonrpc.marshalling.TypeKeyInstantiator.createFromString(TypeKeyInstantiator.gs:XXXSTRACERAW:-</v>
      </c>
      <c r="D348" s="3">
        <f t="shared" si="11"/>
        <v>4.03</v>
      </c>
    </row>
    <row r="349" spans="1:4" x14ac:dyDescent="0.35">
      <c r="A349" t="s">
        <v>1271</v>
      </c>
      <c r="B349">
        <v>31</v>
      </c>
      <c r="C349" t="str">
        <f t="shared" si="10"/>
        <v>EMSG:One or more null constraint violations detected for ULPolicy_PUESTRACE:deployment.pc.war//com.guidewire.pl.system.database.entitywriter.DatabaseEntityWriterImpl.checkForNullConstraintViolation(DatabaseEntityWriterImpl.java:XXXSTRACERAW:-</v>
      </c>
      <c r="D349" s="3">
        <f t="shared" si="11"/>
        <v>4.03</v>
      </c>
    </row>
    <row r="350" spans="1:4" x14ac:dyDescent="0.35">
      <c r="A350" t="s">
        <v>771</v>
      </c>
      <c r="B350">
        <v>31</v>
      </c>
      <c r="C350" t="str">
        <f t="shared" si="10"/>
        <v>EMSG:Verify the customer's information. A customer cannot be listed more than once on the same policy.STRACE:edge.capabilities.policycommon.accountcontact.AccountContactUtil.allUniquePersonsFromAccount(AccountContactUtil.gs:XXXSTRACERAW:-</v>
      </c>
      <c r="D350" s="3">
        <f t="shared" si="11"/>
        <v>4.03</v>
      </c>
    </row>
    <row r="351" spans="1:4" x14ac:dyDescent="0.35">
      <c r="A351" t="s">
        <v>790</v>
      </c>
      <c r="B351">
        <v>30</v>
      </c>
      <c r="C351" t="str">
        <f t="shared" si="10"/>
        <v>EMSG:, AOR=XXXSTRACE:deployment.pc.war//com.guidewire.pl.system.entity.proxy.EffDatedBeanProxy.getBranchUnslicedUntyped(EffDatedBeanProxy.java:XXXSTRACERAW:-</v>
      </c>
      <c r="D351" s="3">
        <f t="shared" si="11"/>
        <v>3.9000000000000004</v>
      </c>
    </row>
    <row r="352" spans="1:4" x14ac:dyDescent="0.35">
      <c r="A352" t="s">
        <v>975</v>
      </c>
      <c r="B352">
        <v>30</v>
      </c>
      <c r="C352" t="str">
        <f t="shared" si="10"/>
        <v>EMSG:-STRACE:com.farmers.integ.erti.iso.location.ISOLocationHelper.getAddressFileData(ISOLocationHelper.gs:XXXSTRACERAW:-</v>
      </c>
      <c r="D352" s="3">
        <f t="shared" si="11"/>
        <v>3.9000000000000004</v>
      </c>
    </row>
    <row r="353" spans="1:4" x14ac:dyDescent="0.35">
      <c r="A353" t="s">
        <v>737</v>
      </c>
      <c r="B353">
        <v>30</v>
      </c>
      <c r="C353" t="str">
        <f t="shared" si="10"/>
        <v>EMSG:Attempt to remove required coverage for pattern Permissive User Limit of Liability  Pattern nullSTRACE:edge.capabilities.policycommon.coverage.util.CoverageUtil.updateFrom XXXSTRACERAW:-</v>
      </c>
      <c r="D353" s="3">
        <f t="shared" si="11"/>
        <v>3.9000000000000004</v>
      </c>
    </row>
    <row r="354" spans="1:4" x14ac:dyDescent="0.35">
      <c r="A354" t="s">
        <v>360</v>
      </c>
      <c r="B354">
        <v>30</v>
      </c>
      <c r="C354" t="str">
        <f t="shared" si="10"/>
        <v>EMSG:Null dateSTRACE:deployment.pc.war//com.guidewire.commons.gosu.libraries.DateLibrary.differenceInDays(DateLibrary.java:XXXSTRACERAW:-</v>
      </c>
      <c r="D354" s="3">
        <f t="shared" si="11"/>
        <v>3.9000000000000004</v>
      </c>
    </row>
    <row r="355" spans="1:4" x14ac:dyDescent="0.35">
      <c r="A355" t="s">
        <v>512</v>
      </c>
      <c r="B355">
        <v>30</v>
      </c>
      <c r="C355" t="str">
        <f t="shared" si="10"/>
        <v>EMSG:Restart the Create Account process. The random generation of an account number timed out.STRACE:com.farmers.integ.householding.plugins.AccountPluginImpl.generateAccountNumber(AccountPluginImpl.gs:XXXSTRACERAW:-</v>
      </c>
      <c r="D355" s="3">
        <f t="shared" si="11"/>
        <v>3.9000000000000004</v>
      </c>
    </row>
    <row r="356" spans="1:4" x14ac:dyDescent="0.35">
      <c r="A356" t="s">
        <v>564</v>
      </c>
      <c r="B356">
        <v>30</v>
      </c>
      <c r="C356" t="str">
        <f t="shared" si="10"/>
        <v>EMSG:User does not exist for UserId: XXXSTRACE:com.farmers.integ.security.community.ace.agent.license.AgentLicenseHelper.validate(AgentLicenseHelper.gs:XXXSTRACERAW:-</v>
      </c>
      <c r="D356" s="3">
        <f t="shared" si="11"/>
        <v>3.9000000000000004</v>
      </c>
    </row>
    <row r="357" spans="1:4" x14ac:dyDescent="0.35">
      <c r="A357" t="s">
        <v>979</v>
      </c>
      <c r="B357">
        <v>29</v>
      </c>
      <c r="C357" t="str">
        <f t="shared" si="10"/>
        <v>EMSG:-STRACE:-STRACERAW:com.guidewire.commons.metadata.beanpath.BeanPath$Link.&lt;init&gt;(BeanPath.java:XXX</v>
      </c>
      <c r="D357" s="3">
        <f t="shared" si="11"/>
        <v>3.77</v>
      </c>
    </row>
    <row r="358" spans="1:4" x14ac:dyDescent="0.35">
      <c r="A358" t="s">
        <v>988</v>
      </c>
      <c r="B358">
        <v>29</v>
      </c>
      <c r="C358" t="str">
        <f t="shared" si="10"/>
        <v>EMSG:LUW Policy Change Job XXX: Invalid QuoteSTRACE:gw.acc.luw.perf.JobQuoter.processQuoteIssues(JobQuoter.gs:XXXSTRACERAW:-</v>
      </c>
      <c r="D358" s="3">
        <f t="shared" si="11"/>
        <v>3.77</v>
      </c>
    </row>
    <row r="359" spans="1:4" x14ac:dyDescent="0.35">
      <c r="A359" t="s">
        <v>264</v>
      </c>
      <c r="B359">
        <v>28</v>
      </c>
      <c r="C359" t="str">
        <f t="shared" si="10"/>
        <v>EMSG:-STRACE:-STRACERAW:com.fasterxml.jackson.databind.JsonMappingException.wrapWithPath(JsonMappingException.java:XXX</v>
      </c>
      <c r="D359" s="3">
        <f t="shared" si="11"/>
        <v>3.6399999999999997</v>
      </c>
    </row>
    <row r="360" spans="1:4" x14ac:dyDescent="0.35">
      <c r="A360" t="s">
        <v>417</v>
      </c>
      <c r="B360">
        <v>28</v>
      </c>
      <c r="C360" t="str">
        <f t="shared" si="10"/>
        <v>EMSG:-STRACE:-STRACERAW:com.guidewire.pl.system.workqueue.DistributedWorkerControllerImpl.extractExceptionPropertyLength(DistributedWorkerControllerImpl.java:XXX</v>
      </c>
      <c r="D360" s="3">
        <f t="shared" si="11"/>
        <v>3.6399999999999997</v>
      </c>
    </row>
    <row r="361" spans="1:4" x14ac:dyDescent="0.35">
      <c r="A361" t="s">
        <v>418</v>
      </c>
      <c r="B361">
        <v>28</v>
      </c>
      <c r="C361" t="str">
        <f t="shared" si="10"/>
        <v>EMSG:-STRACE:-STRACERAW:com.guidewire.pl.system.workqueue.DistributedWorkerControllerImpl.setExceptionOnWorkItem(DistributedWorkerControllerImpl.java:XXX</v>
      </c>
      <c r="D361" s="3">
        <f t="shared" si="11"/>
        <v>3.6399999999999997</v>
      </c>
    </row>
    <row r="362" spans="1:4" x14ac:dyDescent="0.35">
      <c r="A362" t="s">
        <v>1058</v>
      </c>
      <c r="B362">
        <v>28</v>
      </c>
      <c r="C362" t="str">
        <f t="shared" si="10"/>
        <v>EMSG:Could not deserialize typecode  for typelist typekey.HONumOfUnitsStructure_ExtSTRACE:edge.servlet.jsonrpc.marshalling.TypeKeyInstantiator.createFromString(TypeKeyInstantiator.gs:XXXSTRACERAW:-</v>
      </c>
      <c r="D362" s="3">
        <f t="shared" si="11"/>
        <v>3.6399999999999997</v>
      </c>
    </row>
    <row r="363" spans="1:4" x14ac:dyDescent="0.35">
      <c r="A363" t="s">
        <v>1272</v>
      </c>
      <c r="B363">
        <v>28</v>
      </c>
      <c r="C363" t="str">
        <f t="shared" si="10"/>
        <v>EMSG:Duplicate key PARoadsideAsstSelectedBy foundSTRACE:edge.util.MapUtil.groupUnique(MapUtil.gs:XXXSTRACERAW:-</v>
      </c>
      <c r="D363" s="3">
        <f t="shared" si="11"/>
        <v>3.6399999999999997</v>
      </c>
    </row>
    <row r="364" spans="1:4" x14ac:dyDescent="0.35">
      <c r="A364" t="s">
        <v>349</v>
      </c>
      <c r="B364">
        <v>28</v>
      </c>
      <c r="C364" t="str">
        <f t="shared" si="10"/>
        <v>EMSG:Lienholder/Lessor information is not found.STRACE:com.farmers.config.pa.thirdparty.process.PALienHolderProcess.searchLienholders(PALienHolderProcess.gs:XXXSTRACERAW:-</v>
      </c>
      <c r="D364" s="3">
        <f t="shared" si="11"/>
        <v>3.6399999999999997</v>
      </c>
    </row>
    <row r="365" spans="1:4" x14ac:dyDescent="0.35">
      <c r="A365" t="s">
        <v>307</v>
      </c>
      <c r="B365">
        <v>28</v>
      </c>
      <c r="C365" t="str">
        <f t="shared" si="10"/>
        <v>EMSG:MVR Ordering Failed! - [java.lang.RuntimeException: java.util.concurrent.TimeoutException]STRACE:com.farmers.config.common.mvr.MVRProcess.orderMVR(MVRProcess.gs:XXXSTRACERAW:-</v>
      </c>
      <c r="D365" s="3">
        <f t="shared" si="11"/>
        <v>3.6399999999999997</v>
      </c>
    </row>
    <row r="366" spans="1:4" ht="29" x14ac:dyDescent="0.35">
      <c r="A366" s="4" t="s">
        <v>599</v>
      </c>
      <c r="B366">
        <v>28</v>
      </c>
      <c r="C366" t="str">
        <f t="shared" si="10"/>
        <v>EMSG:Try again later. Installment amounts unavailable at this time due to billing service failure.STRACE:this time due to billing service failure.
	at com.farmers.billing.dao.InstallmentProcessor.retrieveInstallments(InstallmentProcessor.gs:XXXSTRACERAW:-</v>
      </c>
      <c r="D366" s="3">
        <f t="shared" si="11"/>
        <v>3.6399999999999997</v>
      </c>
    </row>
    <row r="367" spans="1:4" x14ac:dyDescent="0.35">
      <c r="A367" t="s">
        <v>1178</v>
      </c>
      <c r="B367">
        <v>27</v>
      </c>
      <c r="C367" t="str">
        <f t="shared" si="10"/>
        <v>EMSG:, AOR=XXXSTRACE:-STRACERAW:Jan XXX XXX:XXX:XXX PST XXX, MSG=Contact Agency Support for assistance at (XXX</v>
      </c>
      <c r="D367" s="3">
        <f t="shared" si="11"/>
        <v>3.5100000000000002</v>
      </c>
    </row>
    <row r="368" spans="1:4" x14ac:dyDescent="0.35">
      <c r="A368" t="s">
        <v>660</v>
      </c>
      <c r="B368">
        <v>27</v>
      </c>
      <c r="C368" t="str">
        <f t="shared" si="10"/>
        <v>EMSG:ConcurrentDataChangeException XXXSTRACE:edge.capabilities.policychange.GatewayPolicyChangeHandler$block_XXX_.invoke(GatewayPolicyChangeHandler.gs:XXXSTRACERAW:-</v>
      </c>
      <c r="D368" s="3">
        <f t="shared" si="11"/>
        <v>3.5100000000000002</v>
      </c>
    </row>
    <row r="369" spans="1:4" x14ac:dyDescent="0.35">
      <c r="A369" t="s">
        <v>750</v>
      </c>
      <c r="B369">
        <v>27</v>
      </c>
      <c r="C369" t="str">
        <f t="shared" si="10"/>
        <v>EMSG:No driver points found for incident MINSTRACE:com.farmers.chargeability.pa.driverpoints.PADriverPointsCalculatorVXXX$block_XXX_$block_XXX_.invoke(PADriverPointsCalculatorVXXX.gs:XXXSTRACERAW:-</v>
      </c>
      <c r="D369" s="3">
        <f t="shared" si="11"/>
        <v>3.5100000000000002</v>
      </c>
    </row>
    <row r="370" spans="1:4" x14ac:dyDescent="0.35">
      <c r="A370" t="s">
        <v>238</v>
      </c>
      <c r="B370">
        <v>27</v>
      </c>
      <c r="C370" t="str">
        <f t="shared" si="10"/>
        <v>EMSG:Policy is not eligible for new Auto Product due to driver(s) with unacceptable license status.STRACE:com.farmers.config.pa.validator.BrightlineValidator.validateQuoteBrightlineRules(BrightlineValidator.gs:XXXSTRACERAW:-</v>
      </c>
      <c r="D370" s="3">
        <f t="shared" si="11"/>
        <v>3.5100000000000002</v>
      </c>
    </row>
    <row r="371" spans="1:4" x14ac:dyDescent="0.35">
      <c r="A371" t="s">
        <v>273</v>
      </c>
      <c r="B371">
        <v>26</v>
      </c>
      <c r="C371" t="str">
        <f t="shared" si="10"/>
        <v>EMSG:-STRACE:-STRACERAW:com.farmers.config.quoteandbind.validatequote.FFQAutoValidateQuoteHandler.invokeServices(FFQAutoValidateQuoteHandler.gs:XXX</v>
      </c>
      <c r="D371" s="3">
        <f t="shared" si="11"/>
        <v>3.3800000000000003</v>
      </c>
    </row>
    <row r="372" spans="1:4" x14ac:dyDescent="0.35">
      <c r="A372" t="s">
        <v>281</v>
      </c>
      <c r="B372">
        <v>26</v>
      </c>
      <c r="C372" t="str">
        <f t="shared" si="10"/>
        <v>EMSG:-STRACE:-STRACERAW:com.guidewire.pl.web.navigation.Location.startEditing(Location.java:XXX</v>
      </c>
      <c r="D372" s="3">
        <f t="shared" si="11"/>
        <v>3.3800000000000003</v>
      </c>
    </row>
    <row r="373" spans="1:4" x14ac:dyDescent="0.35">
      <c r="A373" t="s">
        <v>237</v>
      </c>
      <c r="B373">
        <v>26</v>
      </c>
      <c r="C373" t="str">
        <f t="shared" si="10"/>
        <v>EMSG:-STRACE:-STRACERAW:deployment.pc.war//gw.api.webservice.exception.LoginException.FailedLoginException(LoginException.java:XXX</v>
      </c>
      <c r="D373" s="3">
        <f t="shared" si="11"/>
        <v>3.3800000000000003</v>
      </c>
    </row>
    <row r="374" spans="1:4" x14ac:dyDescent="0.35">
      <c r="A374" t="s">
        <v>289</v>
      </c>
      <c r="B374">
        <v>26</v>
      </c>
      <c r="C374" t="str">
        <f t="shared" si="10"/>
        <v>EMSG:-STRACE:-STRACERAW:java.util.stream.Collectors.duplicateKeyException(Collectors.java:XXX</v>
      </c>
      <c r="D374" s="3">
        <f t="shared" si="11"/>
        <v>3.3800000000000003</v>
      </c>
    </row>
    <row r="375" spans="1:4" x14ac:dyDescent="0.35">
      <c r="A375" t="s">
        <v>274</v>
      </c>
      <c r="B375">
        <v>26</v>
      </c>
      <c r="C375" t="str">
        <f t="shared" si="10"/>
        <v>EMSG:-STRACE:com.farmers.config.quoteandbind.validatequote.FFQAutoValidateQuoteHandler.invokeServices(FFQAutoValidateQuoteHandler.gs:XXXSTRACERAW:-</v>
      </c>
      <c r="D375" s="3">
        <f t="shared" si="11"/>
        <v>3.3800000000000003</v>
      </c>
    </row>
    <row r="376" spans="1:4" x14ac:dyDescent="0.35">
      <c r="A376" t="s">
        <v>340</v>
      </c>
      <c r="B376">
        <v>26</v>
      </c>
      <c r="C376" t="str">
        <f t="shared" si="10"/>
        <v>EMSG:-STRACE:org.jboss.as.naming@XXX.XXX.XXX.GA-redhatXXX//org.jboss.as.naming.InitialContext.getURLScheme(InitialContext.java:XXXSTRACERAW:-</v>
      </c>
      <c r="D376" s="3">
        <f t="shared" si="11"/>
        <v>3.3800000000000003</v>
      </c>
    </row>
    <row r="377" spans="1:4" x14ac:dyDescent="0.35">
      <c r="A377" t="s">
        <v>916</v>
      </c>
      <c r="B377">
        <v>26</v>
      </c>
      <c r="C377" t="str">
        <f t="shared" si="10"/>
        <v>EMSG:LHPI Ordering Failed due to TimeOut! - [java.lang.RuntimeException: java.util.concurrent.TimeoutException]STRACE:com.farmers.config.ho.lhpi.AutoReportOrderProcess.invokeService(AutoReportOrderProcess.gs:XXXSTRACERAW:-</v>
      </c>
      <c r="D377" s="3">
        <f t="shared" si="11"/>
        <v>3.3800000000000003</v>
      </c>
    </row>
    <row r="378" spans="1:4" x14ac:dyDescent="0.35">
      <c r="A378" t="s">
        <v>134</v>
      </c>
      <c r="B378">
        <v>26</v>
      </c>
      <c r="C378" t="str">
        <f t="shared" si="10"/>
        <v>EMSG:Try again later. An error occurred during processing.STRACE:com.farmers.billing.dao.BillingInformationProcessor.validateNOCorServiceFailure(BillingInformationProcessor.gs:XXXSTRACERAW:-</v>
      </c>
      <c r="D378" s="3">
        <f t="shared" si="11"/>
        <v>3.3800000000000003</v>
      </c>
    </row>
    <row r="379" spans="1:4" x14ac:dyDescent="0.35">
      <c r="A379" t="s">
        <v>766</v>
      </c>
      <c r="B379">
        <v>26</v>
      </c>
      <c r="C379" t="str">
        <f t="shared" si="10"/>
        <v>EMSG:You do not have the permission required to perform this action: User doesn't have permission: Permission to edit an existing user-group mappingSTRACE:deployment.pc.war//com.guidewire.pl.domain.community.impl.UserImpl.assertPermission(UserImpl.java:XX</v>
      </c>
      <c r="D379" s="3">
        <f t="shared" si="11"/>
        <v>3.3800000000000003</v>
      </c>
    </row>
    <row r="380" spans="1:4" x14ac:dyDescent="0.35">
      <c r="A380" t="s">
        <v>693</v>
      </c>
      <c r="B380">
        <v>25</v>
      </c>
      <c r="C380" t="str">
        <f t="shared" si="10"/>
        <v>EMSG:, AOR=XXXSTRACE:deployment.pc.war//gw.internal.xml.gx.GxRuntime.createElement(GxRuntime.java:XXXSTRACERAW:-</v>
      </c>
      <c r="D380" s="3">
        <f t="shared" si="11"/>
        <v>3.25</v>
      </c>
    </row>
    <row r="381" spans="1:4" x14ac:dyDescent="0.35">
      <c r="A381" t="s">
        <v>451</v>
      </c>
      <c r="B381">
        <v>25</v>
      </c>
      <c r="C381" t="str">
        <f t="shared" si="10"/>
        <v>EMSG:-STRACE:-STRACERAW:com.guidewire.pl.system.database.sequence.SequenceGenerator.incrementSequence(SequenceGenerator.java:XXX</v>
      </c>
      <c r="D381" s="3">
        <f t="shared" si="11"/>
        <v>3.25</v>
      </c>
    </row>
    <row r="382" spans="1:4" x14ac:dyDescent="0.35">
      <c r="A382" t="s">
        <v>838</v>
      </c>
      <c r="B382">
        <v>25</v>
      </c>
      <c r="C382" t="str">
        <f t="shared" si="10"/>
        <v>EMSG:-STRACE:-STRACERAW:qRoot WHERE qRoot.BranchID IN (?,?,?</v>
      </c>
      <c r="D382" s="3">
        <f t="shared" si="11"/>
        <v>3.25</v>
      </c>
    </row>
    <row r="383" spans="1:4" ht="29" x14ac:dyDescent="0.35">
      <c r="A383" s="4" t="s">
        <v>614</v>
      </c>
      <c r="B383">
        <v>25</v>
      </c>
      <c r="C383" t="str">
        <f t="shared" si="10"/>
        <v>EMSG:-STRACE:XXX/XXX/XXX XXX:XXX PM. See error log for full details.
	at deployment.pc.war//com.guidewire.pc.domain.policy.period.impl.PolicyPeriodImpl.createBranchCreationFailedUserDisplayableException(PolicyPeriodImpl.java:XXXSTRACERAW:-</v>
      </c>
      <c r="D383" s="3">
        <f t="shared" si="11"/>
        <v>3.25</v>
      </c>
    </row>
    <row r="384" spans="1:4" x14ac:dyDescent="0.35">
      <c r="A384" t="s">
        <v>527</v>
      </c>
      <c r="B384">
        <v>25</v>
      </c>
      <c r="C384" t="str">
        <f t="shared" si="10"/>
        <v>EMSG:-STRACE:com.farmers.integ.security.community.ace.agent.profile.processor.creator.UserProfileDataCreateProcessor.create(UserProfileDataCreateProcessor.gs:XXXSTRACERAW:-</v>
      </c>
      <c r="D384" s="3">
        <f t="shared" si="11"/>
        <v>3.25</v>
      </c>
    </row>
    <row r="385" spans="1:4" x14ac:dyDescent="0.35">
      <c r="A385" t="s">
        <v>328</v>
      </c>
      <c r="B385">
        <v>25</v>
      </c>
      <c r="C385" t="str">
        <f t="shared" si="10"/>
        <v>EMSG:Account Creation failed because of bad input from APEXSTRACE:com.farmers.integ.distribution.ecms.deeplaunch.util.QuoteNavigationHelper.validateApexQuotePrefillJson(QuoteNavigationHelper.gs:XXXSTRACERAW:-</v>
      </c>
      <c r="D385" s="3">
        <f t="shared" si="11"/>
        <v>3.25</v>
      </c>
    </row>
    <row r="386" spans="1:4" x14ac:dyDescent="0.35">
      <c r="A386" t="s">
        <v>262</v>
      </c>
      <c r="B386">
        <v>25</v>
      </c>
      <c r="C386" t="str">
        <f t="shared" ref="C386:C449" si="12">LEFT(A386,255)</f>
        <v>EMSG:Exception during Rating ExecuteIterationsMultiThreaded : gw.api.rating.RatingException: Correct the VIN XXXSTRACE:com.farmers.rating.common.flow.iteration.impl.IterationsExecutorImpl$block_XXX_.invoke(IterationsExecutorImpl.gs:XXXSTRACERAW:-</v>
      </c>
      <c r="D386" s="3">
        <f t="shared" ref="D386:D449" si="13">IF(AND((B386/10)&lt;1,(B386/10)&gt;0),1,(B386/10)*130%)</f>
        <v>3.25</v>
      </c>
    </row>
    <row r="387" spans="1:4" x14ac:dyDescent="0.35">
      <c r="A387" t="s">
        <v>801</v>
      </c>
      <c r="B387">
        <v>25</v>
      </c>
      <c r="C387" t="str">
        <f t="shared" si="12"/>
        <v>EMSG:Policy is ineligible for Farmers Auto due to driver(s) with unacceptable license status.STRACE:gw.job.QuoteProcess.requestQuote(QuoteProcess.gs:XXXSTRACERAW:-</v>
      </c>
      <c r="D387" s="3">
        <f t="shared" si="13"/>
        <v>3.25</v>
      </c>
    </row>
    <row r="388" spans="1:4" x14ac:dyDescent="0.35">
      <c r="A388" t="s">
        <v>253</v>
      </c>
      <c r="B388">
        <v>25</v>
      </c>
      <c r="C388" t="str">
        <f t="shared" si="12"/>
        <v>EMSG:Policy is not eligible for new Auto Product as  driver(s) did not receive a valid Motor Vehicle Record.STRACE:com.farmers.config.pa.validator.BrightlineValidator.validateQuoteBrightlineRules(BrightlineValidator.gs:XXXSTRACERAW:-</v>
      </c>
      <c r="D388" s="3">
        <f t="shared" si="13"/>
        <v>3.25</v>
      </c>
    </row>
    <row r="389" spans="1:4" x14ac:dyDescent="0.35">
      <c r="A389" t="s">
        <v>342</v>
      </c>
      <c r="B389">
        <v>25</v>
      </c>
      <c r="C389" t="str">
        <f t="shared" si="12"/>
        <v>EMSG:Submission not foundSTRACE:edge.capabilities.quote.submission.QuoteHandler.getSubmissionByJob(QuoteHandler.gs:XXXSTRACERAW:-</v>
      </c>
      <c r="D389" s="3">
        <f t="shared" si="13"/>
        <v>3.25</v>
      </c>
    </row>
    <row r="390" spans="1:4" x14ac:dyDescent="0.35">
      <c r="A390" t="s">
        <v>761</v>
      </c>
      <c r="B390">
        <v>25</v>
      </c>
      <c r="C390" t="str">
        <f t="shared" si="12"/>
        <v>EMSG:This risk is not eligible for the new auto product due to excessive accidents and/or violations.STRACE:gw.job.QuoteProcess.requestQuote(QuoteProcess.gs:XXXSTRACERAW:-</v>
      </c>
      <c r="D390" s="3">
        <f t="shared" si="13"/>
        <v>3.25</v>
      </c>
    </row>
    <row r="391" spans="1:4" x14ac:dyDescent="0.35">
      <c r="A391" t="s">
        <v>276</v>
      </c>
      <c r="B391">
        <v>24</v>
      </c>
      <c r="C391" t="str">
        <f t="shared" si="12"/>
        <v>EMSG:, AOR=XXXSTRACE:com.farmers.config.ho.dwelling.location.process.HOLocationProcess.getPPCDetails(HOLocationProcess.gs:XXXSTRACERAW:-</v>
      </c>
      <c r="D391" s="3">
        <f t="shared" si="13"/>
        <v>3.12</v>
      </c>
    </row>
    <row r="392" spans="1:4" x14ac:dyDescent="0.35">
      <c r="A392" t="s">
        <v>472</v>
      </c>
      <c r="B392">
        <v>24</v>
      </c>
      <c r="C392" t="str">
        <f t="shared" si="12"/>
        <v>EMSG:, AOR=XXXSTRACE:com.farmers.config.pup.prefill.legacy.PUPULClientDetailsLoaderAndRefresher$block_XXX_.invoke(PUPULClientDetailsLoaderAndRefresher.gs:XXXSTRACERAW:-</v>
      </c>
      <c r="D392" s="3">
        <f t="shared" si="13"/>
        <v>3.12</v>
      </c>
    </row>
    <row r="393" spans="1:4" x14ac:dyDescent="0.35">
      <c r="A393" t="s">
        <v>972</v>
      </c>
      <c r="B393">
        <v>24</v>
      </c>
      <c r="C393" t="str">
        <f t="shared" si="12"/>
        <v>EMSG:-STRACE:-STRACERAW:java.math.BigDecimal.multiply(BigDecimal.java:XXX</v>
      </c>
      <c r="D393" s="3">
        <f t="shared" si="13"/>
        <v>3.12</v>
      </c>
    </row>
    <row r="394" spans="1:4" x14ac:dyDescent="0.35">
      <c r="A394" t="s">
        <v>228</v>
      </c>
      <c r="B394">
        <v>24</v>
      </c>
      <c r="C394" t="str">
        <f t="shared" si="12"/>
        <v>EMSG:-STRACE:deployment.pc.war//com.guidewire.pl.system.entity.proxy.AbstractKeyableBeanProxy.getOneToOneForeignKeyId(AbstractKeyableBeanProxy.java:XXXSTRACERAW:-</v>
      </c>
      <c r="D394" s="3">
        <f t="shared" si="13"/>
        <v>3.12</v>
      </c>
    </row>
    <row r="395" spans="1:4" x14ac:dyDescent="0.35">
      <c r="A395" t="s">
        <v>56</v>
      </c>
      <c r="B395">
        <v>24</v>
      </c>
      <c r="C395" t="str">
        <f t="shared" si="12"/>
        <v>EMSG:-STRACE:least one vehicle by reviewing this transaction and associated transaction(sSTRACERAW:-</v>
      </c>
      <c r="D395" s="3">
        <f t="shared" si="13"/>
        <v>3.12</v>
      </c>
    </row>
    <row r="396" spans="1:4" x14ac:dyDescent="0.35">
      <c r="A396" t="s">
        <v>1273</v>
      </c>
      <c r="B396">
        <v>24</v>
      </c>
      <c r="C396" t="str">
        <f t="shared" si="12"/>
        <v>EMSG:Duplicate key PAAccidentSelectedBy foundSTRACE:edge.util.MapUtil.groupUnique(MapUtil.gs:XXXSTRACERAW:-</v>
      </c>
      <c r="D396" s="3">
        <f t="shared" si="13"/>
        <v>3.12</v>
      </c>
    </row>
    <row r="397" spans="1:4" x14ac:dyDescent="0.35">
      <c r="A397" t="s">
        <v>1274</v>
      </c>
      <c r="B397">
        <v>24</v>
      </c>
      <c r="C397" t="str">
        <f t="shared" si="12"/>
        <v>EMSG:There is no bi code in the table 'pa_pi_bi_codes' for null BI limitsSTRACE:com.farmers.tier.pa.pitier.impl.PITierCodesCalculatorImpl.calculateBILimitCode(PITierCodesCalculatorImpl.gs:XXXSTRACERAW:-</v>
      </c>
      <c r="D397" s="3">
        <f t="shared" si="13"/>
        <v>3.12</v>
      </c>
    </row>
    <row r="398" spans="1:4" x14ac:dyDescent="0.35">
      <c r="A398" t="s">
        <v>1129</v>
      </c>
      <c r="B398">
        <v>23</v>
      </c>
      <c r="C398" t="str">
        <f t="shared" si="12"/>
        <v>EMSG:, AOR=XXXSTRACE:deployment.pc.war//com.guidewire.pl.system.transaction.ConnectionHandler.newDbException(ConnectionHandler.java:XXXSTRACERAW:-</v>
      </c>
      <c r="D398" s="3">
        <f t="shared" si="13"/>
        <v>2.9899999999999998</v>
      </c>
    </row>
    <row r="399" spans="1:4" x14ac:dyDescent="0.35">
      <c r="A399" t="s">
        <v>743</v>
      </c>
      <c r="B399">
        <v>23</v>
      </c>
      <c r="C399" t="str">
        <f t="shared" si="12"/>
        <v>EMSG:-STRACE:-STRACERAW:com.guidewire.pl.system.entity.proxy.EffDatedBranchProxy.setPeriodWindow(EffDatedBranchProxy.java:XXX</v>
      </c>
      <c r="D399" s="3">
        <f t="shared" si="13"/>
        <v>2.9899999999999998</v>
      </c>
    </row>
    <row r="400" spans="1:4" x14ac:dyDescent="0.35">
      <c r="A400" t="s">
        <v>327</v>
      </c>
      <c r="B400">
        <v>23</v>
      </c>
      <c r="C400" t="str">
        <f t="shared" si="12"/>
        <v>EMSG:-STRACE:-STRACERAW:java.base/sun.net.www.protocol.http.HttpURLConnection.getInputStreamXXX(HttpURLConnection.java:XXX</v>
      </c>
      <c r="D400" s="3">
        <f t="shared" si="13"/>
        <v>2.9899999999999998</v>
      </c>
    </row>
    <row r="401" spans="1:4" x14ac:dyDescent="0.35">
      <c r="A401" t="s">
        <v>559</v>
      </c>
      <c r="B401">
        <v>23</v>
      </c>
      <c r="C401" t="str">
        <f t="shared" si="12"/>
        <v>EMSG:Submission already boundSTRACE:edge.capabilities.policychange.GatewayPolicyChangeHandler.policyBind(GatewayPolicyChangeHandler.gs:XXXSTRACERAW:-</v>
      </c>
      <c r="D401" s="3">
        <f t="shared" si="13"/>
        <v>2.9899999999999998</v>
      </c>
    </row>
    <row r="402" spans="1:4" x14ac:dyDescent="0.35">
      <c r="A402" t="s">
        <v>52</v>
      </c>
      <c r="B402">
        <v>23</v>
      </c>
      <c r="C402" t="str">
        <f t="shared" si="12"/>
        <v>EMSG:warning:entity.xxxUI-ValidationWARNMessagexxxSTRACE:-STRACERAW:the end of this message with the applicant and, if it is the accurate address, please select the Click to Update Address/Click to Update Risk Address link below to continue (If no address</v>
      </c>
      <c r="D402" s="3">
        <f t="shared" si="13"/>
        <v>2.9899999999999998</v>
      </c>
    </row>
    <row r="403" spans="1:4" x14ac:dyDescent="0.35">
      <c r="A403" t="s">
        <v>815</v>
      </c>
      <c r="B403">
        <v>22</v>
      </c>
      <c r="C403" t="str">
        <f t="shared" si="12"/>
        <v>EMSG:-STRACE:-STRACERAW:com.farmers.integ.common.utils.jms.JMSConnectionFactory.getConnection(JMSConnectionFactory.gs:XXX</v>
      </c>
      <c r="D403" s="3">
        <f t="shared" si="13"/>
        <v>2.8600000000000003</v>
      </c>
    </row>
    <row r="404" spans="1:4" x14ac:dyDescent="0.35">
      <c r="A404" t="s">
        <v>910</v>
      </c>
      <c r="B404">
        <v>22</v>
      </c>
      <c r="C404" t="str">
        <f t="shared" si="12"/>
        <v>EMSG:-STRACE:com.farmers.config.renewal.pa.PAFarmersRenewalProcess.validateDDRDriver(PAFarmersRenewalProcess.gs:XXXSTRACERAW:-</v>
      </c>
      <c r="D404" s="3">
        <f t="shared" si="13"/>
        <v>2.8600000000000003</v>
      </c>
    </row>
    <row r="405" spans="1:4" x14ac:dyDescent="0.35">
      <c r="A405" t="s">
        <v>339</v>
      </c>
      <c r="B405">
        <v>22</v>
      </c>
      <c r="C405" t="str">
        <f t="shared" si="12"/>
        <v>EMSG:-STRACE:gw.acc.luw.LUWUtil.determineAndSetStatusOfLUW(LUWUtil.gs:XXXSTRACERAW:-</v>
      </c>
      <c r="D405" s="3">
        <f t="shared" si="13"/>
        <v>2.8600000000000003</v>
      </c>
    </row>
    <row r="406" spans="1:4" x14ac:dyDescent="0.35">
      <c r="A406" t="s">
        <v>436</v>
      </c>
      <c r="B406">
        <v>22</v>
      </c>
      <c r="C406" t="str">
        <f t="shared" si="12"/>
        <v>EMSG:Could not find a policy with policy number: XXX.STRACE:com.farmers.integ.framework.job.automatejob.AutomatedJob.initialize(AutomatedJob.gs:XXXSTRACERAW:-</v>
      </c>
      <c r="D406" s="3">
        <f t="shared" si="13"/>
        <v>2.8600000000000003</v>
      </c>
    </row>
    <row r="407" spans="1:4" x14ac:dyDescent="0.35">
      <c r="A407" t="s">
        <v>336</v>
      </c>
      <c r="B407">
        <v>22</v>
      </c>
      <c r="C407" t="str">
        <f t="shared" si="12"/>
        <v>EMSG:Improperly started job cannot be committed to the database because it has no policy.STRACE:deployment.pc.war//com.guidewire.pc.domain.job.impl.JobImpl.beforeInsert(JobImpl.java:XXXSTRACERAW:-</v>
      </c>
      <c r="D407" s="3">
        <f t="shared" si="13"/>
        <v>2.8600000000000003</v>
      </c>
    </row>
    <row r="408" spans="1:4" x14ac:dyDescent="0.35">
      <c r="A408" t="s">
        <v>488</v>
      </c>
      <c r="B408">
        <v>22</v>
      </c>
      <c r="C408" t="str">
        <f t="shared" si="12"/>
        <v>EMSG:No driver points found for incident nullSTRACE:com.farmers.chargeability.pup.driverpoints.PUPDriverPointsCalculatorVXXX$block_XXX_$block_XXX_.invoke(PUPDriverPointsCalculatorVXXX.gs:XXXSTRACERAW:-</v>
      </c>
      <c r="D408" s="3">
        <f t="shared" si="13"/>
        <v>2.8600000000000003</v>
      </c>
    </row>
    <row r="409" spans="1:4" x14ac:dyDescent="0.35">
      <c r="A409" t="s">
        <v>369</v>
      </c>
      <c r="B409">
        <v>22</v>
      </c>
      <c r="C409" t="str">
        <f t="shared" si="12"/>
        <v>EMSG:The value XXX is not formatted correctly for the field "StName_Ext": Exceeds the maximum length of XXX characters (XXX)STRACE:deployment.pc.war//gw.datatype.impl.StringConstraintsHandlerBase.validateStringLength(StringConstraintsHandlerBase.java:XXXS</v>
      </c>
      <c r="D409" s="3">
        <f t="shared" si="13"/>
        <v>2.8600000000000003</v>
      </c>
    </row>
    <row r="410" spans="1:4" x14ac:dyDescent="0.35">
      <c r="A410" t="s">
        <v>747</v>
      </c>
      <c r="B410">
        <v>21</v>
      </c>
      <c r="C410" t="str">
        <f t="shared" si="12"/>
        <v>EMSG:, AOR=XXXSTRACE:gw.job.QuoteProcess.requestQuote(QuoteProcess.gs:XXXSTRACERAW:-</v>
      </c>
      <c r="D410" s="3">
        <f t="shared" si="13"/>
        <v>2.7300000000000004</v>
      </c>
    </row>
    <row r="411" spans="1:4" x14ac:dyDescent="0.35">
      <c r="A411" t="s">
        <v>453</v>
      </c>
      <c r="B411">
        <v>21</v>
      </c>
      <c r="C411" t="str">
        <f t="shared" si="12"/>
        <v>EMSG:-STRACE:-STRACERAW:com.guidewire.pl.web.navigation.Forward.performForward(Forward.java:XXX</v>
      </c>
      <c r="D411" s="3">
        <f t="shared" si="13"/>
        <v>2.7300000000000004</v>
      </c>
    </row>
    <row r="412" spans="1:4" x14ac:dyDescent="0.35">
      <c r="A412" t="s">
        <v>53</v>
      </c>
      <c r="B412">
        <v>21</v>
      </c>
      <c r="C412" t="str">
        <f t="shared" si="12"/>
        <v>EMSG:-STRACE:-STRACERAW:least one vehicle by reviewing this transaction and associated transaction(s</v>
      </c>
      <c r="D412" s="3">
        <f t="shared" si="13"/>
        <v>2.7300000000000004</v>
      </c>
    </row>
    <row r="413" spans="1:4" x14ac:dyDescent="0.35">
      <c r="A413" t="s">
        <v>1275</v>
      </c>
      <c r="B413">
        <v>21</v>
      </c>
      <c r="C413" t="str">
        <f t="shared" si="12"/>
        <v>EMSG:-STRACE:com.farmers.config.common.enhancements.PolicyPeriodEnhancement.accountSyncFieldRevert(PolicyPeriodEnhancement.gsx:XXXSTRACERAW:-</v>
      </c>
      <c r="D413" s="3">
        <f t="shared" si="13"/>
        <v>2.7300000000000004</v>
      </c>
    </row>
    <row r="414" spans="1:4" x14ac:dyDescent="0.35">
      <c r="A414" t="s">
        <v>1276</v>
      </c>
      <c r="B414">
        <v>21</v>
      </c>
      <c r="C414" t="str">
        <f t="shared" si="12"/>
        <v>EMSG:-STRACE:com.farmers.integ.erti.iso.location.ISOLocationUnusualAddressHelper.getAlphanumericMatch(ISOLocationUnusualAddressHelper.gs:XXXSTRACERAW:-</v>
      </c>
      <c r="D414" s="3">
        <f t="shared" si="13"/>
        <v>2.7300000000000004</v>
      </c>
    </row>
    <row r="415" spans="1:4" x14ac:dyDescent="0.35">
      <c r="A415" t="s">
        <v>245</v>
      </c>
      <c r="B415">
        <v>21</v>
      </c>
      <c r="C415" t="str">
        <f t="shared" si="12"/>
        <v>EMSG:Attempt to access bean of type "UserWorkInProgress" id=XXX with a null bundleSTRACE:deployment.pc.war//com.guidewire.pl.system.entity.proxy.BeanProxy.checkIsInBundle(BeanProxy.java:XXXSTRACERAW:-</v>
      </c>
      <c r="D415" s="3">
        <f t="shared" si="13"/>
        <v>2.7300000000000004</v>
      </c>
    </row>
    <row r="416" spans="1:4" x14ac:dyDescent="0.35">
      <c r="A416" t="s">
        <v>753</v>
      </c>
      <c r="B416">
        <v>21</v>
      </c>
      <c r="C416" t="str">
        <f t="shared" si="12"/>
        <v>EMSG:Can't replace a row with changesSTRACE:deployment.pc.war//com.guidewire.pl.system.entity.proxy.BeanProxy.refreshDataObject(BeanProxy.java:XXXSTRACERAW:-</v>
      </c>
      <c r="D416" s="3">
        <f t="shared" si="13"/>
        <v>2.7300000000000004</v>
      </c>
    </row>
    <row r="417" spans="1:4" x14ac:dyDescent="0.35">
      <c r="A417" t="s">
        <v>315</v>
      </c>
      <c r="B417">
        <v>21</v>
      </c>
      <c r="C417" t="str">
        <f t="shared" si="12"/>
        <v>EMSG:Ineligible BIÂ limits. A risk with excessive accidents and/or violations is not eligible for Bodily Injury limits of XXXSTRACE:gw.job.QuoteProcess.requestQuote(QuoteProcess.gs:XXXSTRACERAW:-</v>
      </c>
      <c r="D417" s="3">
        <f t="shared" si="13"/>
        <v>2.7300000000000004</v>
      </c>
    </row>
    <row r="418" spans="1:4" x14ac:dyDescent="0.35">
      <c r="A418" t="s">
        <v>191</v>
      </c>
      <c r="B418">
        <v>21</v>
      </c>
      <c r="C418" t="str">
        <f t="shared" si="12"/>
        <v>EMSG:One or more null constraint violations detected for Chargeability_ExtSTRACE:deployment.pc.war//com.guidewire.pl.system.database.entitywriter.DatabaseEntityWriterImpl.checkForNullConstraintViolation(DatabaseEntityWriterImpl.java:XXXSTRACERAW:-</v>
      </c>
      <c r="D418" s="3">
        <f t="shared" si="13"/>
        <v>2.7300000000000004</v>
      </c>
    </row>
    <row r="419" spans="1:4" x14ac:dyDescent="0.35">
      <c r="A419" t="s">
        <v>556</v>
      </c>
      <c r="B419">
        <v>21</v>
      </c>
      <c r="C419" t="str">
        <f t="shared" si="12"/>
        <v>EMSG:One or more null constraint violations detected for PersonalVehicleSTRACE:deployment.pc.war//com.guidewire.pl.system.database.entitywriter.DatabaseEntityWriterImpl.checkForNullConstraintViolation(DatabaseEntityWriterImpl.java:XXXSTRACERAW:-</v>
      </c>
      <c r="D419" s="3">
        <f t="shared" si="13"/>
        <v>2.7300000000000004</v>
      </c>
    </row>
    <row r="420" spans="1:4" x14ac:dyDescent="0.35">
      <c r="A420" t="s">
        <v>980</v>
      </c>
      <c r="B420">
        <v>21</v>
      </c>
      <c r="C420" t="str">
        <f t="shared" si="12"/>
        <v>EMSG:Slice date XXX outside of range XXX for XXX XXX bean of type PolicyPeriodSTRACE:deployment.pc.war//com.guidewire.pl.system.entity.proxy.EffDatedBaseProxy.getSliceUntyped(EffDatedBaseProxy.java:XXXSTRACERAW:-</v>
      </c>
      <c r="D420" s="3">
        <f t="shared" si="13"/>
        <v>2.7300000000000004</v>
      </c>
    </row>
    <row r="421" spans="1:4" x14ac:dyDescent="0.35">
      <c r="A421" t="s">
        <v>290</v>
      </c>
      <c r="B421">
        <v>21</v>
      </c>
      <c r="C421" t="str">
        <f t="shared" si="12"/>
        <v>EMSG:java.sql.SQLRecoverableException: No more data to read from socketSTRACE:deployment.pc.war//gw.pl.util.ExceptionUtil.convertToRuntimeException(ExceptionUtil.java:XXXSTRACERAW:-</v>
      </c>
      <c r="D421" s="3">
        <f t="shared" si="13"/>
        <v>2.7300000000000004</v>
      </c>
    </row>
    <row r="422" spans="1:4" x14ac:dyDescent="0.35">
      <c r="A422" t="s">
        <v>902</v>
      </c>
      <c r="B422">
        <v>21</v>
      </c>
      <c r="C422" t="str">
        <f t="shared" si="12"/>
        <v>EMSG:javax.resource.ResourceException: IJXXX: No managed connections available within configured blocking timeout (XXX [ms])STRACE:deployment.pc.war//gw.pl.util.ExceptionUtil.convertToRuntimeException(ExceptionUtil.java:XXXSTRACERAW:-</v>
      </c>
      <c r="D422" s="3">
        <f t="shared" si="13"/>
        <v>2.7300000000000004</v>
      </c>
    </row>
    <row r="423" spans="1:4" x14ac:dyDescent="0.35">
      <c r="A423" t="s">
        <v>652</v>
      </c>
      <c r="B423">
        <v>20</v>
      </c>
      <c r="C423" t="str">
        <f t="shared" si="12"/>
        <v>EMSG:, AOR=XXXSTRACE:com.farmers.config.pup.validator.PUPLiabilityValidationHelper$block_XXX_.invoke(PUPLiabilityValidationHelper.gs:XXXSTRACERAW:-</v>
      </c>
      <c r="D423" s="3">
        <f t="shared" si="13"/>
        <v>2.6</v>
      </c>
    </row>
    <row r="424" spans="1:4" x14ac:dyDescent="0.35">
      <c r="A424" t="s">
        <v>874</v>
      </c>
      <c r="B424">
        <v>20</v>
      </c>
      <c r="C424" t="str">
        <f t="shared" si="12"/>
        <v>EMSG:-STRACE:-STRACERAW:com.farmers.billing.dao.BillingInformationProcessor.isMinimumDownPaymentPaidOff(BillingInformationProcessor.gs:XXX</v>
      </c>
      <c r="D424" s="3">
        <f t="shared" si="13"/>
        <v>2.6</v>
      </c>
    </row>
    <row r="425" spans="1:4" x14ac:dyDescent="0.35">
      <c r="A425" t="s">
        <v>394</v>
      </c>
      <c r="B425">
        <v>20</v>
      </c>
      <c r="C425" t="str">
        <f t="shared" si="12"/>
        <v>EMSG:-STRACE:-STRACERAW:gw.api.util.LocationUtil.addRequestScopedMessage(LocationUtil.java:XXX</v>
      </c>
      <c r="D425" s="3">
        <f t="shared" si="13"/>
        <v>2.6</v>
      </c>
    </row>
    <row r="426" spans="1:4" ht="29" x14ac:dyDescent="0.35">
      <c r="A426" s="4" t="s">
        <v>635</v>
      </c>
      <c r="B426">
        <v>20</v>
      </c>
      <c r="C426" t="str">
        <f t="shared" si="12"/>
        <v>EMSG:-STRACE:may take XXX days to retrieve.
	at com.farmers.config.pa.mvr.validator.MVRDriverValidator.validateOnlineState(MVRDriverValidator.gs:XXXSTRACERAW:-</v>
      </c>
      <c r="D426" s="3">
        <f t="shared" si="13"/>
        <v>2.6</v>
      </c>
    </row>
    <row r="427" spans="1:4" x14ac:dyDescent="0.35">
      <c r="A427" t="s">
        <v>408</v>
      </c>
      <c r="B427">
        <v>20</v>
      </c>
      <c r="C427" t="str">
        <f t="shared" si="12"/>
        <v>EMSG:Failed to find default answer for required Question PrivacyQuestionSPCSPRNC_ExtSTRACE:com.farmers.config.pa.embeddedquote.process.EmbeddedQuoteProcess.defaultAnswer(EmbeddedQuoteProcess.gs:XXXSTRACERAW:-</v>
      </c>
      <c r="D427" s="3">
        <f t="shared" si="13"/>
        <v>2.6</v>
      </c>
    </row>
    <row r="428" spans="1:4" x14ac:dyDescent="0.35">
      <c r="A428" t="s">
        <v>1277</v>
      </c>
      <c r="B428">
        <v>20</v>
      </c>
      <c r="C428" t="str">
        <f t="shared" si="12"/>
        <v>EMSG:For eligible contact Brian Bauer credit score is null. Please make sure credit is orderedSTRACE:com.farmers.config.common.credit.CreditScoreHelper.populateRatingCreditDTO(CreditScoreHelper.gs:XXXSTRACERAW:-</v>
      </c>
      <c r="D428" s="3">
        <f t="shared" si="13"/>
        <v>2.6</v>
      </c>
    </row>
    <row r="429" spans="1:4" x14ac:dyDescent="0.35">
      <c r="A429" t="s">
        <v>1278</v>
      </c>
      <c r="B429">
        <v>20</v>
      </c>
      <c r="C429" t="str">
        <f t="shared" si="12"/>
        <v>EMSG:Missing one of the required BindData.PaymentDetails fields: AmountPaidAsDownpaymentSTRACE:edge.capabilities.quote.submission.GatewayQuoteHandler$block_XXX_.invoke(GatewayQuoteHandler.gs:XXXSTRACERAW:-</v>
      </c>
      <c r="D429" s="3">
        <f t="shared" si="13"/>
        <v>2.6</v>
      </c>
    </row>
    <row r="430" spans="1:4" x14ac:dyDescent="0.35">
      <c r="A430" t="s">
        <v>100</v>
      </c>
      <c r="B430">
        <v>20</v>
      </c>
      <c r="C430" t="str">
        <f t="shared" si="12"/>
        <v>EMSG:The policy period is not in a valid state to be quoted.STRACE:edge.capabilities.quote.submission.GatewayQuoteHandler$block_XXX_.invoke(GatewayQuoteHandler.gs:XXXSTRACERAW:-</v>
      </c>
      <c r="D430" s="3">
        <f t="shared" si="13"/>
        <v>2.6</v>
      </c>
    </row>
    <row r="431" spans="1:4" ht="43.5" x14ac:dyDescent="0.35">
      <c r="A431" s="4" t="s">
        <v>760</v>
      </c>
      <c r="B431">
        <v>20</v>
      </c>
      <c r="C431" t="str">
        <f t="shared" si="12"/>
        <v>EMSG:The value XXX is not formatted correctly for the field "VisaNumber_Ext": Correct "Visa #". An invalid format has been entered.  Visa # must be XXX characters where first character is a letter followed by numbers.  Ex. AXXXSTRACE:has been entered.  Vi</v>
      </c>
      <c r="D431" s="3">
        <f t="shared" si="13"/>
        <v>2.6</v>
      </c>
    </row>
    <row r="432" spans="1:4" ht="43.5" x14ac:dyDescent="0.35">
      <c r="A432" s="4" t="s">
        <v>616</v>
      </c>
      <c r="B432">
        <v>20</v>
      </c>
      <c r="C432" t="str">
        <f t="shared" si="12"/>
        <v>EMSG:gw.xml.XmlException: 'Unable to parse XML from xml string using schemas [com.farmers.integ.distribution.lms.wsc.uploadcustomerwsc.icustomerinformationmanagementSTRACE:line XXX column XXX'
	at deployment.pc.war//gw.internal.xml.ws.WsdlPortImpl.invoke(</v>
      </c>
      <c r="D432" s="3">
        <f t="shared" si="13"/>
        <v>2.6</v>
      </c>
    </row>
    <row r="433" spans="1:4" ht="43.5" x14ac:dyDescent="0.35">
      <c r="A433" s="4" t="s">
        <v>1279</v>
      </c>
      <c r="B433">
        <v>20</v>
      </c>
      <c r="C433" t="str">
        <f t="shared" si="12"/>
        <v>EMSG:gw.xml.XmlException: 'Unable to parse XML from xml string using schemas [com.farmers.integ.iwa.mdm.wsc.mdmcustinfomgmtwsc.mdmcustomerinformationmanagement_vXXXSTRACE:line XXX column XXX'
	at deployment.pc.war//gw.internal.xml.ws.WsdlPortImpl.invoke(W</v>
      </c>
      <c r="D433" s="3">
        <f t="shared" si="13"/>
        <v>2.6</v>
      </c>
    </row>
    <row r="434" spans="1:4" x14ac:dyDescent="0.35">
      <c r="A434" t="s">
        <v>746</v>
      </c>
      <c r="B434">
        <v>19</v>
      </c>
      <c r="C434" t="str">
        <f t="shared" si="12"/>
        <v>EMSG:, AOR=XXXSTRACE:deployment.pc.war//com.guidewire.pl.system.cacheXXX.CacheChange.&lt;init&gt;(CacheChange.java:XXXSTRACERAW:-</v>
      </c>
      <c r="D434" s="3">
        <f t="shared" si="13"/>
        <v>2.4699999999999998</v>
      </c>
    </row>
    <row r="435" spans="1:4" x14ac:dyDescent="0.35">
      <c r="A435" t="s">
        <v>345</v>
      </c>
      <c r="B435">
        <v>19</v>
      </c>
      <c r="C435" t="str">
        <f t="shared" si="12"/>
        <v>EMSG:-STRACE:-STRACERAW:com.guidewire.pc.domain.rating.impl.RateBookImpl.getTable(RateBookImpl.java:XXX</v>
      </c>
      <c r="D435" s="3">
        <f t="shared" si="13"/>
        <v>2.4699999999999998</v>
      </c>
    </row>
    <row r="436" spans="1:4" x14ac:dyDescent="0.35">
      <c r="A436" t="s">
        <v>376</v>
      </c>
      <c r="B436">
        <v>19</v>
      </c>
      <c r="C436" t="str">
        <f t="shared" si="12"/>
        <v>EMSG:-STRACE:-STRACERAW:com.guidewire.pl.system.bundle.EntityBundleImpl.add(EntityBundleImpl.java:XXX</v>
      </c>
      <c r="D436" s="3">
        <f t="shared" si="13"/>
        <v>2.4699999999999998</v>
      </c>
    </row>
    <row r="437" spans="1:4" x14ac:dyDescent="0.35">
      <c r="A437" t="s">
        <v>338</v>
      </c>
      <c r="B437">
        <v>19</v>
      </c>
      <c r="C437" t="str">
        <f t="shared" si="12"/>
        <v>EMSG:-STRACE:com.sun.proxy.$ProxyXXX.invoke(Unknown SourceSTRACERAW:-</v>
      </c>
      <c r="D437" s="3">
        <f t="shared" si="13"/>
        <v>2.4699999999999998</v>
      </c>
    </row>
    <row r="438" spans="1:4" x14ac:dyDescent="0.35">
      <c r="A438" t="s">
        <v>485</v>
      </c>
      <c r="B438">
        <v>19</v>
      </c>
      <c r="C438" t="str">
        <f t="shared" si="12"/>
        <v>EMSG:LUW Policy Change Job XXX: nullSTRACE:gw.acc.luw.LUWExceptionHelper.processException(LUWExceptionHelper.gs:XXXSTRACERAW:-</v>
      </c>
      <c r="D438" s="3">
        <f t="shared" si="13"/>
        <v>2.4699999999999998</v>
      </c>
    </row>
    <row r="439" spans="1:4" x14ac:dyDescent="0.35">
      <c r="A439" t="s">
        <v>259</v>
      </c>
      <c r="B439">
        <v>19</v>
      </c>
      <c r="C439" t="str">
        <f t="shared" si="12"/>
        <v>EMSG:ODSReconciliationProcessor#processPolicyPeriod : Exception Occurred com.guidewire.pl.system.exception.DBException: Failed to execute a querySTRACE:com.farmers.integ.batch.odsreconciliation.util.ODSReconciliationProcessor$block_XXX_.invoke(ODSReconcil</v>
      </c>
      <c r="D439" s="3">
        <f t="shared" si="13"/>
        <v>2.4699999999999998</v>
      </c>
    </row>
    <row r="440" spans="1:4" x14ac:dyDescent="0.35">
      <c r="A440" t="s">
        <v>260</v>
      </c>
      <c r="B440">
        <v>19</v>
      </c>
      <c r="C440" t="str">
        <f t="shared" si="12"/>
        <v>EMSG:ODSReconciliationProcessor#processPolicyPeriod : Exception Occurred java.lang.Exception: ODSReconciliationProcessor#processPolicyPeriod : Exception Occurred com.guidewire.pl.system.exception.DBException: Failed to execute a querySTRACE:com.farmers.in</v>
      </c>
      <c r="D440" s="3">
        <f t="shared" si="13"/>
        <v>2.4699999999999998</v>
      </c>
    </row>
    <row r="441" spans="1:4" x14ac:dyDescent="0.35">
      <c r="A441" t="s">
        <v>368</v>
      </c>
      <c r="B441">
        <v>19</v>
      </c>
      <c r="C441" t="str">
        <f t="shared" si="12"/>
        <v>EMSG:Rate book code: fpho_co_ratebookSTRACE:deployment.pc.war//com.guidewire.pc.domain.rating.impl.RateBookImpl.getTable(RateBookImpl.java:XXXSTRACERAW:-</v>
      </c>
      <c r="D441" s="3">
        <f t="shared" si="13"/>
        <v>2.4699999999999998</v>
      </c>
    </row>
    <row r="442" spans="1:4" x14ac:dyDescent="0.35">
      <c r="A442" t="s">
        <v>428</v>
      </c>
      <c r="B442">
        <v>19</v>
      </c>
      <c r="C442" t="str">
        <f t="shared" si="12"/>
        <v>EMSG:Submission already boundSTRACE:edge.capabilities.quote.submission.QuoteHandler.retrieve(QuoteHandler.gs:XXXSTRACERAW:-</v>
      </c>
      <c r="D442" s="3">
        <f t="shared" si="13"/>
        <v>2.4699999999999998</v>
      </c>
    </row>
    <row r="443" spans="1:4" x14ac:dyDescent="0.35">
      <c r="A443" t="s">
        <v>375</v>
      </c>
      <c r="B443">
        <v>19</v>
      </c>
      <c r="C443" t="str">
        <f t="shared" si="12"/>
        <v>EMSG:The value XXX is not formatted correctly for the field "AddressLine": Please edit address as only the following special characters are acceptable:   # STRACE:deployment.pc.war//com.guidewire.pl.metadata.datatypeXXX.fieldvalidator.FieldValidatorInfo.v</v>
      </c>
      <c r="D443" s="3">
        <f t="shared" si="13"/>
        <v>2.4699999999999998</v>
      </c>
    </row>
    <row r="444" spans="1:4" x14ac:dyDescent="0.35">
      <c r="A444" t="s">
        <v>272</v>
      </c>
      <c r="B444">
        <v>19</v>
      </c>
      <c r="C444" t="str">
        <f t="shared" si="12"/>
        <v>EMSG:The value XXX is not formatted correctly for the field "AddressLineXXX": Please edit address as only the following special characters are acceptable:   # STRACE:deployment.pc.war//com.guidewire.pl.metadata.datatypeXXX.fieldvalidator.FieldValidatorInf</v>
      </c>
      <c r="D444" s="3">
        <f t="shared" si="13"/>
        <v>2.4699999999999998</v>
      </c>
    </row>
    <row r="445" spans="1:4" x14ac:dyDescent="0.35">
      <c r="A445" t="s">
        <v>692</v>
      </c>
      <c r="B445">
        <v>18</v>
      </c>
      <c r="C445" t="str">
        <f t="shared" si="12"/>
        <v>EMSG:, AOR=XXXSTRACE:com.farmers.config.ho.enhancement.PolicyPeriodEnhancement.getCoverageSeparateStructureFPHOAmount(PolicyPeriodEnhancement.gsx:XXXSTRACERAW:-</v>
      </c>
      <c r="D445" s="3">
        <f t="shared" si="13"/>
        <v>2.3400000000000003</v>
      </c>
    </row>
    <row r="446" spans="1:4" x14ac:dyDescent="0.35">
      <c r="A446" t="s">
        <v>615</v>
      </c>
      <c r="B446">
        <v>18</v>
      </c>
      <c r="C446" t="str">
        <f t="shared" si="12"/>
        <v>EMSG:, AOR=XXXSTRACE:com.farmers.config.ho.productmodel.CoveragesValidation_Ext.validateFortifiedRoofUpgradeCovALExt(CoveragesValidation_Ext.gs:XXXSTRACERAW:-</v>
      </c>
      <c r="D446" s="3">
        <f t="shared" si="13"/>
        <v>2.3400000000000003</v>
      </c>
    </row>
    <row r="447" spans="1:4" x14ac:dyDescent="0.35">
      <c r="A447" t="s">
        <v>796</v>
      </c>
      <c r="B447">
        <v>18</v>
      </c>
      <c r="C447" t="str">
        <f t="shared" si="12"/>
        <v>EMSG:-STRACE:-STRACERAW:pcfc.expressions.JobWizardToolbarButtonSet_SubmissionExpressions$JobWizardToolbarButtonSetExpressionsImpl.associatedSubmissionJob(JobWizardToolbarButtonSet_SubmissionExpressions.gs:XXX</v>
      </c>
      <c r="D447" s="3">
        <f t="shared" si="13"/>
        <v>2.3400000000000003</v>
      </c>
    </row>
    <row r="448" spans="1:4" ht="29" x14ac:dyDescent="0.35">
      <c r="A448" s="4" t="s">
        <v>625</v>
      </c>
      <c r="B448">
        <v>18</v>
      </c>
      <c r="C448" t="str">
        <f t="shared" si="12"/>
        <v>EMSG:Cannot calculate an age for a date of birth XXXXXXXXX that is after policy effective date XXXXXXXXXSTRACE:is after policy effective date XXXXXXXXX
	at gw.contact.PolicyContactRoleEnhancement.AgeAtTermStartDate(PolicyContactRoleEnhancement.gsx:XXXSTRA</v>
      </c>
      <c r="D448" s="3">
        <f t="shared" si="13"/>
        <v>2.3400000000000003</v>
      </c>
    </row>
    <row r="449" spans="1:4" x14ac:dyDescent="0.35">
      <c r="A449" t="s">
        <v>1280</v>
      </c>
      <c r="B449">
        <v>18</v>
      </c>
      <c r="C449" t="str">
        <f t="shared" si="12"/>
        <v>EMSG:Update Odometer Date for Vehicle XXXSTRACE:edge.capabilities.quote.submission.quoting.util.SubmissionUnderwritingIssuesUtil.checkVerifyRateExceptions(SubmissionUnderwritingIssuesUtil.gs:XXXSTRACERAW:-</v>
      </c>
      <c r="D449" s="3">
        <f t="shared" si="13"/>
        <v>2.3400000000000003</v>
      </c>
    </row>
    <row r="450" spans="1:4" x14ac:dyDescent="0.35">
      <c r="A450" t="s">
        <v>1281</v>
      </c>
      <c r="B450">
        <v>17</v>
      </c>
      <c r="C450" t="str">
        <f t="shared" ref="C450:C513" si="14">LEFT(A450,255)</f>
        <v>EMSG:, AOR=XXXSTRACE:gw.lang.enhancements.CoreArrayOfIntegersEnhancement.sum(CoreArrayOfIntegersEnhancement.gsx:XXXSTRACERAW:-</v>
      </c>
      <c r="D450" s="3">
        <f t="shared" ref="D450:D513" si="15">IF(AND((B450/10)&lt;1,(B450/10)&gt;0),1,(B450/10)*130%)</f>
        <v>2.21</v>
      </c>
    </row>
    <row r="451" spans="1:4" x14ac:dyDescent="0.35">
      <c r="A451" t="s">
        <v>186</v>
      </c>
      <c r="B451">
        <v>17</v>
      </c>
      <c r="C451" t="str">
        <f t="shared" si="14"/>
        <v>EMSG:-STRACE:-STRACERAW:com.farmers.config.pa.validator.PALineQuoteValidator_Ext.blockExcToOtherNonDrvRsnForExternalUser(PALineQuoteValidator_Ext.gs:XXX</v>
      </c>
      <c r="D451" s="3">
        <f t="shared" si="15"/>
        <v>2.21</v>
      </c>
    </row>
    <row r="452" spans="1:4" x14ac:dyDescent="0.35">
      <c r="A452" t="s">
        <v>346</v>
      </c>
      <c r="B452">
        <v>17</v>
      </c>
      <c r="C452" t="str">
        <f t="shared" si="14"/>
        <v>EMSG:-STRACE:-STRACERAW:com.guidewire.pl.system.entity.proxy.EffDatedBeanProxy.setEffectiveWindow(EffDatedBeanProxy.java:XXX</v>
      </c>
      <c r="D452" s="3">
        <f t="shared" si="15"/>
        <v>2.21</v>
      </c>
    </row>
    <row r="453" spans="1:4" x14ac:dyDescent="0.35">
      <c r="A453" t="s">
        <v>1282</v>
      </c>
      <c r="B453">
        <v>17</v>
      </c>
      <c r="C453" t="str">
        <f t="shared" si="14"/>
        <v>EMSG:-STRACE:-STRACERAW:gw.lang.enhancements.CoreArrayOfIntegersEnhancement.sum(CoreArrayOfIntegersEnhancement.gsx:XXX</v>
      </c>
      <c r="D453" s="3">
        <f t="shared" si="15"/>
        <v>2.21</v>
      </c>
    </row>
    <row r="454" spans="1:4" x14ac:dyDescent="0.35">
      <c r="A454" t="s">
        <v>246</v>
      </c>
      <c r="B454">
        <v>17</v>
      </c>
      <c r="C454" t="str">
        <f t="shared" si="14"/>
        <v>EMSG:-STRACE:-STRACERAW:gw.lob.pup.PUPLineValidation_PUE.validateIneligiblePUPfields(PUPLineValidation_PUE.gs:XXX</v>
      </c>
      <c r="D454" s="3">
        <f t="shared" si="15"/>
        <v>2.21</v>
      </c>
    </row>
    <row r="455" spans="1:4" x14ac:dyDescent="0.35">
      <c r="A455" t="s">
        <v>549</v>
      </c>
      <c r="B455">
        <v>17</v>
      </c>
      <c r="C455" t="str">
        <f t="shared" si="14"/>
        <v>EMSG:-STRACE:com.farmers.integ.security.community.ace.agent.profile.builder.AbstractStaffUserProfileBuilderStrategy.buildCreateFunction(AbstractStaffUserProfileBuilderStrategy.gs:XXXSTRACERAW:-</v>
      </c>
      <c r="D455" s="3">
        <f t="shared" si="15"/>
        <v>2.21</v>
      </c>
    </row>
    <row r="456" spans="1:4" x14ac:dyDescent="0.35">
      <c r="A456" t="s">
        <v>994</v>
      </c>
      <c r="B456">
        <v>17</v>
      </c>
      <c r="C456" t="str">
        <f t="shared" si="14"/>
        <v>EMSG:Could not deserialize typecode  for typelist typekey.HORoofULRating_ExtSTRACE:edge.servlet.jsonrpc.marshalling.TypeKeyInstantiator.createFromString(TypeKeyInstantiator.gs:XXXSTRACERAW:-</v>
      </c>
      <c r="D456" s="3">
        <f t="shared" si="15"/>
        <v>2.21</v>
      </c>
    </row>
    <row r="457" spans="1:4" x14ac:dyDescent="0.35">
      <c r="A457" t="s">
        <v>363</v>
      </c>
      <c r="B457">
        <v>16</v>
      </c>
      <c r="C457" t="str">
        <f t="shared" si="14"/>
        <v>EMSG:-STRACE:-STRACERAW:com.guidewire.pl.web.value.ValueWidget.onValidateModel(ValueWidget.java:XXX</v>
      </c>
      <c r="D457" s="3">
        <f t="shared" si="15"/>
        <v>2.08</v>
      </c>
    </row>
    <row r="458" spans="1:4" x14ac:dyDescent="0.35">
      <c r="A458" t="s">
        <v>294</v>
      </c>
      <c r="B458">
        <v>16</v>
      </c>
      <c r="C458" t="str">
        <f t="shared" si="14"/>
        <v>EMSG:-STRACE:-STRACERAW:pcfc.expressions.AccountFile_Summary_PolicyTerms_ExtCVExpressions$IteratorEntryExpressionsImpl.value_XXX(AccountFile_Summary_PolicyTerms_ExtCVExpressions.gs:XXX</v>
      </c>
      <c r="D458" s="3">
        <f t="shared" si="15"/>
        <v>2.08</v>
      </c>
    </row>
    <row r="459" spans="1:4" x14ac:dyDescent="0.35">
      <c r="A459" t="s">
        <v>309</v>
      </c>
      <c r="B459">
        <v>16</v>
      </c>
      <c r="C459" t="str">
        <f t="shared" si="14"/>
        <v>EMSG:-STRACE:-STRACERAW:pcfc.expressions.Job_RiskAnalysisScreenExpressions$Job_RiskAnalysisScreenExpressionsImpl.initialValue_XXX(Job_RiskAnalysisScreenExpressions.gs:XXX</v>
      </c>
      <c r="D459" s="3">
        <f t="shared" si="15"/>
        <v>2.08</v>
      </c>
    </row>
    <row r="460" spans="1:4" x14ac:dyDescent="0.35">
      <c r="A460" t="s">
        <v>777</v>
      </c>
      <c r="B460">
        <v>16</v>
      </c>
      <c r="C460" t="str">
        <f t="shared" si="14"/>
        <v>EMSG:Attempt to access bean of type "HOLocation_HOE" id=XXX with a null bundleSTRACE:deployment.pc.war//com.guidewire.pl.system.entity.proxy.BeanProxy.checkIsInBundle(BeanProxy.java:XXXSTRACERAW:-</v>
      </c>
      <c r="D460" s="3">
        <f t="shared" si="15"/>
        <v>2.08</v>
      </c>
    </row>
    <row r="461" spans="1:4" x14ac:dyDescent="0.35">
      <c r="A461" t="s">
        <v>819</v>
      </c>
      <c r="B461">
        <v>16</v>
      </c>
      <c r="C461" t="str">
        <f t="shared" si="14"/>
        <v>EMSG:Attempt to remove required coverage for pattern Deductibles  Pattern nullSTRACE:edge.capabilities.policycommon.coverage.util.CoverageUtil.updateFrom XXXSTRACERAW:-</v>
      </c>
      <c r="D461" s="3">
        <f t="shared" si="15"/>
        <v>2.08</v>
      </c>
    </row>
    <row r="462" spans="1:4" x14ac:dyDescent="0.35">
      <c r="A462" t="s">
        <v>483</v>
      </c>
      <c r="B462">
        <v>16</v>
      </c>
      <c r="C462" t="str">
        <f t="shared" si="14"/>
        <v>EMSG:Database bean version conflict : XXXSTRACE:deployment.pc.war//com.guidewire.pl.system.database.DatabaseChangedBeanWriter.createConcurrentDataChangeException(DatabaseChangedBeanWriter.java:XXXSTRACERAW:-</v>
      </c>
      <c r="D462" s="3">
        <f t="shared" si="15"/>
        <v>2.08</v>
      </c>
    </row>
    <row r="463" spans="1:4" x14ac:dyDescent="0.35">
      <c r="A463" t="s">
        <v>900</v>
      </c>
      <c r="B463">
        <v>16</v>
      </c>
      <c r="C463" t="str">
        <f t="shared" si="14"/>
        <v>EMSG:Failed to execute a querySTRACE:deployment.pc.war//com.guidewire.pc.system.lookuptables.LookupTableManagerImpl$LRUCache.get(LookupTableManagerImpl.java:XXXSTRACERAW:-</v>
      </c>
      <c r="D463" s="3">
        <f t="shared" si="15"/>
        <v>2.08</v>
      </c>
    </row>
    <row r="464" spans="1:4" x14ac:dyDescent="0.35">
      <c r="A464" t="s">
        <v>770</v>
      </c>
      <c r="B464">
        <v>16</v>
      </c>
      <c r="C464" t="str">
        <f t="shared" si="14"/>
        <v>EMSG:Remove FORTIFIED Roof Upgrade Coverage. FORTIFIED Roof Upgrade coverage is not allowed in Mobile and Baldwin counties.STRACE:edge.capabilities.quote.submission.quoting.util.SubmissionUnderwritingIssuesUtil.checkSideBySideProcessExceptions(SubmissionU</v>
      </c>
      <c r="D464" s="3">
        <f t="shared" si="15"/>
        <v>2.08</v>
      </c>
    </row>
    <row r="465" spans="1:4" ht="29" x14ac:dyDescent="0.35">
      <c r="A465" s="4" t="s">
        <v>655</v>
      </c>
      <c r="B465">
        <v>16</v>
      </c>
      <c r="C465" t="str">
        <f t="shared" si="14"/>
        <v>EMSG:java.lang.IllegalStateException: Cannot modify a bean of type PolicyPriNamedInsured that is in a readonly bundleSTRACE:is in a readonly bundle
	at com.farmers.integ.documentmgmt.vipdocument.multilobformgen.transformer.VIPFormGenRequestTransformer.tra</v>
      </c>
      <c r="D465" s="3">
        <f t="shared" si="15"/>
        <v>2.08</v>
      </c>
    </row>
    <row r="466" spans="1:4" x14ac:dyDescent="0.35">
      <c r="A466" t="s">
        <v>814</v>
      </c>
      <c r="B466">
        <v>16</v>
      </c>
      <c r="C466" t="str">
        <f t="shared" si="14"/>
        <v>EMSG:jms/GWPC_QCF_SMALL -- service jboss.naming.context.java.jboss.jms.GWPC_QCF_SMALLSTRACE:org.jboss.as.naming@XXX.XXX.XXX.GA-redhatXXX//org.jboss.as.naming.ServiceBasedNamingStore.lookup(ServiceBasedNamingStore.java:XXXSTRACERAW:-</v>
      </c>
      <c r="D466" s="3">
        <f t="shared" si="15"/>
        <v>2.08</v>
      </c>
    </row>
    <row r="467" spans="1:4" x14ac:dyDescent="0.35">
      <c r="A467" t="s">
        <v>981</v>
      </c>
      <c r="B467">
        <v>15</v>
      </c>
      <c r="C467" t="str">
        <f t="shared" si="14"/>
        <v>EMSG:, AOR=XXXSTRACE:com.farmers.chargeability.common.expperiod.impl.AbstractExperiencePeriodsCalculator$block_XXX_.invoke(AbstractExperiencePeriodsCalculator.gs:XXXSTRACERAW:-</v>
      </c>
      <c r="D467" s="3">
        <f t="shared" si="15"/>
        <v>1.9500000000000002</v>
      </c>
    </row>
    <row r="468" spans="1:4" x14ac:dyDescent="0.35">
      <c r="A468" t="s">
        <v>1283</v>
      </c>
      <c r="B468">
        <v>15</v>
      </c>
      <c r="C468" t="str">
        <f t="shared" si="14"/>
        <v>EMSG:, AOR=XXXSTRACE:com.farmers.config.common.enhancements.PolicyPeriodEnhancement$block_XXX_.invoke(PolicyPeriodEnhancement.gsx:XXXSTRACERAW:-</v>
      </c>
      <c r="D468" s="3">
        <f t="shared" si="15"/>
        <v>1.9500000000000002</v>
      </c>
    </row>
    <row r="469" spans="1:4" x14ac:dyDescent="0.35">
      <c r="A469" t="s">
        <v>1209</v>
      </c>
      <c r="B469">
        <v>15</v>
      </c>
      <c r="C469" t="str">
        <f t="shared" si="14"/>
        <v>EMSG:-STRACE:-STRACERAW:com.farmers.billing.dao.PayPlanAnalyzer.buildRequestToIdentifyEligiblePayPlans(PayPlanAnalyzer.gs:XXX</v>
      </c>
      <c r="D469" s="3">
        <f t="shared" si="15"/>
        <v>1.9500000000000002</v>
      </c>
    </row>
    <row r="470" spans="1:4" x14ac:dyDescent="0.35">
      <c r="A470" t="s">
        <v>982</v>
      </c>
      <c r="B470">
        <v>15</v>
      </c>
      <c r="C470" t="str">
        <f t="shared" si="14"/>
        <v>EMSG:-STRACE:-STRACERAW:com.farmers.chargeability.common.expperiod.impl.AbstractExperiencePeriodsCalculator$block_XXX_.invoke(AbstractExperiencePeriodsCalculator.gs:XXX</v>
      </c>
      <c r="D470" s="3">
        <f t="shared" si="15"/>
        <v>1.9500000000000002</v>
      </c>
    </row>
    <row r="471" spans="1:4" x14ac:dyDescent="0.35">
      <c r="A471" t="s">
        <v>361</v>
      </c>
      <c r="B471">
        <v>15</v>
      </c>
      <c r="C471" t="str">
        <f t="shared" si="14"/>
        <v>EMSG:-STRACE:-STRACERAW:com.farmers.claims.ClaimsFieldHelper.populatePolicyClaims(ClaimsFieldHelper.gs:XXX</v>
      </c>
      <c r="D471" s="3">
        <f t="shared" si="15"/>
        <v>1.9500000000000002</v>
      </c>
    </row>
    <row r="472" spans="1:4" x14ac:dyDescent="0.35">
      <c r="A472" t="s">
        <v>364</v>
      </c>
      <c r="B472">
        <v>15</v>
      </c>
      <c r="C472" t="str">
        <f t="shared" si="14"/>
        <v>EMSG:-STRACE:-STRACERAW:pcfc.expressions.CALicenseInputSetExpressions$CALicenseInputSetExpressionsImpl.visible_XXX(CALicenseInputSetExpressions.gs:XXX</v>
      </c>
      <c r="D472" s="3">
        <f t="shared" si="15"/>
        <v>1.9500000000000002</v>
      </c>
    </row>
    <row r="473" spans="1:4" x14ac:dyDescent="0.35">
      <c r="A473" t="s">
        <v>762</v>
      </c>
      <c r="B473">
        <v>15</v>
      </c>
      <c r="C473" t="str">
        <f t="shared" si="14"/>
        <v>EMSG:-STRACE:com.farmers.edge.capabilities.policyjob.lob.personalumbrella.coverables.DefaultPuCoverablePlugin.updateHHMemberDetails(DefaultPuCoverablePlugin.gs:XXXSTRACERAW:-</v>
      </c>
      <c r="D473" s="3">
        <f t="shared" si="15"/>
        <v>1.9500000000000002</v>
      </c>
    </row>
    <row r="474" spans="1:4" x14ac:dyDescent="0.35">
      <c r="A474" t="s">
        <v>912</v>
      </c>
      <c r="B474">
        <v>15</v>
      </c>
      <c r="C474" t="str">
        <f t="shared" si="14"/>
        <v>EMSG:-STRACE:gw.lang.enhancements.CoreArrayOfIntegersEnhancement.sum(CoreArrayOfIntegersEnhancement.gsx:XXXSTRACERAW:-</v>
      </c>
      <c r="D474" s="3">
        <f t="shared" si="15"/>
        <v>1.9500000000000002</v>
      </c>
    </row>
    <row r="475" spans="1:4" x14ac:dyDescent="0.35">
      <c r="A475" t="s">
        <v>759</v>
      </c>
      <c r="B475">
        <v>15</v>
      </c>
      <c r="C475" t="str">
        <f t="shared" si="14"/>
        <v>EMSG:A preferred email address is already associated with this contact. To ensure continuity across integrated systemsSTRACE:com.farmers.config.common.processor.possiblenowrequest.PossibleNowUIHelper$block_XXX_.invoke(PossibleNowUIHelper.gs:XXXSTRACERAW:-</v>
      </c>
      <c r="D475" s="3">
        <f t="shared" si="15"/>
        <v>1.9500000000000002</v>
      </c>
    </row>
    <row r="476" spans="1:4" x14ac:dyDescent="0.35">
      <c r="A476" t="s">
        <v>841</v>
      </c>
      <c r="B476">
        <v>15</v>
      </c>
      <c r="C476" t="str">
        <f t="shared" si="14"/>
        <v>EMSG:Attempt to access bean of type "Customer_Ext" id=XXX with a null bundleSTRACE:deployment.pc.war//com.guidewire.pl.system.entity.proxy.BeanProxy.checkIsInBundle(BeanProxy.java:XXXSTRACERAW:-</v>
      </c>
      <c r="D476" s="3">
        <f t="shared" si="15"/>
        <v>1.9500000000000002</v>
      </c>
    </row>
    <row r="477" spans="1:4" x14ac:dyDescent="0.35">
      <c r="A477" t="s">
        <v>1215</v>
      </c>
      <c r="B477">
        <v>15</v>
      </c>
      <c r="C477" t="str">
        <f t="shared" si="14"/>
        <v>EMSG:Index XXX out of bounds for length XXXSTRACE:com.farmers.billing.dao.PayPlanAnalyzer.buildRequestToIdentifyEligiblePayPlans(PayPlanAnalyzer.gs:XXXSTRACERAW:-</v>
      </c>
      <c r="D477" s="3">
        <f t="shared" si="15"/>
        <v>1.9500000000000002</v>
      </c>
    </row>
    <row r="478" spans="1:4" x14ac:dyDescent="0.35">
      <c r="A478" t="s">
        <v>1016</v>
      </c>
      <c r="B478">
        <v>15</v>
      </c>
      <c r="C478" t="str">
        <f t="shared" si="14"/>
        <v>EMSG:Invalid QuoteSTRACE:gw.acc.luw.perf.JobQuoter.processQuoteIssues(JobQuoter.gs:XXXSTRACERAW:-</v>
      </c>
      <c r="D478" s="3">
        <f t="shared" si="15"/>
        <v>1.9500000000000002</v>
      </c>
    </row>
    <row r="479" spans="1:4" x14ac:dyDescent="0.35">
      <c r="A479" t="s">
        <v>265</v>
      </c>
      <c r="B479">
        <v>15</v>
      </c>
      <c r="C479" t="str">
        <f t="shared" si="14"/>
        <v>EMSG:Policy XXX cannot be canceled: The policy is already canceled as of this dateSTRACE:com.farmers.integ.framework.job.automatejob.policycancel.AutomatedPolicyCancelJobAPI.canStartJob(AutomatedPolicyCancelJobAPI.gs:XXXSTRACERAW:-</v>
      </c>
      <c r="D479" s="3">
        <f t="shared" si="15"/>
        <v>1.9500000000000002</v>
      </c>
    </row>
    <row r="480" spans="1:4" x14ac:dyDescent="0.35">
      <c r="A480" t="s">
        <v>44</v>
      </c>
      <c r="B480">
        <v>15</v>
      </c>
      <c r="C480" t="str">
        <f t="shared" si="14"/>
        <v>EMSG:Select XXX as the Primary Driver on at least one vehicle. Since the number of vehicles is greater than the number of driversSTRACE:STRACERAW:-</v>
      </c>
      <c r="D480" s="3">
        <f t="shared" si="15"/>
        <v>1.9500000000000002</v>
      </c>
    </row>
    <row r="481" spans="1:4" x14ac:dyDescent="0.35">
      <c r="A481" t="s">
        <v>1284</v>
      </c>
      <c r="B481">
        <v>15</v>
      </c>
      <c r="C481" t="str">
        <f t="shared" si="14"/>
        <v>EMSG:Slice date XXX outside of range XXX for XXX XXX bean of type TerritoryCodeSTRACE:deployment.pc.war//com.guidewire.pl.system.entity.proxy.EffDatedBaseProxy.getSliceUntyped(EffDatedBaseProxy.java:XXXSTRACERAW:-</v>
      </c>
      <c r="D481" s="3">
        <f t="shared" si="15"/>
        <v>1.9500000000000002</v>
      </c>
    </row>
    <row r="482" spans="1:4" x14ac:dyDescent="0.35">
      <c r="A482" t="s">
        <v>1217</v>
      </c>
      <c r="B482">
        <v>15</v>
      </c>
      <c r="C482" t="str">
        <f t="shared" si="14"/>
        <v>EMSG:Update the garaging address for XXXSTRACE:com.farmers.lob.pa.driverassignment.DriverAssignment.validateData(DriverAssignment.gs:XXXSTRACERAW:-</v>
      </c>
      <c r="D482" s="3">
        <f t="shared" si="15"/>
        <v>1.9500000000000002</v>
      </c>
    </row>
    <row r="483" spans="1:4" x14ac:dyDescent="0.35">
      <c r="A483" t="s">
        <v>442</v>
      </c>
      <c r="B483">
        <v>15</v>
      </c>
      <c r="C483" t="str">
        <f t="shared" si="14"/>
        <v>EMSG:XXX has exceeded the accident and/or violation threshold for eligibility in this program. Drivers with excessive accidents and/or convictions may be excluded by request in CO.STRACE:com.farmers.config.pa.validator.BrightlineValidator.validateQuoteBri</v>
      </c>
      <c r="D483" s="3">
        <f t="shared" si="15"/>
        <v>1.9500000000000002</v>
      </c>
    </row>
    <row r="484" spans="1:4" x14ac:dyDescent="0.35">
      <c r="A484" t="s">
        <v>1285</v>
      </c>
      <c r="B484">
        <v>15</v>
      </c>
      <c r="C484" t="str">
        <f t="shared" si="14"/>
        <v>EMSG:java.net.ConnectException: Connection timed outSTRACE:deployment.pc.war//gw.pl.util.ExceptionUtil.convertToRuntimeException(ExceptionUtil.java:XXXSTRACERAW:-</v>
      </c>
      <c r="D484" s="3">
        <f t="shared" si="15"/>
        <v>1.9500000000000002</v>
      </c>
    </row>
    <row r="485" spans="1:4" x14ac:dyDescent="0.35">
      <c r="A485" t="s">
        <v>1126</v>
      </c>
      <c r="B485">
        <v>14</v>
      </c>
      <c r="C485" t="str">
        <f t="shared" si="14"/>
        <v>EMSG:, AOR=XXXSTRACE:-STRACERAW:Jan XXX XXX:XXX:XXX PST XXX, MSG=Unable to Add Mortgagee.(EXXX</v>
      </c>
      <c r="D485" s="3">
        <f t="shared" si="15"/>
        <v>1.8199999999999998</v>
      </c>
    </row>
    <row r="486" spans="1:4" x14ac:dyDescent="0.35">
      <c r="A486" t="s">
        <v>320</v>
      </c>
      <c r="B486">
        <v>14</v>
      </c>
      <c r="C486" t="str">
        <f t="shared" si="14"/>
        <v>EMSG:-STRACE:-STRACERAW:com.farmers.config.pa.helper.RiskAnalysisUIHelper.getMCVehicles(RiskAnalysisUIHelper.gs:XXX</v>
      </c>
      <c r="D486" s="3">
        <f t="shared" si="15"/>
        <v>1.8199999999999998</v>
      </c>
    </row>
    <row r="487" spans="1:4" x14ac:dyDescent="0.35">
      <c r="A487" t="s">
        <v>590</v>
      </c>
      <c r="B487">
        <v>14</v>
      </c>
      <c r="C487" t="str">
        <f t="shared" si="14"/>
        <v>EMSG:-STRACE:-STRACERAW:java.lang.String.compareTo(String.java:XXX</v>
      </c>
      <c r="D487" s="3">
        <f t="shared" si="15"/>
        <v>1.8199999999999998</v>
      </c>
    </row>
    <row r="488" spans="1:4" ht="29" x14ac:dyDescent="0.35">
      <c r="A488" s="4" t="s">
        <v>620</v>
      </c>
      <c r="B488">
        <v>14</v>
      </c>
      <c r="C488" t="str">
        <f t="shared" si="14"/>
        <v>EMSG:-STRACE:XXX/XXX/XXX XXX:XXX AM. See error log for full details.
	at com.farmers.integ.framework.job.automatejob.AutomatedJob.executeJob(AutomatedJob.gs:XXXSTRACERAW:-</v>
      </c>
      <c r="D488" s="3">
        <f t="shared" si="15"/>
        <v>1.8199999999999998</v>
      </c>
    </row>
    <row r="489" spans="1:4" x14ac:dyDescent="0.35">
      <c r="A489" t="s">
        <v>1027</v>
      </c>
      <c r="B489">
        <v>14</v>
      </c>
      <c r="C489" t="str">
        <f t="shared" si="14"/>
        <v>EMSG:-STRACE:com.farmers.integ.downstream.policytransaction.PolicyTransaction$block_XXX_.invoke(PolicyTransaction.gs:XXXSTRACERAW:-</v>
      </c>
      <c r="D489" s="3">
        <f t="shared" si="15"/>
        <v>1.8199999999999998</v>
      </c>
    </row>
    <row r="490" spans="1:4" x14ac:dyDescent="0.35">
      <c r="A490" t="s">
        <v>386</v>
      </c>
      <c r="B490">
        <v>14</v>
      </c>
      <c r="C490" t="str">
        <f t="shared" si="14"/>
        <v>EMSG:Attempt to access bean of type "HOBathroom_Ext" id=XXX with a null bundleSTRACE:deployment.pc.war//com.guidewire.pl.system.entity.proxy.BeanProxy.checkIsInBundle(BeanProxy.java:XXXSTRACERAW:-</v>
      </c>
      <c r="D490" s="3">
        <f t="shared" si="15"/>
        <v>1.8199999999999998</v>
      </c>
    </row>
    <row r="491" spans="1:4" ht="29" x14ac:dyDescent="0.35">
      <c r="A491" s="4" t="s">
        <v>1286</v>
      </c>
      <c r="B491">
        <v>14</v>
      </c>
      <c r="C491" t="str">
        <f t="shared" si="14"/>
        <v>EMSG:Dwelling at XXXSTRACE:XXX W Biddison St, Fort Worth, TX: Dwelling is required and must be added.
	at gw.api.extension.PCExtensionInterfacesMapper$block_XXX_.invoke(PCExtensionInterfacesMapper.gs:XXXSTRACERAW:-</v>
      </c>
      <c r="D491" s="3">
        <f t="shared" si="15"/>
        <v>1.8199999999999998</v>
      </c>
    </row>
    <row r="492" spans="1:4" x14ac:dyDescent="0.35">
      <c r="A492" t="s">
        <v>271</v>
      </c>
      <c r="B492">
        <v>14</v>
      </c>
      <c r="C492" t="str">
        <f t="shared" si="14"/>
        <v>EMSG:Inbound payload doesn't have coverages for vehicle XXXSTRACE:edge.capabilities.policyjob.lob.personalauto.coverages.DefaultPaCoveragePlugin$block_XXX_.invoke(DefaultPaCoveragePlugin.gs:XXXSTRACERAW:-</v>
      </c>
      <c r="D492" s="3">
        <f t="shared" si="15"/>
        <v>1.8199999999999998</v>
      </c>
    </row>
    <row r="493" spans="1:4" x14ac:dyDescent="0.35">
      <c r="A493" t="s">
        <v>964</v>
      </c>
      <c r="B493">
        <v>14</v>
      </c>
      <c r="C493" t="str">
        <f t="shared" si="14"/>
        <v>EMSG:Period dates overlap an existing bound periodSTRACE:deployment.pc.war//com.guidewire.pl.system.entity.proxy.EffDatedBranchProxy.checkForOverlapsAndGaps(EffDatedBranchProxy.java:XXXSTRACERAW:-</v>
      </c>
      <c r="D493" s="3">
        <f t="shared" si="15"/>
        <v>1.8199999999999998</v>
      </c>
    </row>
    <row r="494" spans="1:4" x14ac:dyDescent="0.35">
      <c r="A494" t="s">
        <v>742</v>
      </c>
      <c r="B494">
        <v>14</v>
      </c>
      <c r="C494" t="str">
        <f t="shared" si="14"/>
        <v>EMSG:Policy cannot be bound due to pending pre-bind contingencies.STRACE:edge.capabilities.policychange.GatewayPolicyChangeHandler.policyBind(GatewayPolicyChangeHandler.gs:XXXSTRACERAW:-</v>
      </c>
      <c r="D494" s="3">
        <f t="shared" si="15"/>
        <v>1.8199999999999998</v>
      </c>
    </row>
    <row r="495" spans="1:4" ht="29" x14ac:dyDescent="0.35">
      <c r="A495" s="4" t="s">
        <v>859</v>
      </c>
      <c r="B495">
        <v>14</v>
      </c>
      <c r="C495" t="str">
        <f t="shared" si="14"/>
        <v>EMSG:Try again later. Credit ordering is unavailable at this time.STRACE:this time.
	at com.farmers.config.common.credit.pa.PACreditScoreProcess.invokeService(PACreditScoreProcess.gs:XXXSTRACERAW:-</v>
      </c>
      <c r="D495" s="3">
        <f t="shared" si="15"/>
        <v>1.8199999999999998</v>
      </c>
    </row>
    <row r="496" spans="1:4" x14ac:dyDescent="0.35">
      <c r="A496" t="s">
        <v>802</v>
      </c>
      <c r="B496">
        <v>14</v>
      </c>
      <c r="C496" t="str">
        <f t="shared" si="14"/>
        <v>EMSG:Try again later. Unable to retrieve Auto Data Prefill (ADPF) report.STRACE:com.farmers.config.pa.adpf.ADPFReportHelper.startProcessing(ADPFReportHelper.gs:XXXSTRACERAW:-</v>
      </c>
      <c r="D496" s="3">
        <f t="shared" si="15"/>
        <v>1.8199999999999998</v>
      </c>
    </row>
    <row r="497" spans="1:4" x14ac:dyDescent="0.35">
      <c r="A497" t="s">
        <v>788</v>
      </c>
      <c r="B497">
        <v>14</v>
      </c>
      <c r="C497" t="str">
        <f t="shared" si="14"/>
        <v>EMSG:User does not have permission to view the requested policy.STRACE:edge.capabilities.helpers.PolicyUtil.getPolicyByPolicyNumber(PolicyUtil.gs:XXXSTRACERAW:-</v>
      </c>
      <c r="D497" s="3">
        <f t="shared" si="15"/>
        <v>1.8199999999999998</v>
      </c>
    </row>
    <row r="498" spans="1:4" x14ac:dyDescent="0.35">
      <c r="A498" t="s">
        <v>441</v>
      </c>
      <c r="B498">
        <v>14</v>
      </c>
      <c r="C498" t="str">
        <f t="shared" si="14"/>
        <v>EMSG:Verify and increase underlying policy liability limits in order to proceed with quote. One or more policies do not qualify for Umbrella coverage.STRACE:gw.lob.pup.PUPLineValidation_PUE.validateIneligiblePUPfields(PUPLineValidation_PUE.gs:XXXSTRACERAW</v>
      </c>
      <c r="D498" s="3">
        <f t="shared" si="15"/>
        <v>1.8199999999999998</v>
      </c>
    </row>
    <row r="499" spans="1:4" x14ac:dyDescent="0.35">
      <c r="A499" t="s">
        <v>757</v>
      </c>
      <c r="B499">
        <v>14</v>
      </c>
      <c r="C499" t="str">
        <f t="shared" si="14"/>
        <v>EMSG:[XXX] Cannot load a temporary id from the backing entity source: AccountLocation:XXXSTRACE:deployment.pc.war//com.guidewire.pl.system.bundle.EntityBundleImpl.loadBean(EntityBundleImpl.java:XXXSTRACERAW:-</v>
      </c>
      <c r="D499" s="3">
        <f t="shared" si="15"/>
        <v>1.8199999999999998</v>
      </c>
    </row>
    <row r="500" spans="1:4" ht="43.5" x14ac:dyDescent="0.35">
      <c r="A500" s="4" t="s">
        <v>1287</v>
      </c>
      <c r="B500">
        <v>14</v>
      </c>
      <c r="C500" t="str">
        <f t="shared" si="14"/>
        <v>EMSG:gw.xml.XmlException: 'Unable to parse XML from xml string using schemas [com.farmers.integ.erti.autocheckseverity.wsc.retrievevehiclehistoryreport.physicalobjectmanager_vXXXSTRACE:line XXX column XXX'
	at deployment.pc.war//gw.internal.xml.ws.WsdlPor</v>
      </c>
      <c r="D500" s="3">
        <f t="shared" si="15"/>
        <v>1.8199999999999998</v>
      </c>
    </row>
    <row r="501" spans="1:4" x14ac:dyDescent="0.35">
      <c r="A501" t="s">
        <v>1288</v>
      </c>
      <c r="B501">
        <v>13</v>
      </c>
      <c r="C501" t="str">
        <f t="shared" si="14"/>
        <v>EMSG:, AOR=XXXSTRACE:com.farmers.integ.fwsConversion.util.CoverageMappingHelper.applyLimitsAndAddSchItemsApplicable(CoverageMappingHelper.gs:XXXSTRACERAW:-</v>
      </c>
      <c r="D501" s="3">
        <f t="shared" si="15"/>
        <v>1.6900000000000002</v>
      </c>
    </row>
    <row r="502" spans="1:4" x14ac:dyDescent="0.35">
      <c r="A502" t="s">
        <v>772</v>
      </c>
      <c r="B502">
        <v>13</v>
      </c>
      <c r="C502" t="str">
        <f t="shared" si="14"/>
        <v>EMSG:, AOR=XXXSTRACE:com.farmers.lob.pa.driverassignment.DriverAssignmentPolicyDriverCopier.copy(DriverAssignmentPolicyDriverCopier.gs:XXXSTRACERAW:-</v>
      </c>
      <c r="D502" s="3">
        <f t="shared" si="15"/>
        <v>1.6900000000000002</v>
      </c>
    </row>
    <row r="503" spans="1:4" x14ac:dyDescent="0.35">
      <c r="A503" t="s">
        <v>241</v>
      </c>
      <c r="B503">
        <v>13</v>
      </c>
      <c r="C503" t="str">
        <f t="shared" si="14"/>
        <v>EMSG:, AOR=XXXSTRACE:deployment.pc.war//com.guidewire.pl.system.transaction.ConnectionHandler.executeDatabaseOperationForCloseConnection(ConnectionHandler.java:XXXSTRACERAW:-</v>
      </c>
      <c r="D503" s="3">
        <f t="shared" si="15"/>
        <v>1.6900000000000002</v>
      </c>
    </row>
    <row r="504" spans="1:4" x14ac:dyDescent="0.35">
      <c r="A504" t="s">
        <v>476</v>
      </c>
      <c r="B504">
        <v>13</v>
      </c>
      <c r="C504" t="str">
        <f t="shared" si="14"/>
        <v>EMSG:-STRACE:-STRACERAW:com.guidewire.pl.system.integration.messaging.dispatch.MessagingHelperProxy$Operation.getDestinationNotOwnedResult(MessagingHelperProxy.java:XXX</v>
      </c>
      <c r="D504" s="3">
        <f t="shared" si="15"/>
        <v>1.6900000000000002</v>
      </c>
    </row>
    <row r="505" spans="1:4" x14ac:dyDescent="0.35">
      <c r="A505" t="s">
        <v>1050</v>
      </c>
      <c r="B505">
        <v>13</v>
      </c>
      <c r="C505" t="str">
        <f t="shared" si="14"/>
        <v>EMSG:-STRACE:-STRACERAW:gwservices.pc.dm.api.FarmersPolicyRenewalOverride.startConversionRenewalWithBasedOn(FarmersPolicyRenewalOverride.gs:XXX</v>
      </c>
      <c r="D505" s="3">
        <f t="shared" si="15"/>
        <v>1.6900000000000002</v>
      </c>
    </row>
    <row r="506" spans="1:4" x14ac:dyDescent="0.35">
      <c r="A506" t="s">
        <v>352</v>
      </c>
      <c r="B506">
        <v>13</v>
      </c>
      <c r="C506" t="str">
        <f t="shared" si="14"/>
        <v>EMSG:-STRACE:-STRACERAW:pcfc.expressions.HODwellingHOEScreenExpressions$HODwellingHOEScreenExpressionsImpl.initialValue_XXX(HODwellingHOEScreenExpressions.gs:XXX</v>
      </c>
      <c r="D506" s="3">
        <f t="shared" si="15"/>
        <v>1.6900000000000002</v>
      </c>
    </row>
    <row r="507" spans="1:4" x14ac:dyDescent="0.35">
      <c r="A507" t="s">
        <v>776</v>
      </c>
      <c r="B507">
        <v>13</v>
      </c>
      <c r="C507" t="str">
        <f t="shared" si="14"/>
        <v>EMSG:-STRACE:com.farmers.lob.pa.driverassignment.DriverAssignmentPolicyDriverCopier.copy(DriverAssignmentPolicyDriverCopier.gs:XXXSTRACERAW:-</v>
      </c>
      <c r="D507" s="3">
        <f t="shared" si="15"/>
        <v>1.6900000000000002</v>
      </c>
    </row>
    <row r="508" spans="1:4" x14ac:dyDescent="0.35">
      <c r="A508" t="s">
        <v>481</v>
      </c>
      <c r="B508">
        <v>13</v>
      </c>
      <c r="C508" t="str">
        <f t="shared" si="14"/>
        <v>EMSG:-STRACE:java.base/java.math.BigDecimal.add(BigDecimal.java:XXXSTRACERAW:-</v>
      </c>
      <c r="D508" s="3">
        <f t="shared" si="15"/>
        <v>1.6900000000000002</v>
      </c>
    </row>
    <row r="509" spans="1:4" x14ac:dyDescent="0.35">
      <c r="A509" t="s">
        <v>854</v>
      </c>
      <c r="B509">
        <v>13</v>
      </c>
      <c r="C509" t="str">
        <f t="shared" si="14"/>
        <v>EMSG:A preferred phone number is already associated with this contact. To ensure continuity across integrated systemsSTRACE:com.farmers.config.common.processor.possiblenowrequest.PossibleNowUIHelper$block_XXX_.invoke(PossibleNowUIHelper.gs:XXXSTRACERAW:-</v>
      </c>
      <c r="D509" s="3">
        <f t="shared" si="15"/>
        <v>1.6900000000000002</v>
      </c>
    </row>
    <row r="510" spans="1:4" x14ac:dyDescent="0.35">
      <c r="A510" t="s">
        <v>862</v>
      </c>
      <c r="B510">
        <v>13</v>
      </c>
      <c r="C510" t="str">
        <f t="shared" si="14"/>
        <v>EMSG:Account Creation failed due to [Contact First Name] fields missingSTRACE:com.farmers.integ.distribution.ecms.deeplaunch.validation.QuoteNavigationValidator.validateApexQuotePrefillInfo(QuoteNavigationValidator.gs:XXXSTRACERAW:-</v>
      </c>
      <c r="D510" s="3">
        <f t="shared" si="15"/>
        <v>1.6900000000000002</v>
      </c>
    </row>
    <row r="511" spans="1:4" x14ac:dyDescent="0.35">
      <c r="A511" t="s">
        <v>948</v>
      </c>
      <c r="B511">
        <v>13</v>
      </c>
      <c r="C511" t="str">
        <f t="shared" si="14"/>
        <v>EMSG:Exception during Rating ExecuteIterationsMultiThreaded : java.util.concurrent.ExecutionException: com.guidewire.pl.system.exception.DBException: Failed to execute a querySTRACE:com.farmers.rating.common.flow.iteration.impl.IterationsExecutorImpl$bloc</v>
      </c>
      <c r="D511" s="3">
        <f t="shared" si="15"/>
        <v>1.6900000000000002</v>
      </c>
    </row>
    <row r="512" spans="1:4" x14ac:dyDescent="0.35">
      <c r="A512" t="s">
        <v>409</v>
      </c>
      <c r="B512">
        <v>13</v>
      </c>
      <c r="C512" t="str">
        <f t="shared" si="14"/>
        <v>EMSG:Households with XXX or more drivers per vehicle are ineligible for coverage. Policy is not eligible for Farmers and should be submitted to Bristol West.STRACE:com.farmers.config.pa.validator.PALineQuoteValidator_Ext.validateDriverToVehicleRatio(PALin</v>
      </c>
      <c r="D512" s="3">
        <f t="shared" si="15"/>
        <v>1.6900000000000002</v>
      </c>
    </row>
    <row r="513" spans="1:4" x14ac:dyDescent="0.35">
      <c r="A513" t="s">
        <v>367</v>
      </c>
      <c r="B513">
        <v>13</v>
      </c>
      <c r="C513" t="str">
        <f t="shared" si="14"/>
        <v>EMSG:Policy not found in system:XXXSTRACE:com.farmers.integ.serviceoperations.deeplaunch.servlets.DeepLaunchServlet.validatePolicyNumber(DeepLaunchServlet.gs:XXXSTRACERAW:-</v>
      </c>
      <c r="D513" s="3">
        <f t="shared" si="15"/>
        <v>1.6900000000000002</v>
      </c>
    </row>
    <row r="514" spans="1:4" x14ac:dyDescent="0.35">
      <c r="A514" t="s">
        <v>460</v>
      </c>
      <c r="B514">
        <v>13</v>
      </c>
      <c r="C514" t="str">
        <f t="shared" ref="C514:C577" si="16">LEFT(A514,255)</f>
        <v>EMSG:Submit proof of eligibility for Innocent No Prior. If noneSTRACE:com.farmers.config.pa.validator.BrightlineValidator.validateQuoteBrightlineRules(BrightlineValidator.gs:XXXSTRACERAW:-</v>
      </c>
      <c r="D514" s="3">
        <f t="shared" ref="D514:D577" si="17">IF(AND((B514/10)&lt;1,(B514/10)&gt;0),1,(B514/10)*130%)</f>
        <v>1.6900000000000002</v>
      </c>
    </row>
    <row r="515" spans="1:4" x14ac:dyDescent="0.35">
      <c r="A515" t="s">
        <v>896</v>
      </c>
      <c r="B515">
        <v>13</v>
      </c>
      <c r="C515" t="str">
        <f t="shared" si="16"/>
        <v>EMSG:Submit proof of eligibility for Innocent No Prior. If noneSTRACE:gw.job.QuoteProcess.requestQuote(QuoteProcess.gs:XXXSTRACERAW:-</v>
      </c>
      <c r="D515" s="3">
        <f t="shared" si="17"/>
        <v>1.6900000000000002</v>
      </c>
    </row>
    <row r="516" spans="1:4" x14ac:dyDescent="0.35">
      <c r="A516" t="s">
        <v>382</v>
      </c>
      <c r="B516">
        <v>13</v>
      </c>
      <c r="C516" t="str">
        <f t="shared" si="16"/>
        <v>EMSG:The selected version for job "XXX" cannot be null.STRACE:deployment.pc.war//com.guidewire.pc.domain.job.impl.JobImpl.setSelectedVersion(JobImpl.java:XXXSTRACERAW:-</v>
      </c>
      <c r="D516" s="3">
        <f t="shared" si="17"/>
        <v>1.6900000000000002</v>
      </c>
    </row>
    <row r="517" spans="1:4" x14ac:dyDescent="0.35">
      <c r="A517" t="s">
        <v>845</v>
      </c>
      <c r="B517">
        <v>13</v>
      </c>
      <c r="C517" t="str">
        <f t="shared" si="16"/>
        <v>EMSG:Update the Primary Driver selection for XXXSTRACE:gw.job.QuoteProcess.requestQuote(QuoteProcess.gs:XXXSTRACERAW:-</v>
      </c>
      <c r="D517" s="3">
        <f t="shared" si="17"/>
        <v>1.6900000000000002</v>
      </c>
    </row>
    <row r="518" spans="1:4" x14ac:dyDescent="0.35">
      <c r="A518" t="s">
        <v>430</v>
      </c>
      <c r="B518">
        <v>13</v>
      </c>
      <c r="C518" t="str">
        <f t="shared" si="16"/>
        <v>EMSG:com.guidewire.pl.metadata.datatypeXXX.PLDataTypeException: The value XXX is not formatted correctly for the field "StInfoType_ExtInternal": Exceeds the maximum length of XXX characters (XXX)STRACE:com.farmers.edge.capabilities.quote.submission.lob.ho</v>
      </c>
      <c r="D518" s="3">
        <f t="shared" si="17"/>
        <v>1.6900000000000002</v>
      </c>
    </row>
    <row r="519" spans="1:4" x14ac:dyDescent="0.35">
      <c r="A519" t="s">
        <v>308</v>
      </c>
      <c r="B519">
        <v>13</v>
      </c>
      <c r="C519" t="str">
        <f t="shared" si="16"/>
        <v>EMSG:java.lang.IllegalStateException: Attempt to access bean of type "PUPHouseholdMember_PUE" id=XXX with a null bundleSTRACE:deployment.pc.war//com.guidewire.pl.web.widget.Widget.getVisibleValue(Widget.java:XXXSTRACERAW:-</v>
      </c>
      <c r="D519" s="3">
        <f t="shared" si="17"/>
        <v>1.6900000000000002</v>
      </c>
    </row>
    <row r="520" spans="1:4" x14ac:dyDescent="0.35">
      <c r="A520" t="s">
        <v>945</v>
      </c>
      <c r="B520">
        <v>13</v>
      </c>
      <c r="C520" t="str">
        <f t="shared" si="16"/>
        <v>EMSG:| RiskSegment is either nullSTRACE:-STRACERAW:</v>
      </c>
      <c r="D520" s="3">
        <f t="shared" si="17"/>
        <v>1.6900000000000002</v>
      </c>
    </row>
    <row r="521" spans="1:4" x14ac:dyDescent="0.35">
      <c r="A521" t="s">
        <v>448</v>
      </c>
      <c r="B521">
        <v>12</v>
      </c>
      <c r="C521" t="str">
        <f t="shared" si="16"/>
        <v>EMSG:, AOR=XXXSTRACE:com.farmers.config.pup.policyrefresh.PolicyDiscountRefresher.createCLOBContingencyForCancellation(PolicyDiscountRefresher.gs:XXXSTRACERAW:-</v>
      </c>
      <c r="D521" s="3">
        <f t="shared" si="17"/>
        <v>1.56</v>
      </c>
    </row>
    <row r="522" spans="1:4" x14ac:dyDescent="0.35">
      <c r="A522" t="s">
        <v>279</v>
      </c>
      <c r="B522">
        <v>12</v>
      </c>
      <c r="C522" t="str">
        <f t="shared" si="16"/>
        <v>EMSG:-STRACE:-STRACERAW:[Source: UNKNOWN; byte offset: #UNKNOWN] (through reference chain: com.farmers.edge.capabilities.quote.submission.lob.homeowners.locationReport.dto.LocationReportsRequestDTO["quoteData"]-&gt;edge.capabilities.quote.submission.dto.Quot</v>
      </c>
      <c r="D522" s="3">
        <f t="shared" si="17"/>
        <v>1.56</v>
      </c>
    </row>
    <row r="523" spans="1:4" x14ac:dyDescent="0.35">
      <c r="A523" t="s">
        <v>675</v>
      </c>
      <c r="B523">
        <v>12</v>
      </c>
      <c r="C523" t="str">
        <f t="shared" si="16"/>
        <v>EMSG:-STRACE:-STRACERAW:com.farmers.config.common.mvr.MVRReportParallelHelper.processMVRResponse(MVRReportParallelHelper.gs:XXX</v>
      </c>
      <c r="D523" s="3">
        <f t="shared" si="17"/>
        <v>1.56</v>
      </c>
    </row>
    <row r="524" spans="1:4" x14ac:dyDescent="0.35">
      <c r="A524" t="s">
        <v>393</v>
      </c>
      <c r="B524">
        <v>12</v>
      </c>
      <c r="C524" t="str">
        <f t="shared" si="16"/>
        <v>EMSG:-STRACE:-STRACERAW:com.guidewire.pl.system.bundle.EntityBundleImpl.handleBeanChange(EntityBundleImpl.java:XXX</v>
      </c>
      <c r="D524" s="3">
        <f t="shared" si="17"/>
        <v>1.56</v>
      </c>
    </row>
    <row r="525" spans="1:4" x14ac:dyDescent="0.35">
      <c r="A525" t="s">
        <v>835</v>
      </c>
      <c r="B525">
        <v>12</v>
      </c>
      <c r="C525" t="str">
        <f t="shared" si="16"/>
        <v>EMSG:-STRACE:-STRACERAW:gw.pl.util.ExceptionUtil.convertToRuntimeException(ExceptionUtil.java:XXX</v>
      </c>
      <c r="D525" s="3">
        <f t="shared" si="17"/>
        <v>1.56</v>
      </c>
    </row>
    <row r="526" spans="1:4" x14ac:dyDescent="0.35">
      <c r="A526" t="s">
        <v>1211</v>
      </c>
      <c r="B526">
        <v>12</v>
      </c>
      <c r="C526" t="str">
        <f t="shared" si="16"/>
        <v>EMSG:-STRACE:-STRACERAW:java.base/java.util.HashMap$HashIterator.nextNode(HashMap.java:XXX</v>
      </c>
      <c r="D526" s="3">
        <f t="shared" si="17"/>
        <v>1.56</v>
      </c>
    </row>
    <row r="527" spans="1:4" x14ac:dyDescent="0.35">
      <c r="A527" t="s">
        <v>351</v>
      </c>
      <c r="B527">
        <v>12</v>
      </c>
      <c r="C527" t="str">
        <f t="shared" si="16"/>
        <v>EMSG:-STRACE:-STRACERAW:pcfc.expressions.AccountInfoInputSetExpressions$AccountInfoInputSetExpressionsImpl.editable_XXX(AccountInfoInputSetExpressions.gs:XXX</v>
      </c>
      <c r="D527" s="3">
        <f t="shared" si="17"/>
        <v>1.56</v>
      </c>
    </row>
    <row r="528" spans="1:4" x14ac:dyDescent="0.35">
      <c r="A528" t="s">
        <v>962</v>
      </c>
      <c r="B528">
        <v>12</v>
      </c>
      <c r="C528" t="str">
        <f t="shared" si="16"/>
        <v>EMSG:-STRACE:-STRACERAW:sun.nio.fs.UnixException.translateToIOException(UnixException.java:XXX</v>
      </c>
      <c r="D528" s="3">
        <f t="shared" si="17"/>
        <v>1.56</v>
      </c>
    </row>
    <row r="529" spans="1:4" ht="29" x14ac:dyDescent="0.35">
      <c r="A529" s="4" t="s">
        <v>645</v>
      </c>
      <c r="B529">
        <v>12</v>
      </c>
      <c r="C529" t="str">
        <f t="shared" si="16"/>
        <v>EMSG:-STRACE:XXX/XXX/XXX XXX:XXX PM. See error log for full details.
	at com.farmers.integ.framework.job.automatejob.AutomatedJob.executeJob(AutomatedJob.gs:XXXSTRACERAW:-</v>
      </c>
      <c r="D529" s="3">
        <f t="shared" si="17"/>
        <v>1.56</v>
      </c>
    </row>
    <row r="530" spans="1:4" x14ac:dyDescent="0.35">
      <c r="A530" t="s">
        <v>1000</v>
      </c>
      <c r="B530">
        <v>12</v>
      </c>
      <c r="C530" t="str">
        <f t="shared" si="16"/>
        <v>EMSG:-STRACE:gw.acc.luw.perf.JobQuoter.processQuoteIssues(JobQuoter.gs:XXXSTRACERAW:-</v>
      </c>
      <c r="D530" s="3">
        <f t="shared" si="17"/>
        <v>1.56</v>
      </c>
    </row>
    <row r="531" spans="1:4" ht="29" x14ac:dyDescent="0.35">
      <c r="A531" s="4" t="s">
        <v>1289</v>
      </c>
      <c r="B531">
        <v>12</v>
      </c>
      <c r="C531" t="str">
        <f t="shared" si="16"/>
        <v>EMSG:A report shows that the XXXSTRACE:the  XXX CHEVROLET EQUINOX XXXDOOR XXXWD LS has been flagged as having Vehicle History activity.;
	at edge.capabilities.quote.submission.quoting.util.SubmissionUnderwritingIssuesUtil.checkVerifyRateExceptions(Submiss</v>
      </c>
      <c r="D531" s="3">
        <f t="shared" si="17"/>
        <v>1.56</v>
      </c>
    </row>
    <row r="532" spans="1:4" x14ac:dyDescent="0.35">
      <c r="A532" t="s">
        <v>1056</v>
      </c>
      <c r="B532">
        <v>12</v>
      </c>
      <c r="C532" t="str">
        <f t="shared" si="16"/>
        <v>EMSG:Age Lic in US/CAN : Missing required field 'Age Lic in US/CAN'STRACE:edge.capabilities.quote.submission.quoting.util.SubmissionUnderwritingIssuesUtil.checkSideBySideProcessExceptions(SubmissionUnderwritingIssuesUtil.gs:XXXSTRACERAW:-</v>
      </c>
      <c r="D532" s="3">
        <f t="shared" si="17"/>
        <v>1.56</v>
      </c>
    </row>
    <row r="533" spans="1:4" x14ac:dyDescent="0.35">
      <c r="A533" t="s">
        <v>446</v>
      </c>
      <c r="B533">
        <v>12</v>
      </c>
      <c r="C533" t="str">
        <f t="shared" si="16"/>
        <v>EMSG:Attempt to access bean of type "Dwelling_HOE" id=XXX with a null bundleSTRACE:deployment.pc.war//com.guidewire.pl.system.entity.proxy.BeanProxy.checkIsInBundle(BeanProxy.java:XXXSTRACERAW:-</v>
      </c>
      <c r="D533" s="3">
        <f t="shared" si="17"/>
        <v>1.56</v>
      </c>
    </row>
    <row r="534" spans="1:4" x14ac:dyDescent="0.35">
      <c r="A534" t="s">
        <v>372</v>
      </c>
      <c r="B534">
        <v>12</v>
      </c>
      <c r="C534" t="str">
        <f t="shared" si="16"/>
        <v>EMSG:Attempt to access bean of type "PUPHouseholdMember_PUE" id=XXX with a null bundleSTRACE:deployment.pc.war//com.guidewire.pl.system.entity.proxy.BeanProxy.checkIsInBundle(BeanProxy.java:XXXSTRACERAW:-</v>
      </c>
      <c r="D534" s="3">
        <f t="shared" si="17"/>
        <v>1.56</v>
      </c>
    </row>
    <row r="535" spans="1:4" x14ac:dyDescent="0.35">
      <c r="A535" t="s">
        <v>1290</v>
      </c>
      <c r="B535">
        <v>12</v>
      </c>
      <c r="C535" t="str">
        <f t="shared" si="16"/>
        <v>EMSG:Attempt to remove required coverage for pattern Bodily Injury  Pattern nullSTRACE:edge.capabilities.policycommon.coverage.util.CoverageUtil.updateFrom XXXSTRACERAW:-</v>
      </c>
      <c r="D535" s="3">
        <f t="shared" si="17"/>
        <v>1.56</v>
      </c>
    </row>
    <row r="536" spans="1:4" x14ac:dyDescent="0.35">
      <c r="A536" t="s">
        <v>230</v>
      </c>
      <c r="B536">
        <v>12</v>
      </c>
      <c r="C536" t="str">
        <f t="shared" si="16"/>
        <v>EMSG:Can't add a bean with a different branch?STRACE:deployment.pc.war//com.guidewire.pl.system.entity.proxy.EffDatedBaseProxy.addAssociatedBean(EffDatedBaseProxy.java:XXXSTRACERAW:-</v>
      </c>
      <c r="D536" s="3">
        <f t="shared" si="17"/>
        <v>1.56</v>
      </c>
    </row>
    <row r="537" spans="1:4" ht="29" x14ac:dyDescent="0.35">
      <c r="A537" s="4" t="s">
        <v>603</v>
      </c>
      <c r="B537">
        <v>12</v>
      </c>
      <c r="C537" t="str">
        <f t="shared" si="16"/>
        <v>EMSG:Cannot modify a bean of type Contingency that is in a readonly bundleSTRACE:is in a readonly bundle
	at deployment.pc.war//com.guidewire.pl.system.entity.proxy.BeanProxy.checkIsInWriteableBundle(BeanProxy.java:XXXSTRACERAW:-</v>
      </c>
      <c r="D537" s="3">
        <f t="shared" si="17"/>
        <v>1.56</v>
      </c>
    </row>
    <row r="538" spans="1:4" x14ac:dyDescent="0.35">
      <c r="A538" t="s">
        <v>1291</v>
      </c>
      <c r="B538">
        <v>12</v>
      </c>
      <c r="C538" t="str">
        <f t="shared" si="16"/>
        <v>EMSG:Correct VIN on XXX.  VIN failed verification.;Re-enter "License #". Duplicate License Number entered for the following Drivers Syed RaufSTRACE:edge.capabilities.quote.submission.quoting.util.SubmissionUnderwritingIssuesUtil.checkVerifyRateExceptions(</v>
      </c>
      <c r="D538" s="3">
        <f t="shared" si="17"/>
        <v>1.56</v>
      </c>
    </row>
    <row r="539" spans="1:4" x14ac:dyDescent="0.35">
      <c r="A539" t="s">
        <v>687</v>
      </c>
      <c r="B539">
        <v>12</v>
      </c>
      <c r="C539" t="str">
        <f t="shared" si="16"/>
        <v>EMSG:Enroll the Primary Named Insured in the Signal program. Primary Named Insured enrollment is required to enroll other drivers.;STRACE:edge.capabilities.quote.submission.quoting.util.SubmissionUnderwritingIssuesUtil.checkVerifyRateExceptions(Submission</v>
      </c>
      <c r="D539" s="3">
        <f t="shared" si="17"/>
        <v>1.56</v>
      </c>
    </row>
    <row r="540" spans="1:4" x14ac:dyDescent="0.35">
      <c r="A540" t="s">
        <v>1292</v>
      </c>
      <c r="B540">
        <v>12</v>
      </c>
      <c r="C540" t="str">
        <f t="shared" si="16"/>
        <v>EMSG:For eligible contact Michael Ahearn credit score is null. Please make sure credit is orderedSTRACE:com.farmers.config.common.credit.CreditScoreHelper.populateRatingCreditDTO(CreditScoreHelper.gs:XXXSTRACERAW:-</v>
      </c>
      <c r="D540" s="3">
        <f t="shared" si="17"/>
        <v>1.56</v>
      </c>
    </row>
    <row r="541" spans="1:4" x14ac:dyDescent="0.35">
      <c r="A541" t="s">
        <v>877</v>
      </c>
      <c r="B541">
        <v>12</v>
      </c>
      <c r="C541" t="str">
        <f t="shared" si="16"/>
        <v>EMSG:Ineligible Submission - Based on aerial imagerySTRACE:edge.capabilities.quote.submission.quoting.util.SubmissionUnderwritingIssuesUtil.checkSideBySideProcessExceptions(SubmissionUnderwritingIssuesUtil.gs:XXXSTRACERAW:-</v>
      </c>
      <c r="D541" s="3">
        <f t="shared" si="17"/>
        <v>1.56</v>
      </c>
    </row>
    <row r="542" spans="1:4" x14ac:dyDescent="0.35">
      <c r="A542" t="s">
        <v>1293</v>
      </c>
      <c r="B542">
        <v>12</v>
      </c>
      <c r="C542" t="str">
        <f t="shared" si="16"/>
        <v>EMSG:Internal ErrorSTRACE:deployment.pc.war//gw.internal.xml.ws.AsyncResponseImpl.throwSoapXXXFault(AsyncResponseImpl.java:XXXSTRACERAW:-</v>
      </c>
      <c r="D542" s="3">
        <f t="shared" si="17"/>
        <v>1.56</v>
      </c>
    </row>
    <row r="543" spans="1:4" x14ac:dyDescent="0.35">
      <c r="A543" t="s">
        <v>1294</v>
      </c>
      <c r="B543">
        <v>12</v>
      </c>
      <c r="C543" t="str">
        <f t="shared" si="16"/>
        <v>EMSG:Re-enter "License #". Duplicate License Number entered for the following Drivers Trinh DuongSTRACE:edge.capabilities.quote.submission.quoting.util.SubmissionUnderwritingIssuesUtil.checkVerifyRateExceptions(SubmissionUnderwritingIssuesUtil.gs:XXXSTRAC</v>
      </c>
      <c r="D543" s="3">
        <f t="shared" si="17"/>
        <v>1.56</v>
      </c>
    </row>
    <row r="544" spans="1:4" x14ac:dyDescent="0.35">
      <c r="A544" t="s">
        <v>1295</v>
      </c>
      <c r="B544">
        <v>12</v>
      </c>
      <c r="C544" t="str">
        <f t="shared" si="16"/>
        <v>EMSG:Residence Type : Missing required field "Residence Type"STRACE:edge.capabilities.quote.submission.quoting.util.SubmissionUnderwritingIssuesUtil.checkSideBySideProcessExceptions(SubmissionUnderwritingIssuesUtil.gs:XXXSTRACERAW:-</v>
      </c>
      <c r="D544" s="3">
        <f t="shared" si="17"/>
        <v>1.56</v>
      </c>
    </row>
    <row r="545" spans="1:4" x14ac:dyDescent="0.35">
      <c r="A545" t="s">
        <v>855</v>
      </c>
      <c r="B545">
        <v>12</v>
      </c>
      <c r="C545" t="str">
        <f t="shared" si="16"/>
        <v>EMSG:TableMetadataFactory cannot be used before it is startedSTRACE:deployment.pc.war//com.guidewire.pl.system.database.metadata.TableMetadataFactoryImpl.getTableMetadata(TableMetadataFactoryImpl.java:XXXSTRACERAW:-</v>
      </c>
      <c r="D545" s="3">
        <f t="shared" si="17"/>
        <v>1.56</v>
      </c>
    </row>
    <row r="546" spans="1:4" x14ac:dyDescent="0.35">
      <c r="A546" t="s">
        <v>913</v>
      </c>
      <c r="B546">
        <v>12</v>
      </c>
      <c r="C546" t="str">
        <f t="shared" si="16"/>
        <v>EMSG:The value XXX is not formatted correctly for the field "FirstName": Exceeds the maximum length of XXX characters (XXX)STRACE:deployment.pc.war//gw.datatype.impl.StringConstraintsHandlerBase.validateStringLength(StringConstraintsHandlerBase.java:XXXST</v>
      </c>
      <c r="D546" s="3">
        <f t="shared" si="17"/>
        <v>1.56</v>
      </c>
    </row>
    <row r="547" spans="1:4" x14ac:dyDescent="0.35">
      <c r="A547" t="s">
        <v>1296</v>
      </c>
      <c r="B547">
        <v>12</v>
      </c>
      <c r="C547" t="str">
        <f t="shared" si="16"/>
        <v>EMSG:Update Signal Phone number for Brenda Roundy. Each driver enrolled in the Signal program needs a unique cell phone number.;Update Signal Phone number for Joe Roundy. Each driver enrolled in the Signal program needs a unique cell phone number.;STRACE:</v>
      </c>
      <c r="D547" s="3">
        <f t="shared" si="17"/>
        <v>1.56</v>
      </c>
    </row>
    <row r="548" spans="1:4" x14ac:dyDescent="0.35">
      <c r="A548" t="s">
        <v>892</v>
      </c>
      <c r="B548">
        <v>12</v>
      </c>
      <c r="C548" t="str">
        <f t="shared" si="16"/>
        <v>EMSG:Update the "Marital Status" for the drivers as each driver listed as married needs to have a corresponding spouse.STRACE:edge.capabilities.quote.submission.quoting.util.SubmissionUnderwritingIssuesUtil.checkSideBySideProcessExceptions(SubmissionUnder</v>
      </c>
      <c r="D548" s="3">
        <f t="shared" si="17"/>
        <v>1.56</v>
      </c>
    </row>
    <row r="549" spans="1:4" x14ac:dyDescent="0.35">
      <c r="A549" t="s">
        <v>738</v>
      </c>
      <c r="B549">
        <v>12</v>
      </c>
      <c r="C549" t="str">
        <f t="shared" si="16"/>
        <v>EMSG:Verify the customer's information. A customer cannot be listed more than once on the same policy.STRACE:edge.capabilities.quote.submission.lob.personalauto.coverables.DefaultPaCoverablePlugin.validateDrivers(DefaultPaCoverablePlugin.gs:XXXSTRACERAW:-</v>
      </c>
      <c r="D549" s="3">
        <f t="shared" si="17"/>
        <v>1.56</v>
      </c>
    </row>
    <row r="550" spans="1:4" x14ac:dyDescent="0.35">
      <c r="A550" t="s">
        <v>1297</v>
      </c>
      <c r="B550">
        <v>12</v>
      </c>
      <c r="C550" t="str">
        <f t="shared" si="16"/>
        <v>EMSG:java.lang.reflect.UndeclaredThrowableExceptionSTRACE:com.farmers.integ.documentmgmt.ondemand.homeformgeneration.transformer.HomeOnDemandFormGenRequestTransformer.transform(HomeOnDemandFormGenRequestTransformer.gs:XXXSTRACERAW:-</v>
      </c>
      <c r="D550" s="3">
        <f t="shared" si="17"/>
        <v>1.56</v>
      </c>
    </row>
    <row r="551" spans="1:4" x14ac:dyDescent="0.35">
      <c r="A551" t="s">
        <v>767</v>
      </c>
      <c r="B551">
        <v>11</v>
      </c>
      <c r="C551" t="str">
        <f t="shared" si="16"/>
        <v>EMSG:, AOR=XXXSTRACE:deployment.pc.war//com.guidewire.pl.system.bundle.BundleChanges$ArrayChanges.&lt;init&gt;(BundleChanges.java:XXXSTRACERAW:-</v>
      </c>
      <c r="D551" s="3">
        <f t="shared" si="17"/>
        <v>1.4300000000000002</v>
      </c>
    </row>
    <row r="552" spans="1:4" x14ac:dyDescent="0.35">
      <c r="A552" t="s">
        <v>978</v>
      </c>
      <c r="B552">
        <v>11</v>
      </c>
      <c r="C552" t="str">
        <f t="shared" si="16"/>
        <v>EMSG:, AOR=XXXSTRACE:java.base/java.math.BigDecimal.multiply(BigDecimal.java:XXXSTRACERAW:-</v>
      </c>
      <c r="D552" s="3">
        <f t="shared" si="17"/>
        <v>1.4300000000000002</v>
      </c>
    </row>
    <row r="553" spans="1:4" x14ac:dyDescent="0.35">
      <c r="A553" t="s">
        <v>498</v>
      </c>
      <c r="B553">
        <v>11</v>
      </c>
      <c r="C553" t="str">
        <f t="shared" si="16"/>
        <v>EMSG:-STRACE:-STRACERAW:com.farmers.utilities.datachange.DataChangeRequestProcessor.populateTemplateScript(DataChangeRequestProcessor.gs:XXX</v>
      </c>
      <c r="D553" s="3">
        <f t="shared" si="17"/>
        <v>1.4300000000000002</v>
      </c>
    </row>
    <row r="554" spans="1:4" x14ac:dyDescent="0.35">
      <c r="A554" t="s">
        <v>403</v>
      </c>
      <c r="B554">
        <v>11</v>
      </c>
      <c r="C554" t="str">
        <f t="shared" si="16"/>
        <v>EMSG:-STRACE:-STRACERAW:com.guidewire.pl.web.navigation.screen.NorthPanelRenderer.getSystemAlertBar(NorthPanelRenderer.java:XXX</v>
      </c>
      <c r="D554" s="3">
        <f t="shared" si="17"/>
        <v>1.4300000000000002</v>
      </c>
    </row>
    <row r="555" spans="1:4" x14ac:dyDescent="0.35">
      <c r="A555" t="s">
        <v>477</v>
      </c>
      <c r="B555">
        <v>11</v>
      </c>
      <c r="C555" t="str">
        <f t="shared" si="16"/>
        <v>EMSG:-STRACE:-STRACERAW:gw.lang.parser.EvaluationException.wrap(EvaluationException.java:XXX</v>
      </c>
      <c r="D555" s="3">
        <f t="shared" si="17"/>
        <v>1.4300000000000002</v>
      </c>
    </row>
    <row r="556" spans="1:4" x14ac:dyDescent="0.35">
      <c r="A556" t="s">
        <v>326</v>
      </c>
      <c r="B556">
        <v>11</v>
      </c>
      <c r="C556" t="str">
        <f t="shared" si="16"/>
        <v>EMSG:-STRACE:-STRACERAW:gw.policy.PolicyPeriodValidation.validateInforcePolicy(PolicyPeriodValidation.gs:XXX</v>
      </c>
      <c r="D556" s="3">
        <f t="shared" si="17"/>
        <v>1.4300000000000002</v>
      </c>
    </row>
    <row r="557" spans="1:4" x14ac:dyDescent="0.35">
      <c r="A557" t="s">
        <v>578</v>
      </c>
      <c r="B557">
        <v>11</v>
      </c>
      <c r="C557" t="str">
        <f t="shared" si="16"/>
        <v>EMSG:-STRACE:com.farmers.integ.security.community.ace.agent.profile.utils.AgentProfileBatchHelper.getUserByUPN(AgentProfileBatchHelper.gs:XXXSTRACERAW:-</v>
      </c>
      <c r="D557" s="3">
        <f t="shared" si="17"/>
        <v>1.4300000000000002</v>
      </c>
    </row>
    <row r="558" spans="1:4" x14ac:dyDescent="0.35">
      <c r="A558" t="s">
        <v>348</v>
      </c>
      <c r="B558">
        <v>11</v>
      </c>
      <c r="C558" t="str">
        <f t="shared" si="16"/>
        <v>EMSG:Account Creation failed due to [Primary Contact Address City] fields missingSTRACE:com.farmers.integ.distribution.ecms.deeplaunch.validation.QuoteNavigationValidator.validateApexQuotePrefillInfo(QuoteNavigationValidator.gs:XXXSTRACERAW:-</v>
      </c>
      <c r="D558" s="3">
        <f t="shared" si="17"/>
        <v>1.4300000000000002</v>
      </c>
    </row>
    <row r="559" spans="1:4" x14ac:dyDescent="0.35">
      <c r="A559" t="s">
        <v>422</v>
      </c>
      <c r="B559">
        <v>11</v>
      </c>
      <c r="C559" t="str">
        <f t="shared" si="16"/>
        <v>EMSG:Duplicated instance found in array of edge.capabilities.policyjob.lob.personalauto.coverables.dto.DriverDTO. DtoKey = XXXSTRACE:edge.util.mapping.ArrayUpdater.checkDuplicatedDto(ArrayUpdater.gs:XXXSTRACERAW:-</v>
      </c>
      <c r="D559" s="3">
        <f t="shared" si="17"/>
        <v>1.4300000000000002</v>
      </c>
    </row>
    <row r="560" spans="1:4" ht="29" x14ac:dyDescent="0.35">
      <c r="A560" s="4" t="s">
        <v>1298</v>
      </c>
      <c r="B560">
        <v>11</v>
      </c>
      <c r="C560" t="str">
        <f t="shared" si="16"/>
        <v>EMSG:Dwelling at XXXSTRACE:XXX Centerville Rd, Axton, VA: Standard Limit on Special Limits on Personal Property is no longer available and has been removed. Please enter a new value.
	at gw.api.extension.PCExtensionInterfacesMapper$block_XXX_.invoke(PCExt</v>
      </c>
      <c r="D560" s="3">
        <f t="shared" si="17"/>
        <v>1.4300000000000002</v>
      </c>
    </row>
    <row r="561" spans="1:4" ht="29" x14ac:dyDescent="0.35">
      <c r="A561" s="4" t="s">
        <v>1299</v>
      </c>
      <c r="B561">
        <v>11</v>
      </c>
      <c r="C561" t="str">
        <f t="shared" si="16"/>
        <v>EMSG:Slice date XXX outside of range XXX for XXX XXX bean of type PolicyPeriodSTRACE:Jul XXX XXX:XXX:XXX PDT XXX - Mon Jan XXX XXX:XXX:XXX PST XXX] for bean of type PolicyPeriod
	at deployment.pc.war//com.guidewire.pl.system.entity.proxy.EffDatedBaseProxy</v>
      </c>
      <c r="D561" s="3">
        <f t="shared" si="17"/>
        <v>1.4300000000000002</v>
      </c>
    </row>
    <row r="562" spans="1:4" ht="43.5" x14ac:dyDescent="0.35">
      <c r="A562" s="4" t="s">
        <v>1064</v>
      </c>
      <c r="B562">
        <v>11</v>
      </c>
      <c r="C562" t="str">
        <f t="shared" si="16"/>
        <v>EMSG:Slice date XXX outside of range XXX for XXX XXX bean of type ULPolicy_PUESTRACE:Aug XXX XXX:XXX:XXX PDT XXX outside of range [Sat Aug XXX XXX:XXX:XXX PDT XXX - Sat Aug XXX XXX:XXX:XXX PDT XXX] for bean of type ULPolicy_PUE
	at deployment.pc.war//com.</v>
      </c>
      <c r="D562" s="3">
        <f t="shared" si="17"/>
        <v>1.4300000000000002</v>
      </c>
    </row>
    <row r="563" spans="1:4" x14ac:dyDescent="0.35">
      <c r="A563" t="s">
        <v>780</v>
      </c>
      <c r="B563">
        <v>11</v>
      </c>
      <c r="C563" t="str">
        <f t="shared" si="16"/>
        <v>EMSG:Verify Umbrella Policies for Named Insured. Named Insured or spouse already has an active Personal Lines Umbrella policy XXX with Farmers Insurance Exchange or one of its affiliates.STRACE:com.farmers.config.pup.prefill.PUPPrefillPreProcesser.getPoli</v>
      </c>
      <c r="D563" s="3">
        <f t="shared" si="17"/>
        <v>1.4300000000000002</v>
      </c>
    </row>
    <row r="564" spans="1:4" x14ac:dyDescent="0.35">
      <c r="A564" t="s">
        <v>875</v>
      </c>
      <c r="B564">
        <v>10</v>
      </c>
      <c r="C564" t="str">
        <f t="shared" si="16"/>
        <v>EMSG:, AOR=XXXSTRACE:com.farmers.billing.dao.BillingInformationProcessor.isMinimumDownPaymentPaidOff(BillingInformationProcessor.gs:XXXSTRACERAW:-</v>
      </c>
      <c r="D564" s="3">
        <f t="shared" si="17"/>
        <v>1.3</v>
      </c>
    </row>
    <row r="565" spans="1:4" x14ac:dyDescent="0.35">
      <c r="A565" t="s">
        <v>449</v>
      </c>
      <c r="B565">
        <v>10</v>
      </c>
      <c r="C565" t="str">
        <f t="shared" si="16"/>
        <v>EMSG:, AOR=XXXSTRACE:com.farmers.config.pup.policyrefresh.ruleengine.PUPAutomaticUpdater.createAllActivity(PUPAutomaticUpdater.gs:XXXSTRACERAW:-</v>
      </c>
      <c r="D565" s="3">
        <f t="shared" si="17"/>
        <v>1.3</v>
      </c>
    </row>
    <row r="566" spans="1:4" x14ac:dyDescent="0.35">
      <c r="A566" t="s">
        <v>773</v>
      </c>
      <c r="B566">
        <v>10</v>
      </c>
      <c r="C566" t="str">
        <f t="shared" si="16"/>
        <v>EMSG:-STRACE:-STRACERAW:com.farmers.integ.erti.roofdetailsupdate.AbstractRoofDetailsFinder.retrieveRoofData(AbstractRoofDetailsFinder.gs:XXX</v>
      </c>
      <c r="D566" s="3">
        <f t="shared" si="17"/>
        <v>1.3</v>
      </c>
    </row>
    <row r="567" spans="1:4" x14ac:dyDescent="0.35">
      <c r="A567" t="s">
        <v>717</v>
      </c>
      <c r="B567">
        <v>10</v>
      </c>
      <c r="C567" t="str">
        <f t="shared" si="16"/>
        <v>EMSG:-STRACE:-STRACERAW:deployment.pc.war//com.guidewire.pc.domain.account.impl.AccountContactImpl.getContactType(AccountContactImpl.java:XXX</v>
      </c>
      <c r="D567" s="3">
        <f t="shared" si="17"/>
        <v>1.3</v>
      </c>
    </row>
    <row r="568" spans="1:4" x14ac:dyDescent="0.35">
      <c r="A568" t="s">
        <v>499</v>
      </c>
      <c r="B568">
        <v>10</v>
      </c>
      <c r="C568" t="str">
        <f t="shared" si="16"/>
        <v>EMSG:-STRACE:-STRACERAW:deployment.pc.war//com.guidewire.pl.system.entity.proxy.EffDatedBranchProxy.handleBranchChange(EffDatedBranchProxy.java:XXX</v>
      </c>
      <c r="D568" s="3">
        <f t="shared" si="17"/>
        <v>1.3</v>
      </c>
    </row>
    <row r="569" spans="1:4" x14ac:dyDescent="0.35">
      <c r="A569" t="s">
        <v>718</v>
      </c>
      <c r="B569">
        <v>10</v>
      </c>
      <c r="C569" t="str">
        <f t="shared" si="16"/>
        <v>EMSG:-STRACE:-STRACERAW:deployment.pc.war//com.guidewire.pl.system.entity.proxy.EntityRow.&lt;init&gt;(EntityRow.java:XXX</v>
      </c>
      <c r="D569" s="3">
        <f t="shared" si="17"/>
        <v>1.3</v>
      </c>
    </row>
    <row r="570" spans="1:4" x14ac:dyDescent="0.35">
      <c r="A570" t="s">
        <v>807</v>
      </c>
      <c r="B570">
        <v>10</v>
      </c>
      <c r="C570" t="str">
        <f t="shared" si="16"/>
        <v>EMSG:-STRACE:-STRACERAW:gw.plugin.preupdate.impl.DemoPreUpdateImpl.handleAccountContactPreUpdate(DemoPreUpdateImpl.gs:XXX</v>
      </c>
      <c r="D570" s="3">
        <f t="shared" si="17"/>
        <v>1.3</v>
      </c>
    </row>
    <row r="571" spans="1:4" x14ac:dyDescent="0.35">
      <c r="A571" t="s">
        <v>54</v>
      </c>
      <c r="B571">
        <v>10</v>
      </c>
      <c r="C571" t="str">
        <f t="shared" si="16"/>
        <v>EMSG:-STRACE:-STRACERAW:needs to be replaced (in-tact and fully operational</v>
      </c>
      <c r="D571" s="3">
        <f t="shared" si="17"/>
        <v>1.3</v>
      </c>
    </row>
    <row r="572" spans="1:4" x14ac:dyDescent="0.35">
      <c r="A572" t="s">
        <v>924</v>
      </c>
      <c r="B572">
        <v>10</v>
      </c>
      <c r="C572" t="str">
        <f t="shared" si="16"/>
        <v>EMSG:-STRACE:com.farmers.edge.capabilities.policyjob.lob.personalumbrella.coverables.DefaultPuCoverablePlugin.fillULPolicy(DefaultPuCoverablePlugin.gs:XXXSTRACERAW:-</v>
      </c>
      <c r="D572" s="3">
        <f t="shared" si="17"/>
        <v>1.3</v>
      </c>
    </row>
    <row r="573" spans="1:4" x14ac:dyDescent="0.35">
      <c r="A573" t="s">
        <v>839</v>
      </c>
      <c r="B573">
        <v>10</v>
      </c>
      <c r="C573" t="str">
        <f t="shared" si="16"/>
        <v>EMSG:-STRACE:com.farmers.integ.common.utils.jms.JMSConnectionFactory.getConnection(JMSConnectionFactory.gs:XXXSTRACERAW:-</v>
      </c>
      <c r="D573" s="3">
        <f t="shared" si="17"/>
        <v>1.3</v>
      </c>
    </row>
    <row r="574" spans="1:4" x14ac:dyDescent="0.35">
      <c r="A574" t="s">
        <v>852</v>
      </c>
      <c r="B574">
        <v>10</v>
      </c>
      <c r="C574" t="str">
        <f t="shared" si="16"/>
        <v>EMSG:-STRACE:gw.acc.luw.rules.LUWCEADetailsSyncProcessor.removeAddlIns(LUWCEADetailsSyncProcessor.gs:XXXSTRACERAW:-</v>
      </c>
      <c r="D574" s="3">
        <f t="shared" si="17"/>
        <v>1.3</v>
      </c>
    </row>
    <row r="575" spans="1:4" x14ac:dyDescent="0.35">
      <c r="A575" t="s">
        <v>778</v>
      </c>
      <c r="B575">
        <v>10</v>
      </c>
      <c r="C575" t="str">
        <f t="shared" si="16"/>
        <v>EMSG:Attempt to access bean of type "PolicyAddlInterest" id=XXX with a null bundleSTRACE:deployment.pc.war//com.guidewire.pl.system.entity.proxy.BeanProxy.checkIsInBundle(BeanProxy.java:XXXSTRACERAW:-</v>
      </c>
      <c r="D575" s="3">
        <f t="shared" si="17"/>
        <v>1.3</v>
      </c>
    </row>
    <row r="576" spans="1:4" x14ac:dyDescent="0.35">
      <c r="A576" t="s">
        <v>380</v>
      </c>
      <c r="B576">
        <v>10</v>
      </c>
      <c r="C576" t="str">
        <f t="shared" si="16"/>
        <v>EMSG:Improperly started job cannot be committed to the database because it has no policy.STRACE:com.farmers.integ.framework.job.automatejob.AutomatedJob.executeJob(AutomatedJob.gs:XXXSTRACERAW:-</v>
      </c>
      <c r="D576" s="3">
        <f t="shared" si="17"/>
        <v>1.3</v>
      </c>
    </row>
    <row r="577" spans="1:4" x14ac:dyDescent="0.35">
      <c r="A577" t="s">
        <v>489</v>
      </c>
      <c r="B577">
        <v>10</v>
      </c>
      <c r="C577" t="str">
        <f t="shared" si="16"/>
        <v>EMSG:One or more null constraint violations detected for DiagnosticRatingWorksheetSTRACE:com.farmers.integ.framework.job.automatejob.AutomatedJob.executeJob(AutomatedJob.gs:XXXSTRACERAW:-</v>
      </c>
      <c r="D577" s="3">
        <f t="shared" si="17"/>
        <v>1.3</v>
      </c>
    </row>
    <row r="578" spans="1:4" x14ac:dyDescent="0.35">
      <c r="A578" t="s">
        <v>794</v>
      </c>
      <c r="B578">
        <v>10</v>
      </c>
      <c r="C578" t="str">
        <f t="shared" ref="C578:C641" si="18">LEFT(A578,255)</f>
        <v>EMSG:One or more null constraint violations detected for EmbeddedQuoteDetail_ExtSTRACE:deployment.pc.war//com.guidewire.pl.system.database.entitywriter.DatabaseEntityWriterImpl.checkForNullConstraintViolation(DatabaseEntityWriterImpl.java:XXXSTRACERAW:-</v>
      </c>
      <c r="D578" s="3">
        <f t="shared" ref="D578:D641" si="19">IF(AND((B578/10)&lt;1,(B578/10)&gt;0),1,(B578/10)*130%)</f>
        <v>1.3</v>
      </c>
    </row>
    <row r="579" spans="1:4" x14ac:dyDescent="0.35">
      <c r="A579" t="s">
        <v>439</v>
      </c>
      <c r="B579">
        <v>10</v>
      </c>
      <c r="C579" t="str">
        <f t="shared" si="18"/>
        <v>EMSG:Personal Auto Line: Bodily Injury is required and must be added. XXXSTRACE:gw.api.extension.PCExtensionInterfacesMapper$block_XXX_.invoke(PCExtensionInterfacesMapper.gs:XXXSTRACERAW:-</v>
      </c>
      <c r="D579" s="3">
        <f t="shared" si="19"/>
        <v>1.3</v>
      </c>
    </row>
    <row r="580" spans="1:4" x14ac:dyDescent="0.35">
      <c r="A580" t="s">
        <v>415</v>
      </c>
      <c r="B580">
        <v>10</v>
      </c>
      <c r="C580" t="str">
        <f t="shared" si="18"/>
        <v>EMSG:The value XXX is not formatted correctly for the field "PUPPolicyNumber": Exceeds the maximum length of XXX characters (XXX)STRACE:deployment.pc.war//gw.datatype.impl.StringConstraintsHandlerBase.validateStringLength(StringConstraintsHandlerBase.java</v>
      </c>
      <c r="D580" s="3">
        <f t="shared" si="19"/>
        <v>1.3</v>
      </c>
    </row>
    <row r="581" spans="1:4" ht="43.5" x14ac:dyDescent="0.35">
      <c r="A581" s="4" t="s">
        <v>631</v>
      </c>
      <c r="B581">
        <v>10</v>
      </c>
      <c r="C581" t="str">
        <f t="shared" si="18"/>
        <v>EMSG:There are out-of-sequence conflicts that must be resolved prior to quoting. Please visit the Change Summary step to resolve the conflicts.STRACE:must be resolved prior to quoting. Please visit the Change Summary step to resolve the conflicts.
	at gw.</v>
      </c>
      <c r="D581" s="3">
        <f t="shared" si="19"/>
        <v>1.3</v>
      </c>
    </row>
    <row r="582" spans="1:4" x14ac:dyDescent="0.35">
      <c r="A582" t="s">
        <v>1068</v>
      </c>
      <c r="B582">
        <v>10</v>
      </c>
      <c r="C582" t="str">
        <f t="shared" si="18"/>
        <v>EMSG:Update XXX for Driver XXXSTRACE:edge.capabilities.quote.submission.quoting.util.SubmissionUnderwritingIssuesUtil.checkSideBySideProcessExceptions(SubmissionUnderwritingIssuesUtil.gs:XXXSTRACERAW:-</v>
      </c>
      <c r="D582" s="3">
        <f t="shared" si="19"/>
        <v>1.3</v>
      </c>
    </row>
    <row r="583" spans="1:4" x14ac:dyDescent="0.35">
      <c r="A583" t="s">
        <v>278</v>
      </c>
      <c r="B583">
        <v>10</v>
      </c>
      <c r="C583" t="str">
        <f t="shared" si="18"/>
        <v>EMSG:error:entity.xxxUI-ValidationERRORMessagexxxSTRACE:com.farmers.integ.framework.job.automatejob.AutomatedJob.handleSpillOverExceptions(AutomatedJob.gs:XXXSTRACERAW:-</v>
      </c>
      <c r="D583" s="3">
        <f t="shared" si="19"/>
        <v>1.3</v>
      </c>
    </row>
    <row r="584" spans="1:4" ht="29" x14ac:dyDescent="0.35">
      <c r="A584" s="4" t="s">
        <v>633</v>
      </c>
      <c r="B584">
        <v>10</v>
      </c>
      <c r="C584" t="str">
        <f t="shared" si="18"/>
        <v>EMSG:java.lang.IllegalStateException: Cannot modify a bean of type PolicySecNamedInsured that is in a readonly bundleSTRACE:is in a readonly bundle
	at com.farmers.integ.documentmgmt.vipdocument.multilobformgen.transformer.VIPFormGenRequestTransformer.tra</v>
      </c>
      <c r="D584" s="3">
        <f t="shared" si="19"/>
        <v>1.3</v>
      </c>
    </row>
    <row r="585" spans="1:4" x14ac:dyDescent="0.35">
      <c r="A585" t="s">
        <v>1300</v>
      </c>
      <c r="B585">
        <v>10</v>
      </c>
      <c r="C585" t="str">
        <f t="shared" si="18"/>
        <v>EMSG:java.net.ConnectException: Connection refusedSTRACE:deployment.pc.war//gw.pl.util.ExceptionUtil.convertToRuntimeException(ExceptionUtil.java:XXXSTRACERAW:-</v>
      </c>
      <c r="D585" s="3">
        <f t="shared" si="19"/>
        <v>1.3</v>
      </c>
    </row>
    <row r="586" spans="1:4" x14ac:dyDescent="0.35">
      <c r="A586" t="s">
        <v>871</v>
      </c>
      <c r="B586">
        <v>10</v>
      </c>
      <c r="C586" t="str">
        <f t="shared" si="18"/>
        <v>EMSG:jms/GWPC_QCF_SMALL -- service jboss.naming.context.java.jboss.jms.GWPC_QCF_SMALLSTRACE:-STRACERAW:org.jboss.as.naming@XXX.XXX.XXX.GA-redhatXXX//org.jboss.as.naming.ServiceBasedNamingStore.lookup(ServiceBasedNamingStore.java:XXX</v>
      </c>
      <c r="D586" s="3">
        <f t="shared" si="19"/>
        <v>1.3</v>
      </c>
    </row>
    <row r="587" spans="1:4" x14ac:dyDescent="0.35">
      <c r="A587" t="s">
        <v>983</v>
      </c>
      <c r="B587">
        <v>9</v>
      </c>
      <c r="C587" t="str">
        <f t="shared" si="18"/>
        <v>EMSG:, AOR=XXXSTRACE:com.farmers.config.commonutil.CommonUtil$block_XXX_.invoke(CommonUtil.gs:XXXSTRACERAW:-</v>
      </c>
      <c r="D587" s="3">
        <f t="shared" si="19"/>
        <v>1</v>
      </c>
    </row>
    <row r="588" spans="1:4" x14ac:dyDescent="0.35">
      <c r="A588" t="s">
        <v>935</v>
      </c>
      <c r="B588">
        <v>9</v>
      </c>
      <c r="C588" t="str">
        <f t="shared" si="18"/>
        <v>EMSG:-STRACE:-STRACERAW:com.farmers.config.common.mli.MLIHelper.transferToCalFocusForLife(MLIHelper.gs:XXX</v>
      </c>
      <c r="D588" s="3">
        <f t="shared" si="19"/>
        <v>1</v>
      </c>
    </row>
    <row r="589" spans="1:4" x14ac:dyDescent="0.35">
      <c r="A589" t="s">
        <v>984</v>
      </c>
      <c r="B589">
        <v>9</v>
      </c>
      <c r="C589" t="str">
        <f t="shared" si="18"/>
        <v>EMSG:-STRACE:-STRACERAW:com.farmers.config.commonutil.CommonUtil$block_XXX_.invoke(CommonUtil.gs:XXX</v>
      </c>
      <c r="D589" s="3">
        <f t="shared" si="19"/>
        <v>1</v>
      </c>
    </row>
    <row r="590" spans="1:4" x14ac:dyDescent="0.35">
      <c r="A590" t="s">
        <v>575</v>
      </c>
      <c r="B590">
        <v>9</v>
      </c>
      <c r="C590" t="str">
        <f t="shared" si="18"/>
        <v>EMSG:-STRACE:-STRACERAW:com.farmers.rating.pa.prerating.signalcode.impl.PASignalCodeCalculatorImplVXXX.calculateSignalFactors(PASignalCodeCalculatorImplVXXX.gs:XXX</v>
      </c>
      <c r="D590" s="3">
        <f t="shared" si="19"/>
        <v>1</v>
      </c>
    </row>
    <row r="591" spans="1:4" x14ac:dyDescent="0.35">
      <c r="A591" t="s">
        <v>1082</v>
      </c>
      <c r="B591">
        <v>9</v>
      </c>
      <c r="C591" t="str">
        <f t="shared" si="18"/>
        <v>EMSG:-STRACE:-STRACERAW:com.guidewire.pl.web.navigation.ExitPoint.getTitle(ExitPoint.java:XXX</v>
      </c>
      <c r="D591" s="3">
        <f t="shared" si="19"/>
        <v>1</v>
      </c>
    </row>
    <row r="592" spans="1:4" x14ac:dyDescent="0.35">
      <c r="A592" t="s">
        <v>833</v>
      </c>
      <c r="B592">
        <v>9</v>
      </c>
      <c r="C592" t="str">
        <f t="shared" si="18"/>
        <v>EMSG:-STRACE:-STRACERAW:gw.acc.luw.LUWExceptionHelper.processJobStateException(LUWExceptionHelper.gs:XXX</v>
      </c>
      <c r="D592" s="3">
        <f t="shared" si="19"/>
        <v>1</v>
      </c>
    </row>
    <row r="593" spans="1:4" x14ac:dyDescent="0.35">
      <c r="A593" t="s">
        <v>395</v>
      </c>
      <c r="B593">
        <v>9</v>
      </c>
      <c r="C593" t="str">
        <f t="shared" si="18"/>
        <v>EMSG:-STRACE:-STRACERAW:gw.contact.AgeCalculator.getAge(AgeCalculator.gs:XXX</v>
      </c>
      <c r="D593" s="3">
        <f t="shared" si="19"/>
        <v>1</v>
      </c>
    </row>
    <row r="594" spans="1:4" x14ac:dyDescent="0.35">
      <c r="A594" t="s">
        <v>758</v>
      </c>
      <c r="B594">
        <v>9</v>
      </c>
      <c r="C594" t="str">
        <f t="shared" si="18"/>
        <v>EMSG:-STRACE:-STRACERAW:gw.lob.pa.PAPolicyLineMethods.handleGoodDriverExceptionForCompRater(PAPolicyLineMethods.gs:XXX</v>
      </c>
      <c r="D594" s="3">
        <f t="shared" si="19"/>
        <v>1</v>
      </c>
    </row>
    <row r="595" spans="1:4" x14ac:dyDescent="0.35">
      <c r="A595" t="s">
        <v>764</v>
      </c>
      <c r="B595">
        <v>9</v>
      </c>
      <c r="C595" t="str">
        <f t="shared" si="18"/>
        <v>EMSG:-STRACE:-STRACERAW:java.lang.NumberFormatException.forInputString(NumberFormatException.java:XXX</v>
      </c>
      <c r="D595" s="3">
        <f t="shared" si="19"/>
        <v>1</v>
      </c>
    </row>
    <row r="596" spans="1:4" x14ac:dyDescent="0.35">
      <c r="A596" t="s">
        <v>347</v>
      </c>
      <c r="B596">
        <v>9</v>
      </c>
      <c r="C596" t="str">
        <f t="shared" si="18"/>
        <v>EMSG:-STRACE:-STRACERAW:most one cost version list on gw.lob.pup.rating.PUPCovCostData_PUE&lt;entity.PUPCovCost_PUE&gt; for dates (XXXXXXXXXXXXXXXXXX</v>
      </c>
      <c r="D596" s="3">
        <f t="shared" si="19"/>
        <v>1</v>
      </c>
    </row>
    <row r="597" spans="1:4" x14ac:dyDescent="0.35">
      <c r="A597" t="s">
        <v>1052</v>
      </c>
      <c r="B597">
        <v>9</v>
      </c>
      <c r="C597" t="str">
        <f t="shared" si="18"/>
        <v>EMSG:-STRACE:com.farmers.integ.downstream.policytransaction.BranchOrderHelper$block_XXX_$block_XXX_.invoke(BranchOrderHelper.gs:XXXSTRACERAW:-</v>
      </c>
      <c r="D597" s="3">
        <f t="shared" si="19"/>
        <v>1</v>
      </c>
    </row>
    <row r="598" spans="1:4" x14ac:dyDescent="0.35">
      <c r="A598" t="s">
        <v>567</v>
      </c>
      <c r="B598">
        <v>9</v>
      </c>
      <c r="C598" t="str">
        <f t="shared" si="18"/>
        <v>EMSG:-STRACE:com.farmers.integ.security.community.ace.agent.profile.processor.updator.BristolWestCodeUpdateProcessor.update(BristolWestCodeUpdateProcessor.gs:XXXSTRACERAW:-</v>
      </c>
      <c r="D598" s="3">
        <f t="shared" si="19"/>
        <v>1</v>
      </c>
    </row>
    <row r="599" spans="1:4" x14ac:dyDescent="0.35">
      <c r="A599" t="s">
        <v>840</v>
      </c>
      <c r="B599">
        <v>9</v>
      </c>
      <c r="C599" t="str">
        <f t="shared" si="18"/>
        <v>EMSG:-STRACE:edge.capabilities.quote.submission.base.DefaultBaseSubmissionPlugin.updateFromCustomerChannel(DefaultBaseSubmissionPlugin.gs:XXXSTRACERAW:-</v>
      </c>
      <c r="D599" s="3">
        <f t="shared" si="19"/>
        <v>1</v>
      </c>
    </row>
    <row r="600" spans="1:4" x14ac:dyDescent="0.35">
      <c r="A600" t="s">
        <v>295</v>
      </c>
      <c r="B600">
        <v>9</v>
      </c>
      <c r="C600" t="str">
        <f t="shared" si="18"/>
        <v>EMSG:-STRACE:java.base/java.lang.String.compareTo(String.java:XXXSTRACERAW:-</v>
      </c>
      <c r="D600" s="3">
        <f t="shared" si="19"/>
        <v>1</v>
      </c>
    </row>
    <row r="601" spans="1:4" ht="43.5" x14ac:dyDescent="0.35">
      <c r="A601" s="4" t="s">
        <v>1301</v>
      </c>
      <c r="B601">
        <v>9</v>
      </c>
      <c r="C601" t="str">
        <f t="shared" si="18"/>
        <v>EMSG:-STRACE:least one vehicle. Since the number of vehicles is greater than the number of drivers, each driver must be a Primary Driver on at least one vehicle.
Update Primary Driver on the Vehicle XXX TOYOTA COROLLA SEDAN XXXWD L/LE/S. Primary Driver no</v>
      </c>
      <c r="D601" s="3">
        <f t="shared" si="19"/>
        <v>1</v>
      </c>
    </row>
    <row r="602" spans="1:4" x14ac:dyDescent="0.35">
      <c r="A602" t="s">
        <v>1302</v>
      </c>
      <c r="B602">
        <v>9</v>
      </c>
      <c r="C602" t="str">
        <f t="shared" si="18"/>
        <v>EMSG:CALEB BOWERSSTRACE:com.farmers.config.pa.validator.BrightlineValidator.validateQuoteBrightlineRules(BrightlineValidator.gs:XXXSTRACERAW:-</v>
      </c>
      <c r="D602" s="3">
        <f t="shared" si="19"/>
        <v>1</v>
      </c>
    </row>
    <row r="603" spans="1:4" x14ac:dyDescent="0.35">
      <c r="A603" t="s">
        <v>1303</v>
      </c>
      <c r="B603">
        <v>9</v>
      </c>
      <c r="C603" t="str">
        <f t="shared" si="18"/>
        <v>EMSG:CALEB BOWERSSTRACE:gw.job.QuoteProcess.requestQuote(QuoteProcess.gs:XXXSTRACERAW:-</v>
      </c>
      <c r="D603" s="3">
        <f t="shared" si="19"/>
        <v>1</v>
      </c>
    </row>
    <row r="604" spans="1:4" x14ac:dyDescent="0.35">
      <c r="A604" t="s">
        <v>886</v>
      </c>
      <c r="B604">
        <v>9</v>
      </c>
      <c r="C604" t="str">
        <f t="shared" si="18"/>
        <v>EMSG:Click OK to refresh.  Address Standardization did not return a response.STRACE:com.farmers.config.ho.dwelling.location.process.HOLocationProcess.standardizeAddress(HOLocationProcess.gs:XXXSTRACERAW:-</v>
      </c>
      <c r="D604" s="3">
        <f t="shared" si="19"/>
        <v>1</v>
      </c>
    </row>
    <row r="605" spans="1:4" x14ac:dyDescent="0.35">
      <c r="A605" t="s">
        <v>798</v>
      </c>
      <c r="B605">
        <v>9</v>
      </c>
      <c r="C605" t="str">
        <f t="shared" si="18"/>
        <v>EMSG:Duplicated instance found in array of edge.capabilities.policyjob.lob.homeowners.coverables.dto.AdditionalInterestDTO. DtoKey = XXXSTRACE:edge.util.mapping.ArrayUpdater.checkDuplicatedDto(ArrayUpdater.gs:XXXSTRACERAW:-</v>
      </c>
      <c r="D605" s="3">
        <f t="shared" si="19"/>
        <v>1</v>
      </c>
    </row>
    <row r="606" spans="1:4" x14ac:dyDescent="0.35">
      <c r="A606" t="s">
        <v>809</v>
      </c>
      <c r="B606">
        <v>9</v>
      </c>
      <c r="C606" t="str">
        <f t="shared" si="18"/>
        <v>EMSG:Expiration date cannot equal the effective dateSTRACE:deployment.pc.war//com.guidewire.pl.system.entity.proxy.EffDatedBranchProxy.setPeriodWindow(EffDatedBranchProxy.java:XXXSTRACERAW:-</v>
      </c>
      <c r="D606" s="3">
        <f t="shared" si="19"/>
        <v>1</v>
      </c>
    </row>
    <row r="607" spans="1:4" x14ac:dyDescent="0.35">
      <c r="A607" t="s">
        <v>1304</v>
      </c>
      <c r="B607">
        <v>9</v>
      </c>
      <c r="C607" t="str">
        <f t="shared" si="18"/>
        <v>EMSG:Failed to execute a batch updateSTRACE:com.farmers.integ.framework.job.automatejob.AutomatedJob.executeJob(AutomatedJob.gs:XXXSTRACERAW:-</v>
      </c>
      <c r="D607" s="3">
        <f t="shared" si="19"/>
        <v>1</v>
      </c>
    </row>
    <row r="608" spans="1:4" x14ac:dyDescent="0.35">
      <c r="A608" t="s">
        <v>591</v>
      </c>
      <c r="B608">
        <v>9</v>
      </c>
      <c r="C608" t="str">
        <f t="shared" si="18"/>
        <v>EMSG:For input string: "XXX.XXX"STRACE:java.base/java.lang.NumberFormatException.forInputString(NumberFormatException.java:XXXSTRACERAW:-</v>
      </c>
      <c r="D608" s="3">
        <f t="shared" si="19"/>
        <v>1</v>
      </c>
    </row>
    <row r="609" spans="1:4" x14ac:dyDescent="0.35">
      <c r="A609" t="s">
        <v>765</v>
      </c>
      <c r="B609">
        <v>9</v>
      </c>
      <c r="C609" t="str">
        <f t="shared" si="18"/>
        <v>EMSG:For input string: "XXX_XXX_XXX"STRACE:java.base/java.lang.NumberFormatException.forInputString(NumberFormatException.java:XXXSTRACERAW:-</v>
      </c>
      <c r="D609" s="3">
        <f t="shared" si="19"/>
        <v>1</v>
      </c>
    </row>
    <row r="610" spans="1:4" x14ac:dyDescent="0.35">
      <c r="A610" t="s">
        <v>684</v>
      </c>
      <c r="B610">
        <v>9</v>
      </c>
      <c r="C610" t="str">
        <f t="shared" si="18"/>
        <v>EMSG:Personal Auto Line: Uninsured Motorist - Bodily Injury is required and must be added. XXXSTRACE:gw.api.extension.PCExtensionInterfacesMapper$block_XXX_.invoke(PCExtensionInterfacesMapper.gs:XXXSTRACERAW:-</v>
      </c>
      <c r="D610" s="3">
        <f t="shared" si="19"/>
        <v>1</v>
      </c>
    </row>
    <row r="611" spans="1:4" x14ac:dyDescent="0.35">
      <c r="A611" t="s">
        <v>492</v>
      </c>
      <c r="B611">
        <v>9</v>
      </c>
      <c r="C611" t="str">
        <f t="shared" si="18"/>
        <v>EMSG:Remove current vehicle and use either 'Create Vehicle' or 'Replace Vehicle' to change the VIN.STRACE:com.farmers.config.pa.validator.PAVehiclesValidator_Ext.vinValidationOnTabout(PAVehiclesValidator_Ext.gs:XXXSTRACERAW:-</v>
      </c>
      <c r="D611" s="3">
        <f t="shared" si="19"/>
        <v>1</v>
      </c>
    </row>
    <row r="612" spans="1:4" x14ac:dyDescent="0.35">
      <c r="A612" t="s">
        <v>1036</v>
      </c>
      <c r="B612">
        <v>9</v>
      </c>
      <c r="C612" t="str">
        <f t="shared" si="18"/>
        <v>EMSG:The value XXX is not formatted correctly for the field "StreetName": Please edit address as only the following special characters are acceptable:   # STRACE:deployment.pc.war//com.guidewire.pl.metadata.datatypeXXX.fieldvalidator.FieldValidatorInfo.va</v>
      </c>
      <c r="D612" s="3">
        <f t="shared" si="19"/>
        <v>1</v>
      </c>
    </row>
    <row r="613" spans="1:4" x14ac:dyDescent="0.35">
      <c r="A613" t="s">
        <v>688</v>
      </c>
      <c r="B613">
        <v>9</v>
      </c>
      <c r="C613" t="str">
        <f t="shared" si="18"/>
        <v>EMSG:Unexpected character ('ï¿½' (code XXX / XXXxfffd)): expected a valid value (JSON StringSTRACE:[Source: (StringSTRACERAW:-</v>
      </c>
      <c r="D613" s="3">
        <f t="shared" si="19"/>
        <v>1</v>
      </c>
    </row>
    <row r="614" spans="1:4" x14ac:dyDescent="0.35">
      <c r="A614" t="s">
        <v>383</v>
      </c>
      <c r="B614">
        <v>9</v>
      </c>
      <c r="C614" t="str">
        <f t="shared" si="18"/>
        <v>EMSG:Unparseable date: "XXXXXXXXX"STRACE:java.base/java.text.DateFormat.parse(DateFormat.java:XXXSTRACERAW:-</v>
      </c>
      <c r="D614" s="3">
        <f t="shared" si="19"/>
        <v>1</v>
      </c>
    </row>
    <row r="615" spans="1:4" x14ac:dyDescent="0.35">
      <c r="A615" t="s">
        <v>220</v>
      </c>
      <c r="B615">
        <v>9</v>
      </c>
      <c r="C615" t="str">
        <f t="shared" si="18"/>
        <v>EMSG:Verify Zip Code. Property Zip Code is not valid or supported.STRACE:com.farmers.config.ho.dwelling.location.process.HOLocationProcess.getLocationReports(HOLocationProcess.gs:XXXSTRACERAW:-</v>
      </c>
      <c r="D615" s="3">
        <f t="shared" si="19"/>
        <v>1</v>
      </c>
    </row>
    <row r="616" spans="1:4" x14ac:dyDescent="0.35">
      <c r="A616" t="s">
        <v>1204</v>
      </c>
      <c r="B616">
        <v>9</v>
      </c>
      <c r="C616" t="str">
        <f t="shared" si="18"/>
        <v>EMSG:com.guidewire.pl.system.exception.DBException: Failed to execute a querySTRACE:com.farmers.integ.documentmgmt.vipdocument.multilobformgen.transformer.VIPFormGenRequestTransformer.transform(VIPFormGenRequestTransformer.gs:XXXSTRACERAW:-</v>
      </c>
      <c r="D616" s="3">
        <f t="shared" si="19"/>
        <v>1</v>
      </c>
    </row>
    <row r="617" spans="1:4" x14ac:dyDescent="0.35">
      <c r="A617" t="s">
        <v>656</v>
      </c>
      <c r="B617">
        <v>8</v>
      </c>
      <c r="C617" t="str">
        <f t="shared" si="18"/>
        <v>EMSG:, AOR=XXXSTRACE:gw.bizrules.provisioning.contexts.PolicyContextDefinitionLibrary$block_XXX_.invoke(PolicyContextDefinitionLibrary.gs:XXXSTRACERAW:-</v>
      </c>
      <c r="D617" s="3">
        <f t="shared" si="19"/>
        <v>1</v>
      </c>
    </row>
    <row r="618" spans="1:4" x14ac:dyDescent="0.35">
      <c r="A618" t="s">
        <v>774</v>
      </c>
      <c r="B618">
        <v>8</v>
      </c>
      <c r="C618" t="str">
        <f t="shared" si="18"/>
        <v>EMSG:-STRACE:-STRACERAW:com.farmers.integ.inspectionmodel.helper.InspectionModelHelper.isDesirabilityAndSegmentationEnabled(InspectionModelHelper.gs:XXX</v>
      </c>
      <c r="D618" s="3">
        <f t="shared" si="19"/>
        <v>1</v>
      </c>
    </row>
    <row r="619" spans="1:4" x14ac:dyDescent="0.35">
      <c r="A619" t="s">
        <v>582</v>
      </c>
      <c r="B619">
        <v>8</v>
      </c>
      <c r="C619" t="str">
        <f t="shared" si="18"/>
        <v>EMSG:-STRACE:-STRACERAW:com.farmers.utilities.datachange.DataChangeHandler$block_XXX_.invoke(DataChangeHandler.gs:XXX</v>
      </c>
      <c r="D619" s="3">
        <f t="shared" si="19"/>
        <v>1</v>
      </c>
    </row>
    <row r="620" spans="1:4" x14ac:dyDescent="0.35">
      <c r="A620" t="s">
        <v>465</v>
      </c>
      <c r="B620">
        <v>8</v>
      </c>
      <c r="C620" t="str">
        <f t="shared" si="18"/>
        <v>EMSG:-STRACE:-STRACERAW:gw.api.web.job.JobWizardHelper.&lt;init&gt;(JobWizardHelper.java:XXX</v>
      </c>
      <c r="D620" s="3">
        <f t="shared" si="19"/>
        <v>1</v>
      </c>
    </row>
    <row r="621" spans="1:4" x14ac:dyDescent="0.35">
      <c r="A621" t="s">
        <v>404</v>
      </c>
      <c r="B621">
        <v>8</v>
      </c>
      <c r="C621" t="str">
        <f t="shared" si="18"/>
        <v>EMSG:-STRACE:-STRACERAW:gw.pcf.sidebyside.SideBySideScreenHelper$block_XXX_$block_XXX_.invoke(SideBySideScreenHelper.gs:XXX</v>
      </c>
      <c r="D621" s="3">
        <f t="shared" si="19"/>
        <v>1</v>
      </c>
    </row>
    <row r="622" spans="1:4" x14ac:dyDescent="0.35">
      <c r="A622" t="s">
        <v>365</v>
      </c>
      <c r="B622">
        <v>8</v>
      </c>
      <c r="C622" t="str">
        <f t="shared" si="18"/>
        <v>EMSG:-STRACE:-STRACERAW:pcfc.expressions.HODwellingSingleHOEPanelSetExpressions$HODwellingSingleHOEPanelSetExpressionsImpl.visible_XXX(HODwellingSingleHOEPanelSetExpressions.gs:XXX</v>
      </c>
      <c r="D622" s="3">
        <f t="shared" si="19"/>
        <v>1</v>
      </c>
    </row>
    <row r="623" spans="1:4" x14ac:dyDescent="0.35">
      <c r="A623" t="s">
        <v>291</v>
      </c>
      <c r="B623">
        <v>8</v>
      </c>
      <c r="C623" t="str">
        <f t="shared" si="18"/>
        <v>EMSG:-STRACE:-STRACERAW:pcfc.expressions.LicenseInputSet_PolicyDriverExpressions$LicenseInputSetExpressionsImpl.visible_XXX(LicenseInputSet_PolicyDriverExpressions.gs:XXX</v>
      </c>
      <c r="D623" s="3">
        <f t="shared" si="19"/>
        <v>1</v>
      </c>
    </row>
    <row r="624" spans="1:4" x14ac:dyDescent="0.35">
      <c r="A624" t="s">
        <v>793</v>
      </c>
      <c r="B624">
        <v>8</v>
      </c>
      <c r="C624" t="str">
        <f t="shared" si="18"/>
        <v>EMSG:-STRACE:edge.capabilities.quote.submission.base.DefaultBaseSubmissionPlugin.addOrUpdateSpouse(DefaultBaseSubmissionPlugin.gs:XXXSTRACERAW:-</v>
      </c>
      <c r="D624" s="3">
        <f t="shared" si="19"/>
        <v>1</v>
      </c>
    </row>
    <row r="625" spans="1:4" x14ac:dyDescent="0.35">
      <c r="A625" t="s">
        <v>748</v>
      </c>
      <c r="B625">
        <v>8</v>
      </c>
      <c r="C625" t="str">
        <f t="shared" si="18"/>
        <v>EMSG:-STRACE:gw.bizrules.provisioning.contexts.PolicyContextDefinitionLibrary$block_XXX_.invoke(PolicyContextDefinitionLibrary.gs:XXXSTRACERAW:-</v>
      </c>
      <c r="D625" s="3">
        <f t="shared" si="19"/>
        <v>1</v>
      </c>
    </row>
    <row r="626" spans="1:4" ht="29" x14ac:dyDescent="0.35">
      <c r="A626" s="4" t="s">
        <v>1305</v>
      </c>
      <c r="B626">
        <v>8</v>
      </c>
      <c r="C626" t="str">
        <f t="shared" si="18"/>
        <v>EMSG:A report shows that the XXXSTRACE:the  XXX HYUNDAI ACCENT XXXD SE has been flagged as having Vehicle History activity.;
	at edge.capabilities.quote.submission.quoting.util.SubmissionUnderwritingIssuesUtil.checkVerifyRateExceptions(SubmissionUnderwrit</v>
      </c>
      <c r="D626" s="3">
        <f t="shared" si="19"/>
        <v>1</v>
      </c>
    </row>
    <row r="627" spans="1:4" x14ac:dyDescent="0.35">
      <c r="A627" t="s">
        <v>455</v>
      </c>
      <c r="B627">
        <v>8</v>
      </c>
      <c r="C627" t="str">
        <f t="shared" si="18"/>
        <v>EMSG:Attempt to access bean of type "TieringResult_Ext" id=XXX with a null bundleSTRACE:deployment.pc.war//com.guidewire.pl.system.entity.proxy.BeanProxy.checkIsInBundle(BeanProxy.java:XXXSTRACERAW:-</v>
      </c>
      <c r="D627" s="3">
        <f t="shared" si="19"/>
        <v>1</v>
      </c>
    </row>
    <row r="628" spans="1:4" x14ac:dyDescent="0.35">
      <c r="A628" t="s">
        <v>275</v>
      </c>
      <c r="B628">
        <v>8</v>
      </c>
      <c r="C628" t="str">
        <f t="shared" si="18"/>
        <v>EMSG:Connection resetSTRACE:java.base/sun.security.ssl.Alert.createSSLException(Alert.java:XXXSTRACERAW:-</v>
      </c>
      <c r="D628" s="3">
        <f t="shared" si="19"/>
        <v>1</v>
      </c>
    </row>
    <row r="629" spans="1:4" x14ac:dyDescent="0.35">
      <c r="A629" t="s">
        <v>1306</v>
      </c>
      <c r="B629">
        <v>8</v>
      </c>
      <c r="C629" t="str">
        <f t="shared" si="18"/>
        <v>EMSG:Correct VIN on XXX.  VIN failed verification.;Re-enter "License #". Duplicate License Number entered for the following Drivers MOOMAL RAUFSTRACE:edge.capabilities.quote.submission.quoting.util.SubmissionUnderwritingIssuesUtil.checkVerifyRateException</v>
      </c>
      <c r="D629" s="3">
        <f t="shared" si="19"/>
        <v>1</v>
      </c>
    </row>
    <row r="630" spans="1:4" x14ac:dyDescent="0.35">
      <c r="A630" t="s">
        <v>322</v>
      </c>
      <c r="B630">
        <v>8</v>
      </c>
      <c r="C630" t="str">
        <f t="shared" si="18"/>
        <v>EMSG:Could not map property ContingencyPattern_ExtSTRACE:deployment.pc.war//gw.internal.xml.gx.GxRuntime.createElement(GxRuntime.java:XXXSTRACERAW:-</v>
      </c>
      <c r="D630" s="3">
        <f t="shared" si="19"/>
        <v>1</v>
      </c>
    </row>
    <row r="631" spans="1:4" ht="29" x14ac:dyDescent="0.35">
      <c r="A631" s="4" t="s">
        <v>1307</v>
      </c>
      <c r="B631">
        <v>8</v>
      </c>
      <c r="C631" t="str">
        <f t="shared" si="18"/>
        <v>EMSG:Dwelling at XXXSTRACE:XXX Saddlesmith St, Castle Pines, CO: XXX% Limit on Extended Replacement Cost is no longer available and has been removed. Please enter a new value.
	at gw.api.extension.PCExtensionInterfacesMapper$block_XXX_.invoke(PCExtensionI</v>
      </c>
      <c r="D631" s="3">
        <f t="shared" si="19"/>
        <v>1</v>
      </c>
    </row>
    <row r="632" spans="1:4" x14ac:dyDescent="0.35">
      <c r="A632" t="s">
        <v>1061</v>
      </c>
      <c r="B632">
        <v>8</v>
      </c>
      <c r="C632" t="str">
        <f t="shared" si="18"/>
        <v>EMSG:Index XXX out of bounds for length XXXSTRACE:java.base/java.util.ArrayList.add(ArrayList.java:XXXSTRACERAW:-</v>
      </c>
      <c r="D632" s="3">
        <f t="shared" si="19"/>
        <v>1</v>
      </c>
    </row>
    <row r="633" spans="1:4" x14ac:dyDescent="0.35">
      <c r="A633" t="s">
        <v>411</v>
      </c>
      <c r="B633">
        <v>8</v>
      </c>
      <c r="C633" t="str">
        <f t="shared" si="18"/>
        <v>EMSG:Missing/Invalid Mandatory Fields - Job in invalid status :: nullSTRACE:com.farmers.integ.conversion.coexistence.policymanagementapi.validator.BindValidator.validate(BindValidator.gs:XXXSTRACERAW:-</v>
      </c>
      <c r="D633" s="3">
        <f t="shared" si="19"/>
        <v>1</v>
      </c>
    </row>
    <row r="634" spans="1:4" x14ac:dyDescent="0.35">
      <c r="A634" t="s">
        <v>354</v>
      </c>
      <c r="B634">
        <v>8</v>
      </c>
      <c r="C634" t="str">
        <f t="shared" si="18"/>
        <v>EMSG:ODSReconciliationProcessor#processPolicyPeriod : Exception Occurred com.guidewire.pl.system.exception.DBException: Failed to execute a querySTRACE:com.farmers.integ.batch.odsreconciliation.util.ODSReconciliationProcessor.processPolicyPeriod(ODSReconc</v>
      </c>
      <c r="D634" s="3">
        <f t="shared" si="19"/>
        <v>1</v>
      </c>
    </row>
    <row r="635" spans="1:4" x14ac:dyDescent="0.35">
      <c r="A635" t="s">
        <v>469</v>
      </c>
      <c r="B635">
        <v>8</v>
      </c>
      <c r="C635" t="str">
        <f t="shared" si="18"/>
        <v>EMSG:Policy Driver XXXXX already exists.STRACE:gw.lob.pa.PersonalAutoLineEnhancement.addNewPolicyDriverForContact(PersonalAutoLineEnhancement.gsx:XXXSTRACERAW:-</v>
      </c>
      <c r="D635" s="3">
        <f t="shared" si="19"/>
        <v>1</v>
      </c>
    </row>
    <row r="636" spans="1:4" ht="29" x14ac:dyDescent="0.35">
      <c r="A636" s="4" t="s">
        <v>648</v>
      </c>
      <c r="B636">
        <v>8</v>
      </c>
      <c r="C636" t="str">
        <f t="shared" si="18"/>
        <v>EMSG:The PolicyPeriod you are trying to change is currently being quoted by another userSTRACE:this time
	at com.farmers.integ.framework.job.automatejob.AutomatedJob.executeJob(AutomatedJob.gs:XXXSTRACERAW:-</v>
      </c>
      <c r="D636" s="3">
        <f t="shared" si="19"/>
        <v>1</v>
      </c>
    </row>
    <row r="637" spans="1:4" x14ac:dyDescent="0.35">
      <c r="A637" t="s">
        <v>389</v>
      </c>
      <c r="B637">
        <v>8</v>
      </c>
      <c r="C637" t="str">
        <f t="shared" si="18"/>
        <v>EMSG:Try again later. Unable to retrieve Prior Insurance Auto Data Prefill (PIADPF) report.STRACE:com.farmers.config.pa.adpf.PIADPFReportHelper.orderReportAndFlood(PIADPFReportHelper.gs:XXXSTRACERAW:-</v>
      </c>
      <c r="D637" s="3">
        <f t="shared" si="19"/>
        <v>1</v>
      </c>
    </row>
    <row r="638" spans="1:4" ht="43.5" x14ac:dyDescent="0.35">
      <c r="A638" s="4" t="s">
        <v>618</v>
      </c>
      <c r="B638">
        <v>8</v>
      </c>
      <c r="C638" t="str">
        <f t="shared" si="18"/>
        <v>EMSG:error:entity.xxxUI-ValidationERRORMessagexxxSTRACE:least one the following XXX Value Exterior Wall Finishes:  'Siding - Alum. or Metal' OR 'Siding - Steel' OR 'Siding - Vinyl.' or atleast one of the following Roof Types:  'Composition - XXX Tab Shing</v>
      </c>
      <c r="D638" s="3">
        <f t="shared" si="19"/>
        <v>1</v>
      </c>
    </row>
    <row r="639" spans="1:4" x14ac:dyDescent="0.35">
      <c r="A639" t="s">
        <v>231</v>
      </c>
      <c r="B639">
        <v>8</v>
      </c>
      <c r="C639" t="str">
        <f t="shared" si="18"/>
        <v>EMSG:gw.xml.XmlException: Please use XmlElement.parse( java.io.File ) to parse a fileSTRACE:deployment.pc.war//gw.internal.xml.ws.WsdlPortImpl.invoke(WsdlPortImpl.java:XXXSTRACERAW:-</v>
      </c>
      <c r="D639" s="3">
        <f t="shared" si="19"/>
        <v>1</v>
      </c>
    </row>
    <row r="640" spans="1:4" x14ac:dyDescent="0.35">
      <c r="A640" t="s">
        <v>471</v>
      </c>
      <c r="B640">
        <v>8</v>
      </c>
      <c r="C640" t="str">
        <f t="shared" si="18"/>
        <v>EMSG:java.lang.IllegalStateException: Attempt to access bean of type "PUPLocation_PUE" id=XXX with a null bundleSTRACE:deployment.pc.war//com.guidewire.pl.web.widget.Widget.getVisibleValue(Widget.java:XXXSTRACERAW:-</v>
      </c>
      <c r="D640" s="3">
        <f t="shared" si="19"/>
        <v>1</v>
      </c>
    </row>
    <row r="641" spans="1:4" x14ac:dyDescent="0.35">
      <c r="A641" t="s">
        <v>668</v>
      </c>
      <c r="B641">
        <v>8</v>
      </c>
      <c r="C641" t="str">
        <f t="shared" si="18"/>
        <v>EMSG:java.lang.RuntimeException: java.lang.InterruptedExceptionSTRACE:deployment.pc.war//gw.internal.xml.ws.WsdlPortImpl.invoke(WsdlPortImpl.java:XXXSTRACERAW:-</v>
      </c>
      <c r="D641" s="3">
        <f t="shared" si="19"/>
        <v>1</v>
      </c>
    </row>
    <row r="642" spans="1:4" x14ac:dyDescent="0.35">
      <c r="A642" t="s">
        <v>1145</v>
      </c>
      <c r="B642">
        <v>8</v>
      </c>
      <c r="C642" t="str">
        <f t="shared" ref="C642:C705" si="20">LEFT(A642,255)</f>
        <v>EMSG:java.lang.RuntimeException: java.net.SocketException: Connection reset by peer (Write failed)STRACE:deployment.pc.war//gw.internal.xml.ws.WsdlPortImpl.invoke(WsdlPortImpl.java:XXXSTRACERAW:-</v>
      </c>
      <c r="D642" s="3">
        <f t="shared" ref="D642:D705" si="21">IF(AND((B642/10)&lt;1,(B642/10)&gt;0),1,(B642/10)*130%)</f>
        <v>1</v>
      </c>
    </row>
    <row r="643" spans="1:4" x14ac:dyDescent="0.35">
      <c r="A643" t="s">
        <v>538</v>
      </c>
      <c r="B643">
        <v>8</v>
      </c>
      <c r="C643" t="str">
        <f t="shared" si="20"/>
        <v>EMSG:java.lang.RuntimeException: javax.net.ssl.SSLException: Connection resetSTRACE:deployment.pc.war//gw.internal.xml.ws.WsdlPortImpl.invoke(WsdlPortImpl.java:XXXSTRACERAW:-</v>
      </c>
      <c r="D643" s="3">
        <f t="shared" si="21"/>
        <v>1</v>
      </c>
    </row>
    <row r="644" spans="1:4" x14ac:dyDescent="0.35">
      <c r="A644" t="s">
        <v>461</v>
      </c>
      <c r="B644">
        <v>7</v>
      </c>
      <c r="C644" t="str">
        <f t="shared" si="20"/>
        <v>EMSG:, AOR=XXXSTRACE:com.farmers.config.pup.prefill.legacy.PUPULClientDetailsLoaderAndRefresher.load(PUPULClientDetailsLoaderAndRefresher.gs:XXXSTRACERAW:-</v>
      </c>
      <c r="D644" s="3">
        <f t="shared" si="21"/>
        <v>1</v>
      </c>
    </row>
    <row r="645" spans="1:4" x14ac:dyDescent="0.35">
      <c r="A645" t="s">
        <v>333</v>
      </c>
      <c r="B645">
        <v>7</v>
      </c>
      <c r="C645" t="str">
        <f t="shared" si="20"/>
        <v>EMSG:, AOR=XXXSTRACE:com.farmers.rating.capping.factor.impl.PACappingFactorCalculatorImplVXXX.calculateRateStabilityFactor(PACappingFactorCalculatorImplVXXX.gs:XXXSTRACERAW:-</v>
      </c>
      <c r="D645" s="3">
        <f t="shared" si="21"/>
        <v>1</v>
      </c>
    </row>
    <row r="646" spans="1:4" x14ac:dyDescent="0.35">
      <c r="A646" t="s">
        <v>334</v>
      </c>
      <c r="B646">
        <v>7</v>
      </c>
      <c r="C646" t="str">
        <f t="shared" si="20"/>
        <v>EMSG:-STRACE:-STRACERAW:com.farmers.rating.capping.factor.impl.PACappingFactorCalculatorImplVXXX.calculateRateStabilityFactor(PACappingFactorCalculatorImplVXXX.gs:XXX</v>
      </c>
      <c r="D646" s="3">
        <f t="shared" si="21"/>
        <v>1</v>
      </c>
    </row>
    <row r="647" spans="1:4" x14ac:dyDescent="0.35">
      <c r="A647" t="s">
        <v>356</v>
      </c>
      <c r="B647">
        <v>7</v>
      </c>
      <c r="C647" t="str">
        <f t="shared" si="20"/>
        <v>EMSG:-STRACE:-STRACERAW:com.guidewire.pl.system.batchprocessing.MultiPhaseBatchProcess.runPhases(MultiPhaseBatchProcess.java:XXX</v>
      </c>
      <c r="D647" s="3">
        <f t="shared" si="21"/>
        <v>1</v>
      </c>
    </row>
    <row r="648" spans="1:4" x14ac:dyDescent="0.35">
      <c r="A648" t="s">
        <v>674</v>
      </c>
      <c r="B648">
        <v>7</v>
      </c>
      <c r="C648" t="str">
        <f t="shared" si="20"/>
        <v>EMSG:-STRACE:-STRACERAW:com.guidewire.pl.system.bundle.EffDatedMap.removeElement(EffDatedMap.java:XXX</v>
      </c>
      <c r="D648" s="3">
        <f t="shared" si="21"/>
        <v>1</v>
      </c>
    </row>
    <row r="649" spans="1:4" x14ac:dyDescent="0.35">
      <c r="A649" t="s">
        <v>795</v>
      </c>
      <c r="B649">
        <v>7</v>
      </c>
      <c r="C649" t="str">
        <f t="shared" si="20"/>
        <v>EMSG:-STRACE:-STRACERAW:com.guidewire.pl.system.entity.proxy.EffDatedBeanProxy.getBranchUnslicedUntyped(EffDatedBeanProxy.java:XXX</v>
      </c>
      <c r="D649" s="3">
        <f t="shared" si="21"/>
        <v>1</v>
      </c>
    </row>
    <row r="650" spans="1:4" x14ac:dyDescent="0.35">
      <c r="A650" t="s">
        <v>577</v>
      </c>
      <c r="B650">
        <v>7</v>
      </c>
      <c r="C650" t="str">
        <f t="shared" si="20"/>
        <v>EMSG:-STRACE:com.farmers.edge.capabilities.communitymodel.checkgrantaccess.processor.RevokeAccessProcessor.removeGroupUser(RevokeAccessProcessor.gs:XXXSTRACERAW:-</v>
      </c>
      <c r="D650" s="3">
        <f t="shared" si="21"/>
        <v>1</v>
      </c>
    </row>
    <row r="651" spans="1:4" x14ac:dyDescent="0.35">
      <c r="A651" t="s">
        <v>385</v>
      </c>
      <c r="B651">
        <v>7</v>
      </c>
      <c r="C651" t="str">
        <f t="shared" si="20"/>
        <v>EMSG:-STRACE:edge.capabilities.quote.submission.quoting.util.SubmissionUnderwritingIssuesUtil.checkVerifyRateExceptions(SubmissionUnderwritingIssuesUtil.gs:XXXSTRACERAW:-</v>
      </c>
      <c r="D651" s="3">
        <f t="shared" si="21"/>
        <v>1</v>
      </c>
    </row>
    <row r="652" spans="1:4" x14ac:dyDescent="0.35">
      <c r="A652" t="s">
        <v>466</v>
      </c>
      <c r="B652">
        <v>7</v>
      </c>
      <c r="C652" t="str">
        <f t="shared" si="20"/>
        <v>EMSG:-STRACE:java.base/java.lang.String.contains(String.java:XXXSTRACERAW:-</v>
      </c>
      <c r="D652" s="3">
        <f t="shared" si="21"/>
        <v>1</v>
      </c>
    </row>
    <row r="653" spans="1:4" x14ac:dyDescent="0.35">
      <c r="A653" t="s">
        <v>749</v>
      </c>
      <c r="B653">
        <v>7</v>
      </c>
      <c r="C653" t="str">
        <f t="shared" si="20"/>
        <v>EMSG:Can't remove a bean while generating messagesSTRACE:deployment.pc.war//com.guidewire.pl.system.bundle.EntityBundleImpl.delete(EntityBundleImpl.java:XXXSTRACERAW:-</v>
      </c>
      <c r="D653" s="3">
        <f t="shared" si="21"/>
        <v>1</v>
      </c>
    </row>
    <row r="654" spans="1:4" x14ac:dyDescent="0.35">
      <c r="A654" t="s">
        <v>298</v>
      </c>
      <c r="B654">
        <v>7</v>
      </c>
      <c r="C654" t="str">
        <f t="shared" si="20"/>
        <v>EMSG:Correct the VIN XXXSTRACE:com.farmers.rating.pa.prerating.carsymbol.impl.CarSymbolCalculatorImplVXXX.setSymbolsForNewerVehicles(CarSymbolCalculatorImplVXXX.gs:XXXSTRACERAW:-</v>
      </c>
      <c r="D654" s="3">
        <f t="shared" si="21"/>
        <v>1</v>
      </c>
    </row>
    <row r="655" spans="1:4" ht="29" x14ac:dyDescent="0.35">
      <c r="A655" s="4" t="s">
        <v>640</v>
      </c>
      <c r="B655">
        <v>7</v>
      </c>
      <c r="C655" t="str">
        <f t="shared" si="20"/>
        <v>EMSG:Database bean version conflict : XXXSTRACE:Wai Tam at XXX/XXX/XXX XXX:XXX PM. Please cancel and retry your change.
	at deployment.pc.war//com.guidewire.pl.system.database.DatabaseChangedBeanWriter.createConcurrentDataChangeException(DatabaseChangedBe</v>
      </c>
      <c r="D655" s="3">
        <f t="shared" si="21"/>
        <v>1</v>
      </c>
    </row>
    <row r="656" spans="1:4" ht="29" x14ac:dyDescent="0.35">
      <c r="A656" s="4" t="s">
        <v>1308</v>
      </c>
      <c r="B656">
        <v>7</v>
      </c>
      <c r="C656" t="str">
        <f t="shared" si="20"/>
        <v>EMSG:Dwelling at XXXSTRACE:XXX Old Divide Trl, Parker, CO: XXX% Limit on Extended Replacement Cost is no longer available and has been removed. Please enter a new value.
	at gw.api.extension.PCExtensionInterfacesMapper$block_XXX_.invoke(PCExtensionInterfa</v>
      </c>
      <c r="D656" s="3">
        <f t="shared" si="21"/>
        <v>1</v>
      </c>
    </row>
    <row r="657" spans="1:4" x14ac:dyDescent="0.35">
      <c r="A657" t="s">
        <v>1309</v>
      </c>
      <c r="B657">
        <v>7</v>
      </c>
      <c r="C657" t="str">
        <f t="shared" si="20"/>
        <v>EMSG:Effective ranges overlap for VehicleRatedDriver_Ext with BranchID XXX and with FixedID XXXSTRACE:deployment.pc.war//com.guidewire.pl.system.entity.proxy.EffDatedBeanProxy.checkForOverlaps(EffDatedBeanProxy.java:XXXSTRACERAW:-</v>
      </c>
      <c r="D657" s="3">
        <f t="shared" si="21"/>
        <v>1</v>
      </c>
    </row>
    <row r="658" spans="1:4" x14ac:dyDescent="0.35">
      <c r="A658" t="s">
        <v>700</v>
      </c>
      <c r="B658">
        <v>7</v>
      </c>
      <c r="C658" t="str">
        <f t="shared" si="20"/>
        <v>EMSG:Exception occurs while transforming response for SearchCustomerInfo STRACE:com.farmers.integ.householding.mdm.searchcustomer.transformer.SearchCustomerResponseTransformer.transform(SearchCustomerResponseTransformer.gs:XXXSTRACERAW:-</v>
      </c>
      <c r="D658" s="3">
        <f t="shared" si="21"/>
        <v>1</v>
      </c>
    </row>
    <row r="659" spans="1:4" x14ac:dyDescent="0.35">
      <c r="A659" t="s">
        <v>673</v>
      </c>
      <c r="B659">
        <v>7</v>
      </c>
      <c r="C659" t="str">
        <f t="shared" si="20"/>
        <v>EMSG:Expiration date cannot come before effective dateSTRACE:deployment.pc.war//com.guidewire.pl.system.entity.proxy.EffDatedBeanProxy.setEffectiveWindow(EffDatedBeanProxy.java:XXXSTRACERAW:-</v>
      </c>
      <c r="D659" s="3">
        <f t="shared" si="21"/>
        <v>1</v>
      </c>
    </row>
    <row r="660" spans="1:4" x14ac:dyDescent="0.35">
      <c r="A660" t="s">
        <v>1310</v>
      </c>
      <c r="B660">
        <v>7</v>
      </c>
      <c r="C660" t="str">
        <f t="shared" si="20"/>
        <v>EMSG:For eligible contact Brett Skillestad credit score is null. Please make sure credit is orderedSTRACE:com.farmers.config.common.credit.CreditScoreHelper.populateRatingCreditDTO(CreditScoreHelper.gs:XXXSTRACERAW:-</v>
      </c>
      <c r="D660" s="3">
        <f t="shared" si="21"/>
        <v>1</v>
      </c>
    </row>
    <row r="661" spans="1:4" x14ac:dyDescent="0.35">
      <c r="A661" t="s">
        <v>508</v>
      </c>
      <c r="B661">
        <v>7</v>
      </c>
      <c r="C661" t="str">
        <f t="shared" si="20"/>
        <v>EMSG:Group Affiliated policies cannot be assigned to Exclusive AgentsSTRACE:com.farmers.integ.distribution.opra.batch.helper.OpraRecordHandler.validateRecords(OpraRecordHandler.gs:XXXSTRACERAW:-</v>
      </c>
      <c r="D661" s="3">
        <f t="shared" si="21"/>
        <v>1</v>
      </c>
    </row>
    <row r="662" spans="1:4" x14ac:dyDescent="0.35">
      <c r="A662" t="s">
        <v>366</v>
      </c>
      <c r="B662">
        <v>7</v>
      </c>
      <c r="C662" t="str">
        <f t="shared" si="20"/>
        <v>EMSG:Inactive User XXX is inactiveSTRACE:deployment.pc.war//gw.api.webservice.exception.LoginException.InactiveUserException(LoginException.java:XXXSTRACERAW:-</v>
      </c>
      <c r="D662" s="3">
        <f t="shared" si="21"/>
        <v>1</v>
      </c>
    </row>
    <row r="663" spans="1:4" x14ac:dyDescent="0.35">
      <c r="A663" t="s">
        <v>399</v>
      </c>
      <c r="B663">
        <v>7</v>
      </c>
      <c r="C663" t="str">
        <f t="shared" si="20"/>
        <v>EMSG:Internal error: bean entity.PolicyPeriod:XXX was staged for edit.STRACE:deployment.pc.war//com.guidewire.pl.system.bundle.EntityBundleImpl.handleBeanChange(EntityBundleImpl.java:XXXSTRACERAW:-</v>
      </c>
      <c r="D663" s="3">
        <f t="shared" si="21"/>
        <v>1</v>
      </c>
    </row>
    <row r="664" spans="1:4" x14ac:dyDescent="0.35">
      <c r="A664" t="s">
        <v>440</v>
      </c>
      <c r="B664">
        <v>7</v>
      </c>
      <c r="C664" t="str">
        <f t="shared" si="20"/>
        <v>EMSG:The date XXX/XXX/XXX XXX:XXX:XXX AM is before the earliest valid effective date of XXX/XXX/XXX XXX:XXX:XXX AM.STRACE:gw.job.CancellationProcess.setCancellationDate(CancellationProcess.gs:XXXSTRACERAW:-</v>
      </c>
      <c r="D664" s="3">
        <f t="shared" si="21"/>
        <v>1</v>
      </c>
    </row>
    <row r="665" spans="1:4" x14ac:dyDescent="0.35">
      <c r="A665" t="s">
        <v>513</v>
      </c>
      <c r="B665">
        <v>7</v>
      </c>
      <c r="C665" t="str">
        <f t="shared" si="20"/>
        <v>EMSG:The selected version for job "XXX" must be a member of its Periods array.STRACE:deployment.pc.war//com.guidewire.pc.domain.job.impl.JobImpl.setSelectedVersion(JobImpl.java:XXXSTRACERAW:-</v>
      </c>
      <c r="D665" s="3">
        <f t="shared" si="21"/>
        <v>1</v>
      </c>
    </row>
    <row r="666" spans="1:4" ht="29" x14ac:dyDescent="0.35">
      <c r="A666" s="4" t="s">
        <v>632</v>
      </c>
      <c r="B666">
        <v>7</v>
      </c>
      <c r="C666" t="str">
        <f t="shared" si="20"/>
        <v>EMSG:XXX has exceeded the accident and/or violation threshold for eligibility in this program.STRACE:has exceeded the accident and/or violation threshold for eligibility in this program.
	at com.farmers.config.pa.validator.BrightlineValidator.validateQuot</v>
      </c>
      <c r="D666" s="3">
        <f t="shared" si="21"/>
        <v>1</v>
      </c>
    </row>
    <row r="667" spans="1:4" x14ac:dyDescent="0.35">
      <c r="A667" t="s">
        <v>712</v>
      </c>
      <c r="B667">
        <v>6</v>
      </c>
      <c r="C667" t="str">
        <f t="shared" si="20"/>
        <v>EMSG:, AOR=XXXSTRACE:[Source: (StringSTRACERAW:-</v>
      </c>
      <c r="D667" s="3">
        <f t="shared" si="21"/>
        <v>1</v>
      </c>
    </row>
    <row r="668" spans="1:4" x14ac:dyDescent="0.35">
      <c r="A668" t="s">
        <v>497</v>
      </c>
      <c r="B668">
        <v>6</v>
      </c>
      <c r="C668" t="str">
        <f t="shared" si="20"/>
        <v>EMSG:, AOR=XXXSTRACE:com.farmers.config.pup.policyrefresh.pc.PUPPopulatePADTO.setLiabCoverage(PUPPopulatePADTO.gs:XXXSTRACERAW:-</v>
      </c>
      <c r="D668" s="3">
        <f t="shared" si="21"/>
        <v>1</v>
      </c>
    </row>
    <row r="669" spans="1:4" x14ac:dyDescent="0.35">
      <c r="A669" t="s">
        <v>319</v>
      </c>
      <c r="B669">
        <v>6</v>
      </c>
      <c r="C669" t="str">
        <f t="shared" si="20"/>
        <v>EMSG:, AOR=XXXSTRACE:com.farmers.integ.inspectionmodel.servicedelegate.InspectionModelServiceDelegate.invokeInspectionModelService(InspectionModelServiceDelegate.gs:XXXSTRACERAW:-</v>
      </c>
      <c r="D669" s="3">
        <f t="shared" si="21"/>
        <v>1</v>
      </c>
    </row>
    <row r="670" spans="1:4" x14ac:dyDescent="0.35">
      <c r="A670" t="s">
        <v>856</v>
      </c>
      <c r="B670">
        <v>6</v>
      </c>
      <c r="C670" t="str">
        <f t="shared" si="20"/>
        <v>EMSG:, AOR=XXXSTRACE:gw.acc.luw.rules.LUWCEADetailsSyncProcessor.removeAddlIns(LUWCEADetailsSyncProcessor.gs:XXXSTRACERAW:-</v>
      </c>
      <c r="D670" s="3">
        <f t="shared" si="21"/>
        <v>1</v>
      </c>
    </row>
    <row r="671" spans="1:4" x14ac:dyDescent="0.35">
      <c r="A671" t="s">
        <v>586</v>
      </c>
      <c r="B671">
        <v>6</v>
      </c>
      <c r="C671" t="str">
        <f t="shared" si="20"/>
        <v>EMSG:-STRACE:-STRACERAW:com.guidewire.pl.system.cluster.ClusterCallForwarderImpl.forwardCallToServer(ClusterCallForwarderImpl.java:XXX</v>
      </c>
      <c r="D671" s="3">
        <f t="shared" si="21"/>
        <v>1</v>
      </c>
    </row>
    <row r="672" spans="1:4" x14ac:dyDescent="0.35">
      <c r="A672" t="s">
        <v>541</v>
      </c>
      <c r="B672">
        <v>6</v>
      </c>
      <c r="C672" t="str">
        <f t="shared" si="20"/>
        <v>EMSG:-STRACE:-STRACERAW:com.guidewire.pl.system.server.InitTab.increaseRunLevelTo(InitTab.java:XXX</v>
      </c>
      <c r="D672" s="3">
        <f t="shared" si="21"/>
        <v>1</v>
      </c>
    </row>
    <row r="673" spans="1:4" x14ac:dyDescent="0.35">
      <c r="A673" t="s">
        <v>434</v>
      </c>
      <c r="B673">
        <v>6</v>
      </c>
      <c r="C673" t="str">
        <f t="shared" si="20"/>
        <v>EMSG:-STRACE:-STRACERAW:com.guidewire.pl.web.config.PCFElement.remove(PCFElement.java:XXX</v>
      </c>
      <c r="D673" s="3">
        <f t="shared" si="21"/>
        <v>1</v>
      </c>
    </row>
    <row r="674" spans="1:4" x14ac:dyDescent="0.35">
      <c r="A674" t="s">
        <v>805</v>
      </c>
      <c r="B674">
        <v>6</v>
      </c>
      <c r="C674" t="str">
        <f t="shared" si="20"/>
        <v>EMSG:-STRACE:-STRACERAW:deployment.pc.war//com.guidewire.pc.domain.account.impl.AccountContactImpl.markContactForAutoSync(AccountContactImpl.java:XXX</v>
      </c>
      <c r="D674" s="3">
        <f t="shared" si="21"/>
        <v>1</v>
      </c>
    </row>
    <row r="675" spans="1:4" x14ac:dyDescent="0.35">
      <c r="A675" t="s">
        <v>522</v>
      </c>
      <c r="B675">
        <v>6</v>
      </c>
      <c r="C675" t="str">
        <f t="shared" si="20"/>
        <v>EMSG:-STRACE:-STRACERAW:gw.lob.common.SideBySideUtil.getSideBySidePeriods(SideBySideUtil.gs:XXX</v>
      </c>
      <c r="D675" s="3">
        <f t="shared" si="21"/>
        <v>1</v>
      </c>
    </row>
    <row r="676" spans="1:4" x14ac:dyDescent="0.35">
      <c r="A676" t="s">
        <v>524</v>
      </c>
      <c r="B676">
        <v>6</v>
      </c>
      <c r="C676" t="str">
        <f t="shared" si="20"/>
        <v>EMSG:-STRACE:-STRACERAW:java.math.BigDecimal.&lt;init&gt;(BigDecimal.java:XXX</v>
      </c>
      <c r="D676" s="3">
        <f t="shared" si="21"/>
        <v>1</v>
      </c>
    </row>
    <row r="677" spans="1:4" x14ac:dyDescent="0.35">
      <c r="A677" t="s">
        <v>525</v>
      </c>
      <c r="B677">
        <v>6</v>
      </c>
      <c r="C677" t="str">
        <f t="shared" si="20"/>
        <v>EMSG:-STRACE:-STRACERAW:this time.  If this persists; contact Agent Support Center at (XXX</v>
      </c>
      <c r="D677" s="3">
        <f t="shared" si="21"/>
        <v>1</v>
      </c>
    </row>
    <row r="678" spans="1:4" x14ac:dyDescent="0.35">
      <c r="A678" t="s">
        <v>584</v>
      </c>
      <c r="B678">
        <v>6</v>
      </c>
      <c r="C678" t="str">
        <f t="shared" si="20"/>
        <v>EMSG:-STRACE:com.farmers.integ.security.community.context.AbstractBatchProcessContext.put(AbstractBatchProcessContext.gs:XXXSTRACERAW:-</v>
      </c>
      <c r="D678" s="3">
        <f t="shared" si="21"/>
        <v>1</v>
      </c>
    </row>
    <row r="679" spans="1:4" x14ac:dyDescent="0.35">
      <c r="A679" t="s">
        <v>639</v>
      </c>
      <c r="B679">
        <v>6</v>
      </c>
      <c r="C679" t="str">
        <f t="shared" si="20"/>
        <v>EMSG:-STRACE:deployment.pc.war//gw.datatype.impl.StringConstraintsHandlerBase.validateStringLength(StringConstraintsHandlerBase.java:XXXSTRACERAW:-</v>
      </c>
      <c r="D679" s="3">
        <f t="shared" si="21"/>
        <v>1</v>
      </c>
    </row>
    <row r="680" spans="1:4" ht="29" x14ac:dyDescent="0.35">
      <c r="A680" s="4" t="s">
        <v>1311</v>
      </c>
      <c r="B680">
        <v>6</v>
      </c>
      <c r="C680" t="str">
        <f t="shared" si="20"/>
        <v>EMSG:A report shows that the XXXSTRACE:the  XXX INFINITI FXXXX XXXD XXXWD has been flagged as having Vehicle History activity.;
	at edge.capabilities.quote.submission.quoting.util.SubmissionUnderwritingIssuesUtil.checkVerifyRateExceptions(SubmissionUnderw</v>
      </c>
      <c r="D680" s="3">
        <f t="shared" si="21"/>
        <v>1</v>
      </c>
    </row>
    <row r="681" spans="1:4" x14ac:dyDescent="0.35">
      <c r="A681" t="s">
        <v>1312</v>
      </c>
      <c r="B681">
        <v>6</v>
      </c>
      <c r="C681" t="str">
        <f t="shared" si="20"/>
        <v>EMSG:An email address is required for the selected electronic delivery options. To continueSTRACE:edge.capabilities.quote.submission.quoting.util.SubmissionUnderwritingIssuesUtil.checkSideBySideProcessExceptions(SubmissionUnderwritingIssuesUtil.gs:XXXSTRA</v>
      </c>
      <c r="D681" s="3">
        <f t="shared" si="21"/>
        <v>1</v>
      </c>
    </row>
    <row r="682" spans="1:4" x14ac:dyDescent="0.35">
      <c r="A682" t="s">
        <v>797</v>
      </c>
      <c r="B682">
        <v>6</v>
      </c>
      <c r="C682" t="str">
        <f t="shared" si="20"/>
        <v>EMSG:Attempt to access bean of type "PolicyAddlNamedInsured" id=XXX with a null bundleSTRACE:deployment.pc.war//com.guidewire.pl.system.entity.proxy.BeanProxy.checkIsInBundle(BeanProxy.java:XXXSTRACERAW:-</v>
      </c>
      <c r="D682" s="3">
        <f t="shared" si="21"/>
        <v>1</v>
      </c>
    </row>
    <row r="683" spans="1:4" x14ac:dyDescent="0.35">
      <c r="A683" t="s">
        <v>624</v>
      </c>
      <c r="B683">
        <v>6</v>
      </c>
      <c r="C683" t="str">
        <f t="shared" si="20"/>
        <v>EMSG:Cannot add worksheets to a locked branchSTRACE:deployment.pc.war//com.guidewire.pc.domain.rating.impl.WorksheetContainerImpl.addWorksheetFor(WorksheetContainerImpl.java:XXXSTRACERAW:-</v>
      </c>
      <c r="D683" s="3">
        <f t="shared" si="21"/>
        <v>1</v>
      </c>
    </row>
    <row r="684" spans="1:4" x14ac:dyDescent="0.35">
      <c r="A684" t="s">
        <v>881</v>
      </c>
      <c r="B684">
        <v>6</v>
      </c>
      <c r="C684" t="str">
        <f t="shared" si="20"/>
        <v>EMSG:Change the Primary Use for Vehicle XXXSTRACE:edge.capabilities.quote.submission.quoting.util.SubmissionUnderwritingIssuesUtil.checkSideBySideProcessExceptions(SubmissionUnderwritingIssuesUtil.gs:XXXSTRACERAW:-</v>
      </c>
      <c r="D684" s="3">
        <f t="shared" si="21"/>
        <v>1</v>
      </c>
    </row>
    <row r="685" spans="1:4" ht="43.5" x14ac:dyDescent="0.35">
      <c r="A685" s="4" t="s">
        <v>1012</v>
      </c>
      <c r="B685">
        <v>6</v>
      </c>
      <c r="C685" t="str">
        <f t="shared" si="20"/>
        <v>EMSG:Correct "Business Insurance Policy Number".  An invalid format has been entered.  The Business Insurance policy number must be XXX alphanumeric characters. Ex. GXXX;STRACE:has been entered.  The Business Insurance policy number must be XXX alphanumer</v>
      </c>
      <c r="D685" s="3">
        <f t="shared" si="21"/>
        <v>1</v>
      </c>
    </row>
    <row r="686" spans="1:4" ht="29" x14ac:dyDescent="0.35">
      <c r="A686" s="4" t="s">
        <v>1313</v>
      </c>
      <c r="B686">
        <v>6</v>
      </c>
      <c r="C686" t="str">
        <f t="shared" si="20"/>
        <v>EMSG:Database bean version conflict : XXXSTRACE:Dat Nguyen at XXX/XXX/XXX XXX:XXX AM. Please cancel and retry your change.
	at deployment.pc.war//com.guidewire.pl.system.database.DatabaseChangedBeanWriter.createConcurrentDataChangeException(DatabaseChange</v>
      </c>
      <c r="D686" s="3">
        <f t="shared" si="21"/>
        <v>1</v>
      </c>
    </row>
    <row r="687" spans="1:4" ht="29" x14ac:dyDescent="0.35">
      <c r="A687" s="4" t="s">
        <v>1314</v>
      </c>
      <c r="B687">
        <v>6</v>
      </c>
      <c r="C687" t="str">
        <f t="shared" si="20"/>
        <v>EMSG:Dwelling at XXXSTRACE:XXX STEINBECK AVE UNIT B, STEVENSON RANCH, CA: $XXX,XXX All Perils on Deductibles is no longer available and has been removed. Please enter a new value.
	at gw.api.extension.PCExtensionInterfacesMapper$block_XXX_.invoke(PCExtens</v>
      </c>
      <c r="D687" s="3">
        <f t="shared" si="21"/>
        <v>1</v>
      </c>
    </row>
    <row r="688" spans="1:4" x14ac:dyDescent="0.35">
      <c r="A688" t="s">
        <v>667</v>
      </c>
      <c r="B688">
        <v>6</v>
      </c>
      <c r="C688" t="str">
        <f t="shared" si="20"/>
        <v>EMSG:Effective ranges overlap for DriverSignal_Ext with BranchID XXX and with FixedID XXXSTRACE:deployment.pc.war//com.guidewire.pl.system.entity.proxy.EffDatedBeanProxy.checkForOverlaps(EffDatedBeanProxy.java:XXXSTRACERAW:-</v>
      </c>
      <c r="D688" s="3">
        <f t="shared" si="21"/>
        <v>1</v>
      </c>
    </row>
    <row r="689" spans="1:4" x14ac:dyDescent="0.35">
      <c r="A689" t="s">
        <v>587</v>
      </c>
      <c r="B689">
        <v>6</v>
      </c>
      <c r="C689" t="str">
        <f t="shared" si="20"/>
        <v>EMSG:Exception during Rating ExecuteIterationsMultiThreaded : gw.api.rating.RatingException: Unable to compute PI Tier; there are no prior insurance reportsSTRACE:com.farmers.rating.common.flow.iteration.impl.IterationsExecutorImpl$block_XXX_.invoke(Itera</v>
      </c>
      <c r="D689" s="3">
        <f t="shared" si="21"/>
        <v>1</v>
      </c>
    </row>
    <row r="690" spans="1:4" x14ac:dyDescent="0.35">
      <c r="A690" t="s">
        <v>398</v>
      </c>
      <c r="B690">
        <v>6</v>
      </c>
      <c r="C690" t="str">
        <f t="shared" si="20"/>
        <v>EMSG:Failed to close the connectionSTRACE:com.farmers.integ.framework.job.automatejob.AutomatedJob.executeJob(AutomatedJob.gs:XXXSTRACERAW:-</v>
      </c>
      <c r="D690" s="3">
        <f t="shared" si="21"/>
        <v>1</v>
      </c>
    </row>
    <row r="691" spans="1:4" x14ac:dyDescent="0.35">
      <c r="A691" t="s">
        <v>1315</v>
      </c>
      <c r="B691">
        <v>6</v>
      </c>
      <c r="C691" t="str">
        <f t="shared" si="20"/>
        <v>EMSG:Failed to find Driver Order Class Code for SUMIT KUMARSTRACE:com.farmers.lob.pa.driverassignment.DriverAssignmentDriver.setDriverOrderData(DriverAssignmentDriver.gs:XXXSTRACERAW:-</v>
      </c>
      <c r="D691" s="3">
        <f t="shared" si="21"/>
        <v>1</v>
      </c>
    </row>
    <row r="692" spans="1:4" x14ac:dyDescent="0.35">
      <c r="A692" t="s">
        <v>1316</v>
      </c>
      <c r="B692">
        <v>6</v>
      </c>
      <c r="C692" t="str">
        <f t="shared" si="20"/>
        <v>EMSG:For eligible contact Ireion Monroe-benjamin credit score is null. Please make sure credit is orderedSTRACE:com.farmers.config.common.credit.CreditScoreHelper.populateRatingCreditDTO(CreditScoreHelper.gs:XXXSTRACERAW:-</v>
      </c>
      <c r="D692" s="3">
        <f t="shared" si="21"/>
        <v>1</v>
      </c>
    </row>
    <row r="693" spans="1:4" x14ac:dyDescent="0.35">
      <c r="A693" t="s">
        <v>571</v>
      </c>
      <c r="B693">
        <v>6</v>
      </c>
      <c r="C693" t="str">
        <f t="shared" si="20"/>
        <v>EMSG:IID call returned with Transaction Status Failed.STRACE:com.farmers.edge.capabilities.quote.adpf.ADPFPlugin.callIID(ADPFPlugin.gs:XXXSTRACERAW:-</v>
      </c>
      <c r="D693" s="3">
        <f t="shared" si="21"/>
        <v>1</v>
      </c>
    </row>
    <row r="694" spans="1:4" x14ac:dyDescent="0.35">
      <c r="A694" t="s">
        <v>438</v>
      </c>
      <c r="B694">
        <v>6</v>
      </c>
      <c r="C694" t="str">
        <f t="shared" si="20"/>
        <v>EMSG:LUW Policy Change Job XXX: Enter a Carrier Name. It is required for an underlying policy.STRACE:gw.acc.luw.LUWExceptionHelper.processUserDisplayableException(LUWExceptionHelper.gs:XXXSTRACERAW:-</v>
      </c>
      <c r="D694" s="3">
        <f t="shared" si="21"/>
        <v>1</v>
      </c>
    </row>
    <row r="695" spans="1:4" ht="43.5" x14ac:dyDescent="0.35">
      <c r="A695" s="4" t="s">
        <v>642</v>
      </c>
      <c r="B695">
        <v>6</v>
      </c>
      <c r="C695" t="str">
        <f t="shared" si="20"/>
        <v>EMSG:LUW Policy Change Job XXX: The object you are trying to update was XXXSTRACE:XXX/XXX/XXX XXX:XXX AM. Please cancel and retry your change.
The object you are trying to update was 'Policy:pc:XXX - pc:XXX', and it was changed by System at XXX/XXX/XXX XX</v>
      </c>
      <c r="D695" s="3">
        <f t="shared" si="21"/>
        <v>1</v>
      </c>
    </row>
    <row r="696" spans="1:4" ht="29" x14ac:dyDescent="0.35">
      <c r="A696" s="4" t="s">
        <v>654</v>
      </c>
      <c r="B696">
        <v>6</v>
      </c>
      <c r="C696" t="str">
        <f t="shared" si="20"/>
        <v>EMSG:LUW Policy Change Job XXX: The object you are trying to update was XXXSTRACE:XXX/XXX/XXX XXX:XXX PM. Please cancel and retry your change.
	at gw.acc.luw.LUWExceptionHelper.processUserDisplayableException(LUWExceptionHelper.gs:XXXSTRACERAW:-</v>
      </c>
      <c r="D696" s="3">
        <f t="shared" si="21"/>
        <v>1</v>
      </c>
    </row>
    <row r="697" spans="1:4" x14ac:dyDescent="0.35">
      <c r="A697" t="s">
        <v>763</v>
      </c>
      <c r="B697">
        <v>6</v>
      </c>
      <c r="C697" t="str">
        <f t="shared" si="20"/>
        <v>EMSG:Provide date of current residence on the Risk Analysis - Insurance Score tab. This is required to proceed.STRACE:edge.capabilities.quote.submission.quoting.util.SubmissionUnderwritingIssuesUtil.checkSideBySideProcessExceptions(SubmissionUnderwritingI</v>
      </c>
      <c r="D697" s="3">
        <f t="shared" si="21"/>
        <v>1</v>
      </c>
    </row>
    <row r="698" spans="1:4" x14ac:dyDescent="0.35">
      <c r="A698" t="s">
        <v>1317</v>
      </c>
      <c r="B698">
        <v>6</v>
      </c>
      <c r="C698" t="str">
        <f t="shared" si="20"/>
        <v>EMSG:Re-enter "License #". Duplicate License Number entered for the following Drivers MICHAEL SAPONESTRACE:edge.capabilities.quote.submission.quoting.util.SubmissionUnderwritingIssuesUtil.checkVerifyRateExceptions(SubmissionUnderwritingIssuesUtil.gs:XXXST</v>
      </c>
      <c r="D698" s="3">
        <f t="shared" si="21"/>
        <v>1</v>
      </c>
    </row>
    <row r="699" spans="1:4" x14ac:dyDescent="0.35">
      <c r="A699" t="s">
        <v>1318</v>
      </c>
      <c r="B699">
        <v>6</v>
      </c>
      <c r="C699" t="str">
        <f t="shared" si="20"/>
        <v>EMSG:Re-enter "License #". Duplicate License Number entered for the following Drivers PAUL DuongSTRACE:edge.capabilities.quote.submission.quoting.util.SubmissionUnderwritingIssuesUtil.checkVerifyRateExceptions(SubmissionUnderwritingIssuesUtil.gs:XXXSTRACE</v>
      </c>
      <c r="D699" s="3">
        <f t="shared" si="21"/>
        <v>1</v>
      </c>
    </row>
    <row r="700" spans="1:4" x14ac:dyDescent="0.35">
      <c r="A700" t="s">
        <v>858</v>
      </c>
      <c r="B700">
        <v>6</v>
      </c>
      <c r="C700" t="str">
        <f t="shared" si="20"/>
        <v>EMSG:Remove either Split Wind/Hail deductible OR Split Hurricane deductible. These coverage terms are mutually exclusive.STRACE:edge.capabilities.quote.submission.quoting.util.SubmissionUnderwritingIssuesUtil.checkSideBySideProcessExceptions(SubmissionUnd</v>
      </c>
      <c r="D700" s="3">
        <f t="shared" si="21"/>
        <v>1</v>
      </c>
    </row>
    <row r="701" spans="1:4" x14ac:dyDescent="0.35">
      <c r="A701" t="s">
        <v>302</v>
      </c>
      <c r="B701">
        <v>6</v>
      </c>
      <c r="C701" t="str">
        <f t="shared" si="20"/>
        <v>EMSG:Select XXX as the Primary Driver on at least one vehicle by reviewing this transaction and associated transaction(s) XXXSTRACE:least one vehicle by reviewing this transaction and associated transaction(sSTRACERAW:-</v>
      </c>
      <c r="D701" s="3">
        <f t="shared" si="21"/>
        <v>1</v>
      </c>
    </row>
    <row r="702" spans="1:4" ht="101.5" x14ac:dyDescent="0.35">
      <c r="A702" s="4" t="s">
        <v>1319</v>
      </c>
      <c r="B702">
        <v>6</v>
      </c>
      <c r="C702" t="str">
        <f t="shared" si="20"/>
        <v>EMSG:Select XXX as the Primary Driver on at least one vehicle. Since the number of vehicles is greater than the number of driversSTRACE:least one vehicle. Since the number of vehicles is greater than the number of drivers, each driver must be a Primary Dr</v>
      </c>
      <c r="D702" s="3">
        <f t="shared" si="21"/>
        <v>1</v>
      </c>
    </row>
    <row r="703" spans="1:4" x14ac:dyDescent="0.35">
      <c r="A703" t="s">
        <v>1320</v>
      </c>
      <c r="B703">
        <v>6</v>
      </c>
      <c r="C703" t="str">
        <f t="shared" si="20"/>
        <v>EMSG:The value "XXX KIM LANESTRACE:deployment.pc.war//com.guidewire.pl.metadata.datatypeXXX.fieldvalidator.FieldValidatorInfo.validateFormat(FieldValidatorInfo.java:XXXSTRACERAW:-</v>
      </c>
      <c r="D703" s="3">
        <f t="shared" si="21"/>
        <v>1</v>
      </c>
    </row>
    <row r="704" spans="1:4" x14ac:dyDescent="0.35">
      <c r="A704" t="s">
        <v>690</v>
      </c>
      <c r="B704">
        <v>6</v>
      </c>
      <c r="C704" t="str">
        <f t="shared" si="20"/>
        <v>EMSG:The value XXX is not formatted correctly for the field "FFQQuoteNumber_Ext": Exceeds the maximum length of XXX characters (XXX)STRACE:deployment.pc.war//gw.datatype.impl.StringConstraintsHandlerBase.validateStringLength(StringConstraintsHandlerBase.j</v>
      </c>
      <c r="D704" s="3">
        <f t="shared" si="21"/>
        <v>1</v>
      </c>
    </row>
    <row r="705" spans="1:4" x14ac:dyDescent="0.35">
      <c r="A705" t="s">
        <v>1321</v>
      </c>
      <c r="B705">
        <v>6</v>
      </c>
      <c r="C705" t="str">
        <f t="shared" si="20"/>
        <v>EMSG:The value XXX is not formatted correctly for the field "LastName": Exceeds the maximum length of XXX characters (XXX)STRACE:deployment.pc.war//gw.datatype.impl.StringConstraintsHandlerBase.validateStringLength(StringConstraintsHandlerBase.java:XXXSTR</v>
      </c>
      <c r="D705" s="3">
        <f t="shared" si="21"/>
        <v>1</v>
      </c>
    </row>
    <row r="706" spans="1:4" x14ac:dyDescent="0.35">
      <c r="A706" t="s">
        <v>401</v>
      </c>
      <c r="B706">
        <v>6</v>
      </c>
      <c r="C706" t="str">
        <f t="shared" ref="C706:C769" si="22">LEFT(A706,255)</f>
        <v>EMSG:Try again later. Unable to retrieve Prior Insurance Auto Data Prefill (PIADPF) report.STRACE:com.farmers.config.pa.adpf.PIADPFReportHelper.startProcessing(PIADPFReportHelper.gs:XXXSTRACERAW:-</v>
      </c>
      <c r="D706" s="3">
        <f t="shared" ref="D706:D769" si="23">IF(AND((B706/10)&lt;1,(B706/10)&gt;0),1,(B706/10)*130%)</f>
        <v>1</v>
      </c>
    </row>
    <row r="707" spans="1:4" x14ac:dyDescent="0.35">
      <c r="A707" t="s">
        <v>515</v>
      </c>
      <c r="B707">
        <v>6</v>
      </c>
      <c r="C707" t="str">
        <f t="shared" si="22"/>
        <v>EMSG:Unacceptable Risk. Unable to complete the quote. Properties with OTHER BUSINESS OPERATIONS are not eligible for coverage.;STRACE:edge.capabilities.quote.submission.quoting.util.SubmissionUnderwritingIssuesUtil.checkVerifyRateExceptions(SubmissionUnde</v>
      </c>
      <c r="D707" s="3">
        <f t="shared" si="23"/>
        <v>1</v>
      </c>
    </row>
    <row r="708" spans="1:4" x14ac:dyDescent="0.35">
      <c r="A708" t="s">
        <v>55</v>
      </c>
      <c r="B708">
        <v>6</v>
      </c>
      <c r="C708" t="str">
        <f t="shared" si="22"/>
        <v>EMSG:Unexpected character ('&lt;' (code XXX)): expected a valid value (JSON StringSTRACE:[Source: (StringSTRACERAW:-</v>
      </c>
      <c r="D708" s="3">
        <f t="shared" si="23"/>
        <v>1</v>
      </c>
    </row>
    <row r="709" spans="1:4" x14ac:dyDescent="0.35">
      <c r="A709" t="s">
        <v>1322</v>
      </c>
      <c r="B709">
        <v>6</v>
      </c>
      <c r="C709" t="str">
        <f t="shared" si="22"/>
        <v>EMSG:Update Signal Phone number for Joe Roundy. Each driver enrolled in the Signal program needs a unique cell phone number.;Update Signal Phone number for Brenda Roundy. Each driver enrolled in the Signal program needs a unique cell phone number.;STRACE:</v>
      </c>
      <c r="D709" s="3">
        <f t="shared" si="23"/>
        <v>1</v>
      </c>
    </row>
    <row r="710" spans="1:4" x14ac:dyDescent="0.35">
      <c r="A710" t="s">
        <v>1323</v>
      </c>
      <c r="B710">
        <v>6</v>
      </c>
      <c r="C710" t="str">
        <f t="shared" si="22"/>
        <v>EMSG:Update Signal Phone number for Samantha Doti. Each driver enrolled in the Signal program needs a unique cell phone number.;Update Signal Phone number for Zak Bertolino. Each driver enrolled in the Signal program needs a unique cell phone number.;STRA</v>
      </c>
      <c r="D710" s="3">
        <f t="shared" si="23"/>
        <v>1</v>
      </c>
    </row>
    <row r="711" spans="1:4" x14ac:dyDescent="0.35">
      <c r="A711" t="s">
        <v>1324</v>
      </c>
      <c r="B711">
        <v>6</v>
      </c>
      <c r="C711" t="str">
        <f t="shared" si="22"/>
        <v>EMSG:Wildfire Mitigation property-level factor requires validation by an inspection. Please uncheck the Wildfire Mitigation property-level field to continue without the factor.STRACE:edge.capabilities.quote.submission.quoting.util.SubmissionUnderwritingIs</v>
      </c>
      <c r="D711" s="3">
        <f t="shared" si="23"/>
        <v>1</v>
      </c>
    </row>
    <row r="712" spans="1:4" ht="29" x14ac:dyDescent="0.35">
      <c r="A712" s="4" t="s">
        <v>644</v>
      </c>
      <c r="B712">
        <v>6</v>
      </c>
      <c r="C712" t="str">
        <f t="shared" si="22"/>
        <v>EMSG:XXX has exceeded the accident and/or violation threshold for eligibility in this program.STRACE:has exceeded the accident and/or violation threshold for eligibility in this program.
	at gw.job.QuoteProcess.requestQuote(QuoteProcess.gs:XXXSTRACERAW:-</v>
      </c>
      <c r="D712" s="3">
        <f t="shared" si="23"/>
        <v>1</v>
      </c>
    </row>
    <row r="713" spans="1:4" x14ac:dyDescent="0.35">
      <c r="A713" t="s">
        <v>517</v>
      </c>
      <c r="B713">
        <v>6</v>
      </c>
      <c r="C713" t="str">
        <f t="shared" si="22"/>
        <v>EMSG:class java.util.concurrent.ExecutionException cannot be cast to class edge.validation.EdgeValidationException (java.util.concurrent.ExecutionException is in module java.base of loader 'bootstrap'; edge.validation.EdgeValidationException is in unnamed</v>
      </c>
      <c r="D713" s="3">
        <f t="shared" si="23"/>
        <v>1</v>
      </c>
    </row>
    <row r="714" spans="1:4" x14ac:dyDescent="0.35">
      <c r="A714" t="s">
        <v>566</v>
      </c>
      <c r="B714">
        <v>6</v>
      </c>
      <c r="C714" t="str">
        <f t="shared" si="22"/>
        <v>EMSG:java.lang.IllegalStateException: Attempt to access bean of type "PolicyDriver" id=XXX with a null bundleSTRACE:deployment.pc.war//com.guidewire.pl.web.widget.Widget.getVisibleValue(Widget.java:XXXSTRACERAW:-</v>
      </c>
      <c r="D714" s="3">
        <f t="shared" si="23"/>
        <v>1</v>
      </c>
    </row>
    <row r="715" spans="1:4" x14ac:dyDescent="0.35">
      <c r="A715" t="s">
        <v>251</v>
      </c>
      <c r="B715">
        <v>6</v>
      </c>
      <c r="C715" t="str">
        <f t="shared" si="22"/>
        <v>EMSG:java.lang.RuntimeException: javax.net.ssl.SSLException: Couldn't kickstart handshakingSTRACE:deployment.pc.war//gw.internal.xml.ws.WsdlPortImpl.invoke(WsdlPortImpl.java:XXXSTRACERAW:-</v>
      </c>
      <c r="D715" s="3">
        <f t="shared" si="23"/>
        <v>1</v>
      </c>
    </row>
    <row r="716" spans="1:4" x14ac:dyDescent="0.35">
      <c r="A716" t="s">
        <v>847</v>
      </c>
      <c r="B716">
        <v>6</v>
      </c>
      <c r="C716" t="str">
        <f t="shared" si="22"/>
        <v>EMSG:jms/GWPC_QCF_LARGE -- service jboss.naming.context.java.jboss.jms.GWPC_QCF_LARGESTRACE:org.jboss.as.naming@XXX.XXX.XXX.GA-redhatXXX//org.jboss.as.naming.ServiceBasedNamingStore.lookup(ServiceBasedNamingStore.java:XXXSTRACERAW:-</v>
      </c>
      <c r="D716" s="3">
        <f t="shared" si="23"/>
        <v>1</v>
      </c>
    </row>
    <row r="717" spans="1:4" x14ac:dyDescent="0.35">
      <c r="A717" t="s">
        <v>324</v>
      </c>
      <c r="B717">
        <v>5</v>
      </c>
      <c r="C717" t="str">
        <f t="shared" si="22"/>
        <v>EMSG:, AOR=XXXSTRACE:com.farmers.config.pa.adpf.ADPFDriverdupingProcess.truncate(ADPFDriverdupingProcess.gs:XXXSTRACERAW:-</v>
      </c>
      <c r="D717" s="3">
        <f t="shared" si="23"/>
        <v>1</v>
      </c>
    </row>
    <row r="718" spans="1:4" x14ac:dyDescent="0.35">
      <c r="A718" t="s">
        <v>332</v>
      </c>
      <c r="B718">
        <v>5</v>
      </c>
      <c r="C718" t="str">
        <f t="shared" si="22"/>
        <v>EMSG:, AOR=XXXSTRACE:com.farmers.integ.multireport.helper.ThirdPartyReportExperienceAPIHelper.processAPLUSResponse(ThirdPartyReportExperienceAPIHelper.gs:XXXSTRACERAW:-</v>
      </c>
      <c r="D718" s="3">
        <f t="shared" si="23"/>
        <v>1</v>
      </c>
    </row>
    <row r="719" spans="1:4" x14ac:dyDescent="0.35">
      <c r="A719" t="s">
        <v>540</v>
      </c>
      <c r="B719">
        <v>5</v>
      </c>
      <c r="C719" t="str">
        <f t="shared" si="22"/>
        <v>EMSG:, AOR=XXXSTRACE:gw.acc.luw.LUWUtil$block_XXX_.invoke(LUWUtil.gs:XXXSTRACERAW:-</v>
      </c>
      <c r="D719" s="3">
        <f t="shared" si="23"/>
        <v>1</v>
      </c>
    </row>
    <row r="720" spans="1:4" x14ac:dyDescent="0.35">
      <c r="A720" t="s">
        <v>671</v>
      </c>
      <c r="B720">
        <v>5</v>
      </c>
      <c r="C720" t="str">
        <f t="shared" si="22"/>
        <v>EMSG:-STRACE:-STRACERAW:com.guidewire.pl.system.entity.proxy.EffectiveDateFinder.getFromBundle(EffectiveDateFinder.java:XXX</v>
      </c>
      <c r="D720" s="3">
        <f t="shared" si="23"/>
        <v>1</v>
      </c>
    </row>
    <row r="721" spans="1:4" x14ac:dyDescent="0.35">
      <c r="A721" t="s">
        <v>804</v>
      </c>
      <c r="B721">
        <v>5</v>
      </c>
      <c r="C721" t="str">
        <f t="shared" si="22"/>
        <v>EMSG:-STRACE:-STRACERAW:com.guidewire.pl.web.controller.WidgetFinder.getWidgetsByRenderIds(WidgetFinder.java:XXX</v>
      </c>
      <c r="D721" s="3">
        <f t="shared" si="23"/>
        <v>1</v>
      </c>
    </row>
    <row r="722" spans="1:4" x14ac:dyDescent="0.35">
      <c r="A722" t="s">
        <v>500</v>
      </c>
      <c r="B722">
        <v>5</v>
      </c>
      <c r="C722" t="str">
        <f t="shared" si="22"/>
        <v>EMSG:-STRACE:-STRACERAW:deployment.pc.war//gw.pl.persistence.core.effdate.EffDatedKey.&lt;init&gt;(EffDatedKey.java:XXX</v>
      </c>
      <c r="D722" s="3">
        <f t="shared" si="23"/>
        <v>1</v>
      </c>
    </row>
    <row r="723" spans="1:4" x14ac:dyDescent="0.35">
      <c r="A723" t="s">
        <v>478</v>
      </c>
      <c r="B723">
        <v>5</v>
      </c>
      <c r="C723" t="str">
        <f t="shared" si="22"/>
        <v>EMSG:-STRACE:-STRACERAW:gw.policy.PolicyPeriodBaseEnhancement.getSubmissionProcess(PolicyPeriodBaseEnhancement.gsx:XXX</v>
      </c>
      <c r="D723" s="3">
        <f t="shared" si="23"/>
        <v>1</v>
      </c>
    </row>
    <row r="724" spans="1:4" x14ac:dyDescent="0.35">
      <c r="A724" t="s">
        <v>1147</v>
      </c>
      <c r="B724">
        <v>5</v>
      </c>
      <c r="C724" t="str">
        <f t="shared" si="22"/>
        <v>EMSG:-STRACE:-STRACERAW:gwservices.pc.dm.gxmig.shared.product.AbstractCovTermPopulator.populateCovTerm(AbstractCovTermPopulator.gs:XXX</v>
      </c>
      <c r="D724" s="3">
        <f t="shared" si="23"/>
        <v>1</v>
      </c>
    </row>
    <row r="725" spans="1:4" x14ac:dyDescent="0.35">
      <c r="A725" t="s">
        <v>1325</v>
      </c>
      <c r="B725">
        <v>5</v>
      </c>
      <c r="C725" t="str">
        <f t="shared" si="22"/>
        <v>EMSG:-STRACE:-STRACERAW:org.apache.commons.fileupload.FileUploadBase.parseRequest(FileUploadBase.java:XXX</v>
      </c>
      <c r="D725" s="3">
        <f t="shared" si="23"/>
        <v>1</v>
      </c>
    </row>
    <row r="726" spans="1:4" x14ac:dyDescent="0.35">
      <c r="A726" t="s">
        <v>359</v>
      </c>
      <c r="B726">
        <v>5</v>
      </c>
      <c r="C726" t="str">
        <f t="shared" si="22"/>
        <v>EMSG:-STRACE:-STRACERAW:pcfc.expressions.RatingCumulDetailsPanelSet_HomeownersLine_HOEExpressions$DetailViewPanelExpressionsImpl.initialValue_XXX(RatingCumulDetailsPanelSet_HomeownersLine_HOEExpressions.gs:XXX</v>
      </c>
      <c r="D726" s="3">
        <f t="shared" si="23"/>
        <v>1</v>
      </c>
    </row>
    <row r="727" spans="1:4" x14ac:dyDescent="0.35">
      <c r="A727" t="s">
        <v>353</v>
      </c>
      <c r="B727">
        <v>5</v>
      </c>
      <c r="C727" t="str">
        <f t="shared" si="22"/>
        <v>EMSG:-STRACE:-STRACERAW:pcfc.expressions.RatingCumulDetailsPanelSet_HomeownersLine_HOEExpressions$RatingCumulDetailsPanelSetExpressionsImpl.initialValue_XXX(RatingCumulDetailsPanelSet_HomeownersLine_HOEExpressions.gs:XXX</v>
      </c>
      <c r="D727" s="3">
        <f t="shared" si="23"/>
        <v>1</v>
      </c>
    </row>
    <row r="728" spans="1:4" x14ac:dyDescent="0.35">
      <c r="A728" t="s">
        <v>1326</v>
      </c>
      <c r="B728">
        <v>5</v>
      </c>
      <c r="C728" t="str">
        <f t="shared" si="22"/>
        <v>EMSG:-STRACE:com.farmers.config.ho.productmodel.CoveragesValidation_Ext.validateFortifiedRoofUpgradeCovALExt(CoveragesValidation_Ext.gs:XXXSTRACERAW:-</v>
      </c>
      <c r="D728" s="3">
        <f t="shared" si="23"/>
        <v>1</v>
      </c>
    </row>
    <row r="729" spans="1:4" x14ac:dyDescent="0.35">
      <c r="A729" t="s">
        <v>1224</v>
      </c>
      <c r="B729">
        <v>5</v>
      </c>
      <c r="C729" t="str">
        <f t="shared" si="22"/>
        <v>EMSG:-STRACE:com.farmers.config.pup.policyrefresh.pc.PUPPopulatePADTO.setLiabCoverage(PUPPopulatePADTO.gs:XXXSTRACERAW:-</v>
      </c>
      <c r="D729" s="3">
        <f t="shared" si="23"/>
        <v>1</v>
      </c>
    </row>
    <row r="730" spans="1:4" x14ac:dyDescent="0.35">
      <c r="A730" t="s">
        <v>973</v>
      </c>
      <c r="B730">
        <v>5</v>
      </c>
      <c r="C730" t="str">
        <f t="shared" si="22"/>
        <v>EMSG:-STRACE:com.farmers.edge.capabilities.quote.hvq.HighVolumeGatewayQuoteHandler$block_XXX_.invoke(HighVolumeGatewayQuoteHandler.gs:XXXSTRACERAW:-</v>
      </c>
      <c r="D730" s="3">
        <f t="shared" si="23"/>
        <v>1</v>
      </c>
    </row>
    <row r="731" spans="1:4" x14ac:dyDescent="0.35">
      <c r="A731" t="s">
        <v>551</v>
      </c>
      <c r="B731">
        <v>5</v>
      </c>
      <c r="C731" t="str">
        <f t="shared" si="22"/>
        <v>EMSG:-STRACE:deployment.pc.war//com.guidewire.pl.system.database.entitywriter.TableWriterImpl.throwDBDuplicateKeyException(TableWriterImpl.java:XXXSTRACERAW:-</v>
      </c>
      <c r="D731" s="3">
        <f t="shared" si="23"/>
        <v>1</v>
      </c>
    </row>
    <row r="732" spans="1:4" x14ac:dyDescent="0.35">
      <c r="A732" t="s">
        <v>85</v>
      </c>
      <c r="B732">
        <v>5</v>
      </c>
      <c r="C732" t="str">
        <f t="shared" si="22"/>
        <v>EMSG:Attempt to access bean of type "CreditTieringResult_Ext" id=XXX with a null bundleSTRACE:deployment.pc.war//com.guidewire.pl.system.entity.proxy.BeanProxy.checkIsInBundle(BeanProxy.java:XXXSTRACERAW:-</v>
      </c>
      <c r="D732" s="3">
        <f t="shared" si="23"/>
        <v>1</v>
      </c>
    </row>
    <row r="733" spans="1:4" x14ac:dyDescent="0.35">
      <c r="A733" t="s">
        <v>1327</v>
      </c>
      <c r="B733">
        <v>5</v>
      </c>
      <c r="C733" t="str">
        <f t="shared" si="22"/>
        <v>EMSG:Attempt to access bean of type "Jobpolicyperiod" id=XXX with a null bundleSTRACE:deployment.pc.war//com.guidewire.pl.system.entity.proxy.BeanProxy.checkIsInBundle(BeanProxy.java:XXXSTRACERAW:-</v>
      </c>
      <c r="D733" s="3">
        <f t="shared" si="23"/>
        <v>1</v>
      </c>
    </row>
    <row r="734" spans="1:4" x14ac:dyDescent="0.35">
      <c r="A734" t="s">
        <v>397</v>
      </c>
      <c r="B734">
        <v>5</v>
      </c>
      <c r="C734" t="str">
        <f t="shared" si="22"/>
        <v>EMSG:Cannot calculate an age without a date of birth.STRACE:gw.contact.AgeCalculator.getAge(AgeCalculator.gs:XXXSTRACERAW:-</v>
      </c>
      <c r="D734" s="3">
        <f t="shared" si="23"/>
        <v>1</v>
      </c>
    </row>
    <row r="735" spans="1:4" x14ac:dyDescent="0.35">
      <c r="A735" t="s">
        <v>925</v>
      </c>
      <c r="B735">
        <v>5</v>
      </c>
      <c r="C735" t="str">
        <f t="shared" si="22"/>
        <v>EMSG:Character n is neither a decimal digit numberSTRACE:java.base/java.math.BigDecimal.&lt;init&gt;(BigDecimal.java:XXXSTRACERAW:-</v>
      </c>
      <c r="D735" s="3">
        <f t="shared" si="23"/>
        <v>1</v>
      </c>
    </row>
    <row r="736" spans="1:4" x14ac:dyDescent="0.35">
      <c r="A736" t="s">
        <v>1328</v>
      </c>
      <c r="B736">
        <v>5</v>
      </c>
      <c r="C736" t="str">
        <f t="shared" si="22"/>
        <v>EMSG:Comprehensive: The coverage term 'Coverage is' is required. Enter a value.;STRACE:edge.capabilities.quote.submission.quoting.util.SubmissionUnderwritingIssuesUtil.checkVerifyRateExceptions(SubmissionUnderwritingIssuesUtil.gs:XXXSTRACERAW:-</v>
      </c>
      <c r="D736" s="3">
        <f t="shared" si="23"/>
        <v>1</v>
      </c>
    </row>
    <row r="737" spans="1:4" ht="29" x14ac:dyDescent="0.35">
      <c r="A737" s="4" t="s">
        <v>1214</v>
      </c>
      <c r="B737">
        <v>5</v>
      </c>
      <c r="C737" t="str">
        <f t="shared" si="22"/>
        <v>EMSG:Database bean version conflict : XXXSTRACE:Y Ugrasiz at XXX/XXX/XXX XXX:XXX AM. Please cancel and retry your change.
	at deployment.pc.war//com.guidewire.pl.system.database.DatabaseChangedBeanWriter.createConcurrentDataChangeException(DatabaseChanged</v>
      </c>
      <c r="D737" s="3">
        <f t="shared" si="23"/>
        <v>1</v>
      </c>
    </row>
    <row r="738" spans="1:4" x14ac:dyDescent="0.35">
      <c r="A738" t="s">
        <v>423</v>
      </c>
      <c r="B738">
        <v>5</v>
      </c>
      <c r="C738" t="str">
        <f t="shared" si="22"/>
        <v>EMSG:Exception during Rating ExecuteIterationsMultiThreaded : java.util.concurrent.ExecutionException: java.lang.NullPointerExceptionSTRACE:com.farmers.rating.common.flow.iteration.impl.IterationsExecutorImpl$block_XXX_.invoke(IterationsExecutorImpl.gs:XX</v>
      </c>
      <c r="D738" s="3">
        <f t="shared" si="23"/>
        <v>1</v>
      </c>
    </row>
    <row r="739" spans="1:4" x14ac:dyDescent="0.35">
      <c r="A739" t="s">
        <v>1329</v>
      </c>
      <c r="B739">
        <v>5</v>
      </c>
      <c r="C739" t="str">
        <f t="shared" si="22"/>
        <v>EMSG:For eligible contact Marie Heath credit score is null. Please make sure credit is orderedSTRACE:com.farmers.config.common.credit.CreditScoreHelper.populateRatingCreditDTO(CreditScoreHelper.gs:XXXSTRACERAW:-</v>
      </c>
      <c r="D739" s="3">
        <f t="shared" si="23"/>
        <v>1</v>
      </c>
    </row>
    <row r="740" spans="1:4" x14ac:dyDescent="0.35">
      <c r="A740" t="s">
        <v>810</v>
      </c>
      <c r="B740">
        <v>5</v>
      </c>
      <c r="C740" t="str">
        <f t="shared" si="22"/>
        <v>EMSG:HO Desirability Logger| Step XXX.XXX : RiskSegment is either nullSTRACE:-STRACERAW:</v>
      </c>
      <c r="D740" s="3">
        <f t="shared" si="23"/>
        <v>1</v>
      </c>
    </row>
    <row r="741" spans="1:4" x14ac:dyDescent="0.35">
      <c r="A741" t="s">
        <v>811</v>
      </c>
      <c r="B741">
        <v>5</v>
      </c>
      <c r="C741" t="str">
        <f t="shared" si="22"/>
        <v>EMSG:Internal error: bean entity.PolicyPeriod:XXX was not staged for edit.STRACE:deployment.pc.war//com.guidewire.pl.system.bundle.EntityBundleImpl.handleBeanChange(EntityBundleImpl.java:XXXSTRACERAW:-</v>
      </c>
      <c r="D741" s="3">
        <f t="shared" si="23"/>
        <v>1</v>
      </c>
    </row>
    <row r="742" spans="1:4" ht="29" x14ac:dyDescent="0.35">
      <c r="A742" s="4" t="s">
        <v>1105</v>
      </c>
      <c r="B742">
        <v>5</v>
      </c>
      <c r="C742" t="str">
        <f t="shared" si="22"/>
        <v>EMSG:Multiple onsetting costs with same cost key (BillGroup:nullSTRACE:Mar XXX XXX:XXX:XXX PST XXX
  Cost Additional Residence Coverage (cost:XXXSTRACERAW:-</v>
      </c>
      <c r="D742" s="3">
        <f t="shared" si="23"/>
        <v>1</v>
      </c>
    </row>
    <row r="743" spans="1:4" x14ac:dyDescent="0.35">
      <c r="A743" t="s">
        <v>256</v>
      </c>
      <c r="B743">
        <v>5</v>
      </c>
      <c r="C743" t="str">
        <f t="shared" si="22"/>
        <v>EMSG:Personal Auto Line: $XXXSTRACE:gw.api.extension.PCExtensionInterfacesMapper$block_XXX_.invoke(PCExtensionInterfacesMapper.gs:XXXSTRACERAW:-</v>
      </c>
      <c r="D743" s="3">
        <f t="shared" si="23"/>
        <v>1</v>
      </c>
    </row>
    <row r="744" spans="1:4" x14ac:dyDescent="0.35">
      <c r="A744" t="s">
        <v>355</v>
      </c>
      <c r="B744">
        <v>5</v>
      </c>
      <c r="C744" t="str">
        <f t="shared" si="22"/>
        <v>EMSG:Policy is not eligible for new Auto Product due to driver(s) with unacceptable license status. Drivers with an unacceptable license status may be excluded by request in CO.STRACE:com.farmers.config.pa.validator.BrightlineValidator.validateQuoteBright</v>
      </c>
      <c r="D744" s="3">
        <f t="shared" si="23"/>
        <v>1</v>
      </c>
    </row>
    <row r="745" spans="1:4" x14ac:dyDescent="0.35">
      <c r="A745" t="s">
        <v>951</v>
      </c>
      <c r="B745">
        <v>5</v>
      </c>
      <c r="C745" t="str">
        <f t="shared" si="22"/>
        <v>EMSG:PolicyNumber XXX doesn't exist in SpillOver entity of PCSTRACE:com.farmers.integ.coexistence.coexistenceinbound.plugin.CoexistenceInboundStartablePlugin$block_XXX_.invoke(CoexistenceInboundStartablePlugin.gs:XXXSTRACERAW:-</v>
      </c>
      <c r="D745" s="3">
        <f t="shared" si="23"/>
        <v>1</v>
      </c>
    </row>
    <row r="746" spans="1:4" ht="43.5" x14ac:dyDescent="0.35">
      <c r="A746" s="4" t="s">
        <v>1330</v>
      </c>
      <c r="B746">
        <v>5</v>
      </c>
      <c r="C746" t="str">
        <f t="shared" si="22"/>
        <v>EMSG:Slice date XXX outside of range XXX for XXX XXX bean of type PolicyPeriodSTRACE:Jan XXX XXX:XXX:XXX PST XXX outside of range [Thu Jul XXX XXX:XXX:XXX PDT XXX - Sat Jan XXX XXX:XXX:XXX PST XXX] for bean of type PolicyPeriod
	at deployment.pc.war//com.</v>
      </c>
      <c r="D746" s="3">
        <f t="shared" si="23"/>
        <v>1</v>
      </c>
    </row>
    <row r="747" spans="1:4" x14ac:dyDescent="0.35">
      <c r="A747" t="s">
        <v>1331</v>
      </c>
      <c r="B747">
        <v>5</v>
      </c>
      <c r="C747" t="str">
        <f t="shared" si="22"/>
        <v>EMSG:String index out of range: XXXSTRACE:java.base/java.lang.StringLatinXXX.charAt(StringLatinXXX.java:XXXSTRACERAW:-</v>
      </c>
      <c r="D747" s="3">
        <f t="shared" si="23"/>
        <v>1</v>
      </c>
    </row>
    <row r="748" spans="1:4" ht="29" x14ac:dyDescent="0.35">
      <c r="A748" s="4" t="s">
        <v>1332</v>
      </c>
      <c r="B748">
        <v>5</v>
      </c>
      <c r="C748" t="str">
        <f t="shared" si="22"/>
        <v>EMSG:The object you are trying to update was XXXSTRACE:Y Ugrasiz at XXX/XXX/XXX XXX:XXX AM. Please cancel and retry your change.
	at edge.capabilities.quote.submission.GatewayQuoteHandler.handleOrThrowException(GatewayQuoteHandler.gs:XXXSTRACERAW:-</v>
      </c>
      <c r="D748" s="3">
        <f t="shared" si="23"/>
        <v>1</v>
      </c>
    </row>
    <row r="749" spans="1:4" x14ac:dyDescent="0.35">
      <c r="A749" t="s">
        <v>1333</v>
      </c>
      <c r="B749">
        <v>5</v>
      </c>
      <c r="C749" t="str">
        <f t="shared" si="22"/>
        <v>EMSG:Try again later. Equifax credit reporting is unavailable.STRACE:com.farmers.config.common.credit.pup.UMBCreditScoreProcess.createEnterpriseCreditReportData(UMBCreditScoreProcess.gs:XXXSTRACERAW:-</v>
      </c>
      <c r="D749" s="3">
        <f t="shared" si="23"/>
        <v>1</v>
      </c>
    </row>
    <row r="750" spans="1:4" x14ac:dyDescent="0.35">
      <c r="A750" t="s">
        <v>1334</v>
      </c>
      <c r="B750">
        <v>5</v>
      </c>
      <c r="C750" t="str">
        <f t="shared" si="22"/>
        <v>EMSG:Verify Umbrella Policies for Named Insured. Named Insured or spouse already has an active Personal Lines Umbrella policy UXXX with Farmers Insurance Exchange or one of its affiliates.STRACE:com.farmers.config.pup.prefill.PUPPrefillPreProcesser.getPol</v>
      </c>
      <c r="D750" s="3">
        <f t="shared" si="23"/>
        <v>1</v>
      </c>
    </row>
    <row r="751" spans="1:4" x14ac:dyDescent="0.35">
      <c r="A751" t="s">
        <v>214</v>
      </c>
      <c r="B751">
        <v>5</v>
      </c>
      <c r="C751" t="str">
        <f t="shared" si="22"/>
        <v>EMSG:for policy: XXX canStartPolicyChange() has returned error: There is an open rewrite transactionSTRACE:gw.acc.luw.perf.JobCreationHelper.useParentEffectiveDateOrNot(JobCreationHelper.gs:XXXSTRACERAW:-</v>
      </c>
      <c r="D751" s="3">
        <f t="shared" si="23"/>
        <v>1</v>
      </c>
    </row>
    <row r="752" spans="1:4" x14ac:dyDescent="0.35">
      <c r="A752" t="s">
        <v>496</v>
      </c>
      <c r="B752">
        <v>5</v>
      </c>
      <c r="C752" t="str">
        <f t="shared" si="22"/>
        <v>EMSG:warning:entity.xxxUI-ValidationWARNMessagexxxSTRACE:-STRACERAW:documentation will be required to bind. Vendor Name: XXX</v>
      </c>
      <c r="D752" s="3">
        <f t="shared" si="23"/>
        <v>1</v>
      </c>
    </row>
    <row r="753" spans="1:4" x14ac:dyDescent="0.35">
      <c r="A753" t="s">
        <v>1335</v>
      </c>
      <c r="B753">
        <v>4</v>
      </c>
      <c r="C753" t="str">
        <f t="shared" si="22"/>
        <v>EMSG:$XXX Glass Deductible: The coverage term 'Coverage is' is required. Enter a value.;STRACE:edge.capabilities.quote.submission.quoting.util.SubmissionUnderwritingIssuesUtil.checkVerifyRateExceptions(SubmissionUnderwritingIssuesUtil.gs:XXXSTRACERAW:-</v>
      </c>
      <c r="D753" s="3">
        <f t="shared" si="23"/>
        <v>1</v>
      </c>
    </row>
    <row r="754" spans="1:4" x14ac:dyDescent="0.35">
      <c r="A754" t="s">
        <v>1137</v>
      </c>
      <c r="B754">
        <v>4</v>
      </c>
      <c r="C754" t="str">
        <f t="shared" si="22"/>
        <v>EMSG:, AOR=XXXSTRACE:-STRACERAW:Jan XXX XXX:XXX:XXX PST XXX, MSG=Contact Service Operations for assistance at (XXX</v>
      </c>
      <c r="D754" s="3">
        <f t="shared" si="23"/>
        <v>1</v>
      </c>
    </row>
    <row r="755" spans="1:4" x14ac:dyDescent="0.35">
      <c r="A755" t="s">
        <v>864</v>
      </c>
      <c r="B755">
        <v>4</v>
      </c>
      <c r="C755" t="str">
        <f t="shared" si="22"/>
        <v>EMSG:, AOR=XXXSTRACE:com.farmers.config.common.mdm.MDMProcess.hasMatchingAddress(MDMProcess.gs:XXXSTRACERAW:-</v>
      </c>
      <c r="D755" s="3">
        <f t="shared" si="23"/>
        <v>1</v>
      </c>
    </row>
    <row r="756" spans="1:4" x14ac:dyDescent="0.35">
      <c r="A756" t="s">
        <v>402</v>
      </c>
      <c r="B756">
        <v>4</v>
      </c>
      <c r="C756" t="str">
        <f t="shared" si="22"/>
        <v>EMSG:, AOR=XXXSTRACE:com.farmers.config.pa.adpf.ADPFReportHelper.orderReportAndFlood(ADPFReportHelper.gs:XXXSTRACERAW:-</v>
      </c>
      <c r="D756" s="3">
        <f t="shared" si="23"/>
        <v>1</v>
      </c>
    </row>
    <row r="757" spans="1:4" x14ac:dyDescent="0.35">
      <c r="A757" t="s">
        <v>789</v>
      </c>
      <c r="B757">
        <v>4</v>
      </c>
      <c r="C757" t="str">
        <f t="shared" si="22"/>
        <v>EMSG:, AOR=XXXSTRACE:com.farmers.rating.ho.info.impl.DwellingInfoDto.mapFromEntity(DwellingInfoDto.gs:XXXSTRACERAW:-</v>
      </c>
      <c r="D757" s="3">
        <f t="shared" si="23"/>
        <v>1</v>
      </c>
    </row>
    <row r="758" spans="1:4" x14ac:dyDescent="0.35">
      <c r="A758" t="s">
        <v>1042</v>
      </c>
      <c r="B758">
        <v>4</v>
      </c>
      <c r="C758" t="str">
        <f t="shared" si="22"/>
        <v>EMSG:, AOR=XXXSTRACE:com.farmers.rating.pa.prerating.signalcode.impl.PASignalCodeCalculatorImplVXXX.calculateSignalFactors(PASignalCodeCalculatorImplVXXX.gs:XXXSTRACERAW:-</v>
      </c>
      <c r="D758" s="3">
        <f t="shared" si="23"/>
        <v>1</v>
      </c>
    </row>
    <row r="759" spans="1:4" x14ac:dyDescent="0.35">
      <c r="A759" t="s">
        <v>830</v>
      </c>
      <c r="B759">
        <v>4</v>
      </c>
      <c r="C759" t="str">
        <f t="shared" si="22"/>
        <v>EMSG:, AOR=XXXSTRACE:deployment.pc.war//com.guidewire.pl.system.integration.messaging.events.MessageGenerationContext$XXX.apply(MessageGenerationContext.java:XXXSTRACERAW:-</v>
      </c>
      <c r="D759" s="3">
        <f t="shared" si="23"/>
        <v>1</v>
      </c>
    </row>
    <row r="760" spans="1:4" x14ac:dyDescent="0.35">
      <c r="A760" t="s">
        <v>782</v>
      </c>
      <c r="B760">
        <v>4</v>
      </c>
      <c r="C760" t="str">
        <f t="shared" si="22"/>
        <v>EMSG:, AOR=XXXSTRACE:gw.acc.luw.rules.LUWCEADetailsSyncProcessor.populateRiskAddress(LUWCEADetailsSyncProcessor.gs:XXXSTRACERAW:-</v>
      </c>
      <c r="D760" s="3">
        <f t="shared" si="23"/>
        <v>1</v>
      </c>
    </row>
    <row r="761" spans="1:4" x14ac:dyDescent="0.35">
      <c r="A761" t="s">
        <v>783</v>
      </c>
      <c r="B761">
        <v>4</v>
      </c>
      <c r="C761" t="str">
        <f t="shared" si="22"/>
        <v>EMSG:, AOR=XXXSTRACE:gw.lob.pa.PAPolicyLineMethods.handleGoodDriverExceptionForCompRater(PAPolicyLineMethods.gs:XXXSTRACERAW:-</v>
      </c>
      <c r="D761" s="3">
        <f t="shared" si="23"/>
        <v>1</v>
      </c>
    </row>
    <row r="762" spans="1:4" x14ac:dyDescent="0.35">
      <c r="A762" t="s">
        <v>1336</v>
      </c>
      <c r="B762">
        <v>4</v>
      </c>
      <c r="C762" t="str">
        <f t="shared" si="22"/>
        <v>EMSG:-STRACE:-STRACERAW:Jan XXX XXX:XXX:XXX PST XXX, MSG=HTTP POST on resource 'https://fnwl-chl-prodXXX-lb.farmerslife.com:XXX/eis-fnwl-lis-eapi-prodXXX/api/vXXX/quotes/XXX_XXX' failed: internal server error (XXX</v>
      </c>
      <c r="D762" s="3">
        <f t="shared" si="23"/>
        <v>1</v>
      </c>
    </row>
    <row r="763" spans="1:4" x14ac:dyDescent="0.35">
      <c r="A763" t="s">
        <v>997</v>
      </c>
      <c r="B763">
        <v>4</v>
      </c>
      <c r="C763" t="str">
        <f t="shared" si="22"/>
        <v>EMSG:-STRACE:-STRACERAW:com.farmers.config.common.enhancements.PolicyPeriodEnhancement.policyLineMappingDPJ(PolicyPeriodEnhancement.gsx:XXX</v>
      </c>
      <c r="D763" s="3">
        <f t="shared" si="23"/>
        <v>1</v>
      </c>
    </row>
    <row r="764" spans="1:4" x14ac:dyDescent="0.35">
      <c r="A764" t="s">
        <v>450</v>
      </c>
      <c r="B764">
        <v>4</v>
      </c>
      <c r="C764" t="str">
        <f t="shared" si="22"/>
        <v>EMSG:-STRACE:-STRACERAW:com.farmers.config.ho.enhancement.PolicyPeriodEnhancement.getPropertyScore(PolicyPeriodEnhancement.gsx:XXX</v>
      </c>
      <c r="D764" s="3">
        <f t="shared" si="23"/>
        <v>1</v>
      </c>
    </row>
    <row r="765" spans="1:4" x14ac:dyDescent="0.35">
      <c r="A765" t="s">
        <v>1079</v>
      </c>
      <c r="B765">
        <v>4</v>
      </c>
      <c r="C765" t="str">
        <f t="shared" si="22"/>
        <v>EMSG:-STRACE:-STRACERAW:com.farmers.config.pup.validator.PUPLiabilityValidationHelper$block_XXX_.invoke(PUPLiabilityValidationHelper.gs:XXX</v>
      </c>
      <c r="D765" s="3">
        <f t="shared" si="23"/>
        <v>1</v>
      </c>
    </row>
    <row r="766" spans="1:4" x14ac:dyDescent="0.35">
      <c r="A766" t="s">
        <v>791</v>
      </c>
      <c r="B766">
        <v>4</v>
      </c>
      <c r="C766" t="str">
        <f t="shared" si="22"/>
        <v>EMSG:-STRACE:-STRACERAW:com.farmers.rating.ho.info.impl.DwellingInfoDto.mapFromEntity(DwellingInfoDto.gs:XXX</v>
      </c>
      <c r="D766" s="3">
        <f t="shared" si="23"/>
        <v>1</v>
      </c>
    </row>
    <row r="767" spans="1:4" x14ac:dyDescent="0.35">
      <c r="A767" t="s">
        <v>1337</v>
      </c>
      <c r="B767">
        <v>4</v>
      </c>
      <c r="C767" t="str">
        <f t="shared" si="22"/>
        <v>EMSG:-STRACE:-STRACERAW:com.guidewire.pl.system.cache.RarelyChangingBeanDataCache.ensureIsStarted(RarelyChangingBeanDataCache.java:XXX</v>
      </c>
      <c r="D767" s="3">
        <f t="shared" si="23"/>
        <v>1</v>
      </c>
    </row>
    <row r="768" spans="1:4" x14ac:dyDescent="0.35">
      <c r="A768" t="s">
        <v>1338</v>
      </c>
      <c r="B768">
        <v>4</v>
      </c>
      <c r="C768" t="str">
        <f t="shared" si="22"/>
        <v>EMSG:-STRACE:-STRACERAW:com.guidewire.pl.system.server.config.ConfigParser.parse(ConfigParser.java:XXX</v>
      </c>
      <c r="D768" s="3">
        <f t="shared" si="23"/>
        <v>1</v>
      </c>
    </row>
    <row r="769" spans="1:4" x14ac:dyDescent="0.35">
      <c r="A769" t="s">
        <v>520</v>
      </c>
      <c r="B769">
        <v>4</v>
      </c>
      <c r="C769" t="str">
        <f t="shared" si="22"/>
        <v>EMSG:-STRACE:-STRACERAW:com.guidewire.pl.web.navigation.Location.reValidateModel(Location.java:XXX</v>
      </c>
      <c r="D769" s="3">
        <f t="shared" si="23"/>
        <v>1</v>
      </c>
    </row>
    <row r="770" spans="1:4" x14ac:dyDescent="0.35">
      <c r="A770" t="s">
        <v>706</v>
      </c>
      <c r="B770">
        <v>4</v>
      </c>
      <c r="C770" t="str">
        <f t="shared" ref="C770:C833" si="24">LEFT(A770,255)</f>
        <v>EMSG:-STRACE:-STRACERAW:com.guidewire.pl.web.navigation.autosave.AutoSaveCacheImpl.prepareToRestore(AutoSaveCacheImpl.java:XXX</v>
      </c>
      <c r="D770" s="3">
        <f t="shared" ref="D770:D833" si="25">IF(AND((B770/10)&lt;1,(B770/10)&gt;0),1,(B770/10)*130%)</f>
        <v>1</v>
      </c>
    </row>
    <row r="771" spans="1:4" x14ac:dyDescent="0.35">
      <c r="A771" t="s">
        <v>542</v>
      </c>
      <c r="B771">
        <v>4</v>
      </c>
      <c r="C771" t="str">
        <f t="shared" si="24"/>
        <v>EMSG:-STRACE:-STRACERAW:deployment.pc.war//com.guidewire.pl.metadata.datatypeXXX.fieldvalidator.FieldValidatorInfo.validateFormat(FieldValidatorInfo.java:XXX</v>
      </c>
      <c r="D771" s="3">
        <f t="shared" si="25"/>
        <v>1</v>
      </c>
    </row>
    <row r="772" spans="1:4" x14ac:dyDescent="0.35">
      <c r="A772" t="s">
        <v>806</v>
      </c>
      <c r="B772">
        <v>4</v>
      </c>
      <c r="C772" t="str">
        <f t="shared" si="24"/>
        <v>EMSG:-STRACE:-STRACERAW:edge.jackson.jsonrpc.support.JsonRpcDeserializer.validateRequest(JsonRpcDeserializer.java:XXX</v>
      </c>
      <c r="D772" s="3">
        <f t="shared" si="25"/>
        <v>1</v>
      </c>
    </row>
    <row r="773" spans="1:4" x14ac:dyDescent="0.35">
      <c r="A773" t="s">
        <v>293</v>
      </c>
      <c r="B773">
        <v>4</v>
      </c>
      <c r="C773" t="str">
        <f t="shared" si="24"/>
        <v>EMSG:-STRACE:-STRACERAW:gw.financials.PolicyPeriodTransactionCalculator$block_XXX_.invoke(PolicyPeriodTransactionCalculator.gs:XXX</v>
      </c>
      <c r="D773" s="3">
        <f t="shared" si="25"/>
        <v>1</v>
      </c>
    </row>
    <row r="774" spans="1:4" x14ac:dyDescent="0.35">
      <c r="A774" t="s">
        <v>377</v>
      </c>
      <c r="B774">
        <v>4</v>
      </c>
      <c r="C774" t="str">
        <f t="shared" si="24"/>
        <v>EMSG:-STRACE:-STRACERAW:gw.pl.util.Throw.unless(Throw.java:XXX</v>
      </c>
      <c r="D774" s="3">
        <f t="shared" si="25"/>
        <v>1</v>
      </c>
    </row>
    <row r="775" spans="1:4" x14ac:dyDescent="0.35">
      <c r="A775" t="s">
        <v>1339</v>
      </c>
      <c r="B775">
        <v>4</v>
      </c>
      <c r="C775" t="str">
        <f t="shared" si="24"/>
        <v>EMSG:-STRACE:-STRACERAW:most one result.  Select statement causing error: Values=[Missouri (typekey</v>
      </c>
      <c r="D775" s="3">
        <f t="shared" si="25"/>
        <v>1</v>
      </c>
    </row>
    <row r="776" spans="1:4" x14ac:dyDescent="0.35">
      <c r="A776" t="s">
        <v>419</v>
      </c>
      <c r="B776">
        <v>4</v>
      </c>
      <c r="C776" t="str">
        <f t="shared" si="24"/>
        <v>EMSG:-STRACE:-STRACERAW:most one result.  Select statement causing error: Values=[pc:XXX (publicid</v>
      </c>
      <c r="D776" s="3">
        <f t="shared" si="25"/>
        <v>1</v>
      </c>
    </row>
    <row r="777" spans="1:4" x14ac:dyDescent="0.35">
      <c r="A777" t="s">
        <v>1139</v>
      </c>
      <c r="B777">
        <v>4</v>
      </c>
      <c r="C777" t="str">
        <f t="shared" si="24"/>
        <v>EMSG:-STRACE:-STRACERAW:pcfc.expressions.JobWizardToolbarButtonSet_RenewalExpressions$JobWizardToolbarButtonSetExpressionsImpl.initialValue_XXX(JobWizardToolbarButtonSet_RenewalExpressions.gs:XXX</v>
      </c>
      <c r="D777" s="3">
        <f t="shared" si="25"/>
        <v>1</v>
      </c>
    </row>
    <row r="778" spans="1:4" x14ac:dyDescent="0.35">
      <c r="A778" t="s">
        <v>1190</v>
      </c>
      <c r="B778">
        <v>4</v>
      </c>
      <c r="C778" t="str">
        <f t="shared" si="24"/>
        <v>EMSG:-STRACE:-STRACERAW:qRoot WHERE qRoot.BranchID IN (?,?,?,?,?</v>
      </c>
      <c r="D778" s="3">
        <f t="shared" si="25"/>
        <v>1</v>
      </c>
    </row>
    <row r="779" spans="1:4" x14ac:dyDescent="0.35">
      <c r="A779" t="s">
        <v>1053</v>
      </c>
      <c r="B779">
        <v>4</v>
      </c>
      <c r="C779" t="str">
        <f t="shared" si="24"/>
        <v>EMSG:-STRACE:com.farmers.integ.downstream.policytransaction.PolicyTransactionReprints.buildSubmissionMessage(PolicyTransactionReprints.gs:XXXSTRACERAW:-</v>
      </c>
      <c r="D779" s="3">
        <f t="shared" si="25"/>
        <v>1</v>
      </c>
    </row>
    <row r="780" spans="1:4" x14ac:dyDescent="0.35">
      <c r="A780" t="s">
        <v>421</v>
      </c>
      <c r="B780">
        <v>4</v>
      </c>
      <c r="C780" t="str">
        <f t="shared" si="24"/>
        <v>EMSG:-STRACE:com.farmers.integ.security.community.ace.agent.profile.processor.creator.LicensedStaffUserProfileDataCreateProcessor.create(LicensedStaffUserProfileDataCreateProcessor.gs:XXXSTRACERAW:-</v>
      </c>
      <c r="D780" s="3">
        <f t="shared" si="25"/>
        <v>1</v>
      </c>
    </row>
    <row r="781" spans="1:4" x14ac:dyDescent="0.35">
      <c r="A781" t="s">
        <v>1340</v>
      </c>
      <c r="B781">
        <v>4</v>
      </c>
      <c r="C781" t="str">
        <f t="shared" si="24"/>
        <v>EMSG:-STRACE:edge.capabilities.quote.helper.questionset.util.QuestionSetUtil.update(QuestionSetUtil.gs:XXXSTRACERAW:-</v>
      </c>
      <c r="D781" s="3">
        <f t="shared" si="25"/>
        <v>1</v>
      </c>
    </row>
    <row r="782" spans="1:4" x14ac:dyDescent="0.35">
      <c r="A782" t="s">
        <v>1341</v>
      </c>
      <c r="B782">
        <v>4</v>
      </c>
      <c r="C782" t="str">
        <f t="shared" si="24"/>
        <v>EMSG:-STRACE:java.base/jdk.internal.reflect.NativeConstructorAccessorImpl.newInstanceXXX(Native MethodSTRACERAW:-</v>
      </c>
      <c r="D782" s="3">
        <f t="shared" si="25"/>
        <v>1</v>
      </c>
    </row>
    <row r="783" spans="1:4" x14ac:dyDescent="0.35">
      <c r="A783" t="s">
        <v>1342</v>
      </c>
      <c r="B783">
        <v>4</v>
      </c>
      <c r="C783" t="str">
        <f t="shared" si="24"/>
        <v>EMSG:-STRACE:most one result.  Select statement causing error: Values=[CNO:4263283343058XXX (publicidSTRACERAW:-</v>
      </c>
      <c r="D783" s="3">
        <f t="shared" si="25"/>
        <v>1</v>
      </c>
    </row>
    <row r="784" spans="1:4" ht="29" x14ac:dyDescent="0.35">
      <c r="A784" s="4" t="s">
        <v>1161</v>
      </c>
      <c r="B784">
        <v>4</v>
      </c>
      <c r="C784" t="str">
        <f t="shared" si="24"/>
        <v>EMSG:A report shows that the XXXSTRACE:the  XXX FORD MUSTANG XXXD IXXX has been flagged as having Vehicle History activity.
	at edge.capabilities.quote.submission.quoting.util.SubmissionUnderwritingIssuesUtil.checkSideBySideProcessExceptions(SubmissionUnd</v>
      </c>
      <c r="D784" s="3">
        <f t="shared" si="25"/>
        <v>1</v>
      </c>
    </row>
    <row r="785" spans="1:4" ht="29" x14ac:dyDescent="0.35">
      <c r="A785" s="4" t="s">
        <v>1343</v>
      </c>
      <c r="B785">
        <v>4</v>
      </c>
      <c r="C785" t="str">
        <f t="shared" si="24"/>
        <v>EMSG:A report shows that the XXXSTRACE:the  XXX HYUNDAI SONATA XXXD GLS has been flagged as having Vehicle History activity.
	at edge.capabilities.quote.submission.quoting.util.SubmissionUnderwritingIssuesUtil.checkSideBySideProcessExceptions(SubmissionUn</v>
      </c>
      <c r="D785" s="3">
        <f t="shared" si="25"/>
        <v>1</v>
      </c>
    </row>
    <row r="786" spans="1:4" ht="29" x14ac:dyDescent="0.35">
      <c r="A786" s="4" t="s">
        <v>1344</v>
      </c>
      <c r="B786">
        <v>4</v>
      </c>
      <c r="C786" t="str">
        <f t="shared" si="24"/>
        <v>EMSG:A report shows that the XXXSTRACE:the  XXX MINI COOPER HARDTOP XXXD has been flagged as having Vehicle History activity.
	at edge.capabilities.quote.submission.quoting.util.SubmissionUnderwritingIssuesUtil.checkSideBySideProcessExceptions(SubmissionU</v>
      </c>
      <c r="D786" s="3">
        <f t="shared" si="25"/>
        <v>1</v>
      </c>
    </row>
    <row r="787" spans="1:4" ht="29" x14ac:dyDescent="0.35">
      <c r="A787" s="4" t="s">
        <v>1345</v>
      </c>
      <c r="B787">
        <v>4</v>
      </c>
      <c r="C787" t="str">
        <f t="shared" si="24"/>
        <v>EMSG:A report shows that the XXXSTRACE:the  XXX RAM XXX QUAD PU XXXXXXX SLT has been flagged as having Vehicle History activity.
	at edge.capabilities.quote.submission.quoting.util.SubmissionUnderwritingIssuesUtil.checkSideBySideProcessExceptions(Submissi</v>
      </c>
      <c r="D787" s="3">
        <f t="shared" si="25"/>
        <v>1</v>
      </c>
    </row>
    <row r="788" spans="1:4" x14ac:dyDescent="0.35">
      <c r="A788" t="s">
        <v>1346</v>
      </c>
      <c r="B788">
        <v>4</v>
      </c>
      <c r="C788" t="str">
        <f t="shared" si="24"/>
        <v>EMSG:Attempt to access bean of type "HOTransaction_HOE" id=XXX with a null bundleSTRACE:deployment.pc.war//com.guidewire.pl.system.entity.proxy.BeanProxy.checkIsInBundle(BeanProxy.java:XXXSTRACERAW:-</v>
      </c>
      <c r="D788" s="3">
        <f t="shared" si="25"/>
        <v>1</v>
      </c>
    </row>
    <row r="789" spans="1:4" x14ac:dyDescent="0.35">
      <c r="A789" t="s">
        <v>504</v>
      </c>
      <c r="B789">
        <v>4</v>
      </c>
      <c r="C789" t="str">
        <f t="shared" si="24"/>
        <v>EMSG:Attempt to access bean of type "HomeownersLine_HOE" id=XXX with a null bundleSTRACE:deployment.pc.war//com.guidewire.pl.system.entity.proxy.BeanProxy.checkIsInBundle(BeanProxy.java:XXXSTRACERAW:-</v>
      </c>
      <c r="D789" s="3">
        <f t="shared" si="25"/>
        <v>1</v>
      </c>
    </row>
    <row r="790" spans="1:4" x14ac:dyDescent="0.35">
      <c r="A790" t="s">
        <v>553</v>
      </c>
      <c r="B790">
        <v>4</v>
      </c>
      <c r="C790" t="str">
        <f t="shared" si="24"/>
        <v>EMSG:Attempt to access bean of type "ReportOrderedPerson_Ext" id=XXX with a null bundleSTRACE:deployment.pc.war//com.guidewire.pl.system.entity.proxy.BeanProxy.checkIsInBundle(BeanProxy.java:XXXSTRACERAW:-</v>
      </c>
      <c r="D790" s="3">
        <f t="shared" si="25"/>
        <v>1</v>
      </c>
    </row>
    <row r="791" spans="1:4" x14ac:dyDescent="0.35">
      <c r="A791" t="s">
        <v>530</v>
      </c>
      <c r="B791">
        <v>4</v>
      </c>
      <c r="C791" t="str">
        <f t="shared" si="24"/>
        <v>EMSG:BatchProcessFramework#executeAsBatch - BatchProcess FailedSTRACE:gw.acc.batch.common.BatchProcessFramework.executeAsBatch(BatchProcessFramework.gs:XXXSTRACERAW:-</v>
      </c>
      <c r="D791" s="3">
        <f t="shared" si="25"/>
        <v>1</v>
      </c>
    </row>
    <row r="792" spans="1:4" x14ac:dyDescent="0.35">
      <c r="A792" t="s">
        <v>653</v>
      </c>
      <c r="B792">
        <v>4</v>
      </c>
      <c r="C792" t="str">
        <f t="shared" si="24"/>
        <v>EMSG:Cannot create an answer when the owning object is marked as lockedSTRACE:deployment.pc.war//com.guidewire.pc.domain.question.impl.AnswerContainerImpl.createAnswer(AnswerContainerImpl.java:XXXSTRACERAW:-</v>
      </c>
      <c r="D792" s="3">
        <f t="shared" si="25"/>
        <v>1</v>
      </c>
    </row>
    <row r="793" spans="1:4" ht="29" x14ac:dyDescent="0.35">
      <c r="A793" s="4" t="s">
        <v>1347</v>
      </c>
      <c r="B793">
        <v>4</v>
      </c>
      <c r="C793" t="str">
        <f t="shared" si="24"/>
        <v>EMSG:Correct the Date of Birth or select another PNI. Primary Named Insured must be at least XXX years of age.STRACE:least XXX years of age.
	at edge.capabilities.quote.submission.quoting.util.SubmissionUnderwritingIssuesUtil.checkSideBySideProcessExcepti</v>
      </c>
      <c r="D793" s="3">
        <f t="shared" si="25"/>
        <v>1</v>
      </c>
    </row>
    <row r="794" spans="1:4" ht="29" x14ac:dyDescent="0.35">
      <c r="A794" s="4" t="s">
        <v>628</v>
      </c>
      <c r="B794">
        <v>4</v>
      </c>
      <c r="C794" t="str">
        <f t="shared" si="24"/>
        <v>EMSG:Correct the License # for XXXSTRACE:error
	at gw.job.QuoteProcess.requestQuote(QuoteProcess.gs:XXXSTRACERAW:-</v>
      </c>
      <c r="D794" s="3">
        <f t="shared" si="25"/>
        <v>1</v>
      </c>
    </row>
    <row r="795" spans="1:4" x14ac:dyDescent="0.35">
      <c r="A795" t="s">
        <v>532</v>
      </c>
      <c r="B795">
        <v>4</v>
      </c>
      <c r="C795" t="str">
        <f t="shared" si="24"/>
        <v>EMSG:Create a new submission. Policy is not eligible for Rewrite Full Term as  one or more policy(s) of PNI/Spouse have been cancelled due to non pay.STRACE:gw.job.QuoteProcess.requestQuote(QuoteProcess.gs:XXXSTRACERAW:-</v>
      </c>
      <c r="D795" s="3">
        <f t="shared" si="25"/>
        <v>1</v>
      </c>
    </row>
    <row r="796" spans="1:4" ht="29" x14ac:dyDescent="0.35">
      <c r="A796" s="4" t="s">
        <v>622</v>
      </c>
      <c r="B796">
        <v>4</v>
      </c>
      <c r="C796" t="str">
        <f t="shared" si="24"/>
        <v>EMSG:Database bean version conflict : XXXSTRACE:at XXX/XXX/XXX XXX:XXX AM. Please cancel and retry your change.
	at deployment.pc.war//com.guidewire.pl.system.database.DatabaseChangedBeanWriter.createConcurrentDataChangeException(DatabaseChangedBeanWriter</v>
      </c>
      <c r="D796" s="3">
        <f t="shared" si="25"/>
        <v>1</v>
      </c>
    </row>
    <row r="797" spans="1:4" ht="29" x14ac:dyDescent="0.35">
      <c r="A797" s="4" t="s">
        <v>1348</v>
      </c>
      <c r="B797">
        <v>4</v>
      </c>
      <c r="C797" t="str">
        <f t="shared" si="24"/>
        <v>EMSG:Dwelling at XXXSTRACE:XXX E XXXth Ave, Thornton, CO: XXX% Limit on Extended Replacement Cost is no longer available and has been removed. Please enter a new value.
	at gw.api.extension.PCExtensionInterfacesMapper$block_XXX_.invoke(PCExtensionInterfac</v>
      </c>
      <c r="D797" s="3">
        <f t="shared" si="25"/>
        <v>1</v>
      </c>
    </row>
    <row r="798" spans="1:4" ht="29" x14ac:dyDescent="0.35">
      <c r="A798" s="4" t="s">
        <v>1349</v>
      </c>
      <c r="B798">
        <v>4</v>
      </c>
      <c r="C798" t="str">
        <f t="shared" si="24"/>
        <v>EMSG:Dwelling at XXXSTRACE:XXX Lambert Dr, Shawneetown, IL: Dwelling is required and must be added.
	at gw.api.extension.PCExtensionInterfacesMapper$block_XXX_.invoke(PCExtensionInterfacesMapper.gs:XXXSTRACERAW:-</v>
      </c>
      <c r="D798" s="3">
        <f t="shared" si="25"/>
        <v>1</v>
      </c>
    </row>
    <row r="799" spans="1:4" x14ac:dyDescent="0.35">
      <c r="A799" t="s">
        <v>1350</v>
      </c>
      <c r="B799">
        <v>4</v>
      </c>
      <c r="C799" t="str">
        <f t="shared" si="24"/>
        <v>EMSG:Effective ranges overlap for PANewBusinessCount_Ext with BranchID XXX and with FixedID XXXSTRACE:deployment.pc.war//com.guidewire.pl.system.entity.proxy.EffDatedBeanProxy.checkForOverlaps(EffDatedBeanProxy.java:XXXSTRACERAW:-</v>
      </c>
      <c r="D799" s="3">
        <f t="shared" si="25"/>
        <v>1</v>
      </c>
    </row>
    <row r="800" spans="1:4" x14ac:dyDescent="0.35">
      <c r="A800" t="s">
        <v>1141</v>
      </c>
      <c r="B800">
        <v>4</v>
      </c>
      <c r="C800" t="str">
        <f t="shared" si="24"/>
        <v>EMSG:Exception during Rating ExecuteIterationsMultiThreaded : com.guidewire.pl.system.exception.DBException: Failed to execute a querySTRACE:com.farmers.rating.common.flow.iteration.impl.IterationsExecutorImpl$block_XXX_.invoke(IterationsExecutorImpl.gs:X</v>
      </c>
      <c r="D800" s="3">
        <f t="shared" si="25"/>
        <v>1</v>
      </c>
    </row>
    <row r="801" spans="1:4" x14ac:dyDescent="0.35">
      <c r="A801" t="s">
        <v>1351</v>
      </c>
      <c r="B801">
        <v>4</v>
      </c>
      <c r="C801" t="str">
        <f t="shared" si="24"/>
        <v>EMSG:Exception during Rating ExecuteIterationsMultiThreaded : gw.api.rating.RatingException: Exception during Rating JobNumber : XXX - FarmersPARatingEngine.runStepsByVehInParallel : java.util.concurrent.ExecutionException: gw.rating.CalcRoutineExecutionE</v>
      </c>
      <c r="D801" s="3">
        <f t="shared" si="25"/>
        <v>1</v>
      </c>
    </row>
    <row r="802" spans="1:4" x14ac:dyDescent="0.35">
      <c r="A802" t="s">
        <v>1352</v>
      </c>
      <c r="B802">
        <v>4</v>
      </c>
      <c r="C802" t="str">
        <f t="shared" si="24"/>
        <v>EMSG:Exception during Rating ExecuteIterationsMultiThreaded : java.lang.IllegalStateException: No elements match the given conditionSTRACE:com.farmers.rating.common.flow.iteration.impl.IterationsExecutorImpl$block_XXX_.invoke(IterationsExecutorImpl.gs:XXX</v>
      </c>
      <c r="D802" s="3">
        <f t="shared" si="25"/>
        <v>1</v>
      </c>
    </row>
    <row r="803" spans="1:4" x14ac:dyDescent="0.35">
      <c r="A803" t="s">
        <v>1353</v>
      </c>
      <c r="B803">
        <v>4</v>
      </c>
      <c r="C803" t="str">
        <f t="shared" si="24"/>
        <v>EMSG:Exception during Rating ExecuteIterationsMultiThreaded : java.util.ConcurrentModificationExceptionSTRACE:com.farmers.rating.common.flow.iteration.impl.IterationsExecutorImpl$block_XXX_.invoke(IterationsExecutorImpl.gs:XXXSTRACERAW:-</v>
      </c>
      <c r="D803" s="3">
        <f t="shared" si="25"/>
        <v>1</v>
      </c>
    </row>
    <row r="804" spans="1:4" x14ac:dyDescent="0.35">
      <c r="A804" t="s">
        <v>484</v>
      </c>
      <c r="B804">
        <v>4</v>
      </c>
      <c r="C804" t="str">
        <f t="shared" si="24"/>
        <v>EMSG:Exception while performing the search operation with search criteria Street Number:XXX.XXXSTRACE:com.farmers.integ.erti.iso.location.impl.AbstractISOLocationFinder.search(AbstractISOLocationFinder.gs:XXXSTRACERAW:-</v>
      </c>
      <c r="D804" s="3">
        <f t="shared" si="25"/>
        <v>1</v>
      </c>
    </row>
    <row r="805" spans="1:4" x14ac:dyDescent="0.35">
      <c r="A805" t="s">
        <v>424</v>
      </c>
      <c r="B805">
        <v>4</v>
      </c>
      <c r="C805" t="str">
        <f t="shared" si="24"/>
        <v>EMSG:Expected query to have at most one result.  Select statement causing error: Values=[pc:XXX (publicid)STRACE:most one result.  Select statement causing error: Values=[pc:XXX (publicidSTRACERAW:-</v>
      </c>
      <c r="D805" s="3">
        <f t="shared" si="25"/>
        <v>1</v>
      </c>
    </row>
    <row r="806" spans="1:4" x14ac:dyDescent="0.35">
      <c r="A806" t="s">
        <v>1354</v>
      </c>
      <c r="B806">
        <v>4</v>
      </c>
      <c r="C806" t="str">
        <f t="shared" si="24"/>
        <v>EMSG:FORTIFIED Roof Upgrade coverage ineligible. Roof type is other than Asphalt or Roof Valuation Method is Scheduled Roof.STRACE:edge.capabilities.quote.submission.quoting.util.SubmissionUnderwritingIssuesUtil.checkSideBySideProcessExceptions(Submission</v>
      </c>
      <c r="D806" s="3">
        <f t="shared" si="25"/>
        <v>1</v>
      </c>
    </row>
    <row r="807" spans="1:4" x14ac:dyDescent="0.35">
      <c r="A807" t="s">
        <v>1102</v>
      </c>
      <c r="B807">
        <v>4</v>
      </c>
      <c r="C807" t="str">
        <f t="shared" si="24"/>
        <v>EMSG:Failed to close the connectionSTRACE:deployment.pc.war//com.guidewire.pc.system.lookuptables.LookupTableManagerImpl$LRUCache.get(LookupTableManagerImpl.java:XXXSTRACERAW:-</v>
      </c>
      <c r="D807" s="3">
        <f t="shared" si="25"/>
        <v>1</v>
      </c>
    </row>
    <row r="808" spans="1:4" x14ac:dyDescent="0.35">
      <c r="A808" t="s">
        <v>678</v>
      </c>
      <c r="B808">
        <v>4</v>
      </c>
      <c r="C808" t="str">
        <f t="shared" si="24"/>
        <v>EMSG:Failed to execute a querySTRACE:com.farmers.integ.framework.job.automatejob.AutomatedJob.executeJob(AutomatedJob.gs:XXXSTRACERAW:-</v>
      </c>
      <c r="D808" s="3">
        <f t="shared" si="25"/>
        <v>1</v>
      </c>
    </row>
    <row r="809" spans="1:4" x14ac:dyDescent="0.35">
      <c r="A809" t="s">
        <v>1060</v>
      </c>
      <c r="B809">
        <v>4</v>
      </c>
      <c r="C809" t="str">
        <f t="shared" si="24"/>
        <v>EMSG:Failed to execute an updateSTRACE:deployment.pc.war//com.guidewire.pl.system.transaction.ConnectionHandler.newDbException(ConnectionHandler.java:XXXSTRACERAW:-</v>
      </c>
      <c r="D809" s="3">
        <f t="shared" si="25"/>
        <v>1</v>
      </c>
    </row>
    <row r="810" spans="1:4" x14ac:dyDescent="0.35">
      <c r="A810" t="s">
        <v>1355</v>
      </c>
      <c r="B810">
        <v>4</v>
      </c>
      <c r="C810" t="str">
        <f t="shared" si="24"/>
        <v>EMSG:For eligible contact Brooke Hendrick credit score is null. Please make sure credit is orderedSTRACE:com.farmers.config.common.credit.CreditScoreHelper.populateRatingCreditDTO(CreditScoreHelper.gs:XXXSTRACERAW:-</v>
      </c>
      <c r="D810" s="3">
        <f t="shared" si="25"/>
        <v>1</v>
      </c>
    </row>
    <row r="811" spans="1:4" x14ac:dyDescent="0.35">
      <c r="A811" t="s">
        <v>1356</v>
      </c>
      <c r="B811">
        <v>4</v>
      </c>
      <c r="C811" t="str">
        <f t="shared" si="24"/>
        <v>EMSG:For eligible contact KENNETH ROACH credit score is null. Please make sure credit is orderedSTRACE:com.farmers.config.common.credit.CreditScoreHelper.populateRatingCreditDTO(CreditScoreHelper.gs:XXXSTRACERAW:-</v>
      </c>
      <c r="D811" s="3">
        <f t="shared" si="25"/>
        <v>1</v>
      </c>
    </row>
    <row r="812" spans="1:4" x14ac:dyDescent="0.35">
      <c r="A812" t="s">
        <v>1357</v>
      </c>
      <c r="B812">
        <v>4</v>
      </c>
      <c r="C812" t="str">
        <f t="shared" si="24"/>
        <v>EMSG:For eligible contact KENNY ROACH credit score is null. Please make sure credit is orderedSTRACE:com.farmers.config.common.credit.CreditScoreHelper.populateRatingCreditDTO(CreditScoreHelper.gs:XXXSTRACERAW:-</v>
      </c>
      <c r="D812" s="3">
        <f t="shared" si="25"/>
        <v>1</v>
      </c>
    </row>
    <row r="813" spans="1:4" x14ac:dyDescent="0.35">
      <c r="A813" t="s">
        <v>1358</v>
      </c>
      <c r="B813">
        <v>4</v>
      </c>
      <c r="C813" t="str">
        <f t="shared" si="24"/>
        <v>EMSG:For eligible contact Kellen Mcgriff credit score is null. Please make sure credit is orderedSTRACE:com.farmers.config.common.credit.CreditScoreHelper.populateRatingCreditDTO(CreditScoreHelper.gs:XXXSTRACERAW:-</v>
      </c>
      <c r="D813" s="3">
        <f t="shared" si="25"/>
        <v>1</v>
      </c>
    </row>
    <row r="814" spans="1:4" x14ac:dyDescent="0.35">
      <c r="A814" t="s">
        <v>1359</v>
      </c>
      <c r="B814">
        <v>4</v>
      </c>
      <c r="C814" t="str">
        <f t="shared" si="24"/>
        <v>EMSG:For eligible contact Matthew Little credit score is null. Please make sure credit is orderedSTRACE:com.farmers.config.common.credit.CreditScoreHelper.populateRatingCreditDTO(CreditScoreHelper.gs:XXXSTRACERAW:-</v>
      </c>
      <c r="D814" s="3">
        <f t="shared" si="25"/>
        <v>1</v>
      </c>
    </row>
    <row r="815" spans="1:4" x14ac:dyDescent="0.35">
      <c r="A815" t="s">
        <v>1360</v>
      </c>
      <c r="B815">
        <v>4</v>
      </c>
      <c r="C815" t="str">
        <f t="shared" si="24"/>
        <v>EMSG:For eligible contact Moon Hwan Lee credit score is null. Please make sure credit is orderedSTRACE:com.farmers.config.common.credit.CreditScoreHelper.populateRatingCreditDTO(CreditScoreHelper.gs:XXXSTRACERAW:-</v>
      </c>
      <c r="D815" s="3">
        <f t="shared" si="25"/>
        <v>1</v>
      </c>
    </row>
    <row r="816" spans="1:4" x14ac:dyDescent="0.35">
      <c r="A816" t="s">
        <v>1361</v>
      </c>
      <c r="B816">
        <v>4</v>
      </c>
      <c r="C816" t="str">
        <f t="shared" si="24"/>
        <v>EMSG:For eligible contact Patrick Reyer credit score is null. Please make sure credit is orderedSTRACE:com.farmers.config.common.credit.CreditScoreHelper.populateRatingCreditDTO(CreditScoreHelper.gs:XXXSTRACERAW:-</v>
      </c>
      <c r="D816" s="3">
        <f t="shared" si="25"/>
        <v>1</v>
      </c>
    </row>
    <row r="817" spans="1:4" x14ac:dyDescent="0.35">
      <c r="A817" t="s">
        <v>1362</v>
      </c>
      <c r="B817">
        <v>4</v>
      </c>
      <c r="C817" t="str">
        <f t="shared" si="24"/>
        <v>EMSG:For eligible contact Renee Ziegler credit score is null. Please make sure credit is orderedSTRACE:com.farmers.config.common.credit.CreditScoreHelper.populateRatingCreditDTO(CreditScoreHelper.gs:XXXSTRACERAW:-</v>
      </c>
      <c r="D817" s="3">
        <f t="shared" si="25"/>
        <v>1</v>
      </c>
    </row>
    <row r="818" spans="1:4" ht="43.5" x14ac:dyDescent="0.35">
      <c r="A818" s="4" t="s">
        <v>1363</v>
      </c>
      <c r="B818">
        <v>4</v>
      </c>
      <c r="C818" t="str">
        <f t="shared" si="24"/>
        <v>EMSG:Found more than one target of the property XXXSTRACE:XXX E Rhine River Dr, Sonora, CA': ['HOConstructionDetails_Ext:pc:XXX - Dwelling Construction Details', 'HOConstructionDetails_Ext:pc:XXX - Dwelling Construction Details']. This could be due to a c</v>
      </c>
      <c r="D818" s="3">
        <f t="shared" si="25"/>
        <v>1</v>
      </c>
    </row>
    <row r="819" spans="1:4" ht="43.5" x14ac:dyDescent="0.35">
      <c r="A819" s="4" t="s">
        <v>1364</v>
      </c>
      <c r="B819">
        <v>4</v>
      </c>
      <c r="C819" t="str">
        <f t="shared" si="24"/>
        <v>EMSG:Found more than one target of the property XXXSTRACE:XXX First St, Loyalton, CA': ['HOConstructionDetails_Ext:pc:XXX - Dwelling Construction Details', 'HOConstructionDetails_Ext:pc:XXX - Dwelling Construction Details']. This could be due to a concurr</v>
      </c>
      <c r="D819" s="3">
        <f t="shared" si="25"/>
        <v>1</v>
      </c>
    </row>
    <row r="820" spans="1:4" ht="43.5" x14ac:dyDescent="0.35">
      <c r="A820" s="4" t="s">
        <v>1365</v>
      </c>
      <c r="B820">
        <v>4</v>
      </c>
      <c r="C820" t="str">
        <f t="shared" si="24"/>
        <v>EMSG:Found more than one target of the property XXXSTRACE:XXX Gull Ave, Foster City, CA': ['HOConstructionDetails_Ext:pc:XXX - Dwelling Construction Details', 'HOConstructionDetails_Ext:pc:XXX - Dwelling Construction Details']. This could be due to a conc</v>
      </c>
      <c r="D820" s="3">
        <f t="shared" si="25"/>
        <v>1</v>
      </c>
    </row>
    <row r="821" spans="1:4" x14ac:dyDescent="0.35">
      <c r="A821" t="s">
        <v>555</v>
      </c>
      <c r="B821">
        <v>4</v>
      </c>
      <c r="C821" t="str">
        <f t="shared" si="24"/>
        <v>EMSG:Improperly started job cannot be committed to the database because it has XXX periods.STRACE:deployment.pc.war//com.guidewire.pc.domain.job.impl.JobImpl.beforeInsert(JobImpl.java:XXXSTRACERAW:-</v>
      </c>
      <c r="D821" s="3">
        <f t="shared" si="25"/>
        <v>1</v>
      </c>
    </row>
    <row r="822" spans="1:4" x14ac:dyDescent="0.35">
      <c r="A822" t="s">
        <v>1366</v>
      </c>
      <c r="B822">
        <v>4</v>
      </c>
      <c r="C822" t="str">
        <f t="shared" si="24"/>
        <v>EMSG:Internal error: bean entity.Account:XXX was staged for edit.STRACE:deployment.pc.war//com.guidewire.pl.system.bundle.EntityBundleImpl.handleBeanChange(EntityBundleImpl.java:XXXSTRACERAW:-</v>
      </c>
      <c r="D822" s="3">
        <f t="shared" si="25"/>
        <v>1</v>
      </c>
    </row>
    <row r="823" spans="1:4" x14ac:dyDescent="0.35">
      <c r="A823" t="s">
        <v>381</v>
      </c>
      <c r="B823">
        <v>4</v>
      </c>
      <c r="C823" t="str">
        <f t="shared" si="24"/>
        <v>EMSG:Invalid ActionCodeSTRACE:com.farmers.integ.serviceoperations.deeplaunch.servlets.DeepLaunchServlet.processRequest(DeepLaunchServlet.gs:XXXSTRACERAW:-</v>
      </c>
      <c r="D823" s="3">
        <f t="shared" si="25"/>
        <v>1</v>
      </c>
    </row>
    <row r="824" spans="1:4" x14ac:dyDescent="0.35">
      <c r="A824" t="s">
        <v>1367</v>
      </c>
      <c r="B824">
        <v>4</v>
      </c>
      <c r="C824" t="str">
        <f t="shared" si="24"/>
        <v>EMSG:LAUREN KISSSTRACE:com.farmers.config.pa.validator.BrightlineValidator.validateQuoteBrightlineRules(BrightlineValidator.gs:XXXSTRACERAW:-</v>
      </c>
      <c r="D824" s="3">
        <f t="shared" si="25"/>
        <v>1</v>
      </c>
    </row>
    <row r="825" spans="1:4" x14ac:dyDescent="0.35">
      <c r="A825" t="s">
        <v>1368</v>
      </c>
      <c r="B825">
        <v>4</v>
      </c>
      <c r="C825" t="str">
        <f t="shared" si="24"/>
        <v>EMSG:LAUREN KISSSTRACE:gw.job.QuoteProcess.requestQuote(QuoteProcess.gs:XXXSTRACERAW:-</v>
      </c>
      <c r="D825" s="3">
        <f t="shared" si="25"/>
        <v>1</v>
      </c>
    </row>
    <row r="826" spans="1:4" x14ac:dyDescent="0.35">
      <c r="A826" t="s">
        <v>447</v>
      </c>
      <c r="B826">
        <v>4</v>
      </c>
      <c r="C826" t="str">
        <f t="shared" si="24"/>
        <v>EMSG:LHPI Ordering Failed due to TimeOut! - [java.lang.RuntimeException: java.util.concurrent.TimeoutException]STRACE:java.base/jdk.internal.reflect.GeneratedConstructorAccessorXXX.newInstance(Unknown SourceSTRACERAW:-</v>
      </c>
      <c r="D826" s="3">
        <f t="shared" si="25"/>
        <v>1</v>
      </c>
    </row>
    <row r="827" spans="1:4" x14ac:dyDescent="0.35">
      <c r="A827" t="s">
        <v>468</v>
      </c>
      <c r="B827">
        <v>4</v>
      </c>
      <c r="C827" t="str">
        <f t="shared" si="24"/>
        <v>EMSG:Missing contact details : genderSTRACE:edge.capabilities.quote.submission.quoting.util.SubmissionUnderwritingIssuesUtil.checkVerifyRateExceptions(SubmissionUnderwritingIssuesUtil.gs:XXXSTRACERAW:-</v>
      </c>
      <c r="D827" s="3">
        <f t="shared" si="25"/>
        <v>1</v>
      </c>
    </row>
    <row r="828" spans="1:4" x14ac:dyDescent="0.35">
      <c r="A828" t="s">
        <v>296</v>
      </c>
      <c r="B828">
        <v>4</v>
      </c>
      <c r="C828" t="str">
        <f t="shared" si="24"/>
        <v>EMSG:Multiple onsetting costs with same cost key (BillGroup:nullSTRACE:gw.financials.PolicyPeriodTransactionCalculator$block_XXX_.invoke(PolicyPeriodTransactionCalculator.gs:XXXSTRACERAW:-</v>
      </c>
      <c r="D828" s="3">
        <f t="shared" si="25"/>
        <v>1</v>
      </c>
    </row>
    <row r="829" spans="1:4" x14ac:dyDescent="0.35">
      <c r="A829" t="s">
        <v>425</v>
      </c>
      <c r="B829">
        <v>4</v>
      </c>
      <c r="C829" t="str">
        <f t="shared" si="24"/>
        <v>EMSG:ODSReconciliationProcessor#processPolicyPeriod : Exception Occurred gw.api.database.MultipleMatchesException: Expected query to have at most one result.  Select statement causing error: Values=[pc:XXX (publicid)STRACE:most one result.  Select stateme</v>
      </c>
      <c r="D829" s="3">
        <f t="shared" si="25"/>
        <v>1</v>
      </c>
    </row>
    <row r="830" spans="1:4" x14ac:dyDescent="0.35">
      <c r="A830" t="s">
        <v>426</v>
      </c>
      <c r="B830">
        <v>4</v>
      </c>
      <c r="C830" t="str">
        <f t="shared" si="24"/>
        <v xml:space="preserve">EMSG:ODSReconciliationProcessor#processPolicyPeriod : Exception Occurred java.lang.Exception: ODSReconciliationProcessor#processPolicyPeriod : Exception Occurred gw.api.database.MultipleMatchesException: Expected query to have at most one result.  Select </v>
      </c>
      <c r="D830" s="3">
        <f t="shared" si="25"/>
        <v>1</v>
      </c>
    </row>
    <row r="831" spans="1:4" x14ac:dyDescent="0.35">
      <c r="A831" t="s">
        <v>1369</v>
      </c>
      <c r="B831">
        <v>4</v>
      </c>
      <c r="C831" t="str">
        <f t="shared" si="24"/>
        <v>EMSG:One or more null constraint violations detected for PolicyADPFVehicle_ExtSTRACE:deployment.pc.war//com.guidewire.pl.system.database.entitywriter.DatabaseEntityWriterImpl.checkForNullConstraintViolation(DatabaseEntityWriterImpl.java:XXXSTRACERAW:-</v>
      </c>
      <c r="D831" s="3">
        <f t="shared" si="25"/>
        <v>1</v>
      </c>
    </row>
    <row r="832" spans="1:4" x14ac:dyDescent="0.35">
      <c r="A832" t="s">
        <v>1370</v>
      </c>
      <c r="B832">
        <v>4</v>
      </c>
      <c r="C832" t="str">
        <f t="shared" si="24"/>
        <v>EMSG:Re-enter "License #". Duplicate License Number entered for the following Drivers Joe RoundySTRACE:edge.capabilities.quote.submission.quoting.util.SubmissionUnderwritingIssuesUtil.checkVerifyRateExceptions(SubmissionUnderwritingIssuesUtil.gs:XXXSTRACE</v>
      </c>
      <c r="D832" s="3">
        <f t="shared" si="25"/>
        <v>1</v>
      </c>
    </row>
    <row r="833" spans="1:4" x14ac:dyDescent="0.35">
      <c r="A833" t="s">
        <v>1371</v>
      </c>
      <c r="B833">
        <v>4</v>
      </c>
      <c r="C833" t="str">
        <f t="shared" si="24"/>
        <v>EMSG:Re-enter "License #". Duplicate License Number entered for the following Drivers Michael ChangSTRACE:edge.capabilities.quote.submission.quoting.util.SubmissionUnderwritingIssuesUtil.checkVerifyRateExceptions(SubmissionUnderwritingIssuesUtil.gs:XXXSTR</v>
      </c>
      <c r="D833" s="3">
        <f t="shared" si="25"/>
        <v>1</v>
      </c>
    </row>
    <row r="834" spans="1:4" x14ac:dyDescent="0.35">
      <c r="A834" t="s">
        <v>1372</v>
      </c>
      <c r="B834">
        <v>4</v>
      </c>
      <c r="C834" t="str">
        <f t="shared" ref="C834:C897" si="26">LEFT(A834,255)</f>
        <v>EMSG:Re-enter "License #". Duplicate License Number entered for the following Drivers Mike SaponeSTRACE:edge.capabilities.quote.submission.quoting.util.SubmissionUnderwritingIssuesUtil.checkVerifyRateExceptions(SubmissionUnderwritingIssuesUtil.gs:XXXSTRAC</v>
      </c>
      <c r="D834" s="3">
        <f t="shared" ref="D834:D897" si="27">IF(AND((B834/10)&lt;1,(B834/10)&gt;0),1,(B834/10)*130%)</f>
        <v>1</v>
      </c>
    </row>
    <row r="835" spans="1:4" x14ac:dyDescent="0.35">
      <c r="A835" t="s">
        <v>1373</v>
      </c>
      <c r="B835">
        <v>4</v>
      </c>
      <c r="C835" t="str">
        <f t="shared" si="26"/>
        <v>EMSG:Re-enter "License #". Duplicate License Number entered for the following Drivers Vu NguyenSTRACE:edge.capabilities.quote.submission.quoting.util.SubmissionUnderwritingIssuesUtil.checkVerifyRateExceptions(SubmissionUnderwritingIssuesUtil.gs:XXXSTRACER</v>
      </c>
      <c r="D835" s="3">
        <f t="shared" si="27"/>
        <v>1</v>
      </c>
    </row>
    <row r="836" spans="1:4" x14ac:dyDescent="0.35">
      <c r="A836" t="s">
        <v>1374</v>
      </c>
      <c r="B836">
        <v>4</v>
      </c>
      <c r="C836" t="str">
        <f t="shared" si="26"/>
        <v>EMSG:Remove Limited Mold coverage. The coverage cannot be selected when the Age of Home is more than XXX years old.STRACE:edge.capabilities.quote.submission.quoting.util.SubmissionUnderwritingIssuesUtil.checkSideBySideProcessExceptions(SubmissionUnderwrit</v>
      </c>
      <c r="D836" s="3">
        <f t="shared" si="27"/>
        <v>1</v>
      </c>
    </row>
    <row r="837" spans="1:4" x14ac:dyDescent="0.35">
      <c r="A837" t="s">
        <v>316</v>
      </c>
      <c r="B837">
        <v>4</v>
      </c>
      <c r="C837" t="str">
        <f t="shared" si="26"/>
        <v>EMSG:Remove Prior Policy # for Declining Deductible Balance Transfer. Prior policy has no Declining Deductible balance to transfer.STRACE:com.farmers.config.decliningdeductible.HODecliningDeductibleHelper.validateErrorMessages(HODecliningDeductibleHelper.</v>
      </c>
      <c r="D837" s="3">
        <f t="shared" si="27"/>
        <v>1</v>
      </c>
    </row>
    <row r="838" spans="1:4" x14ac:dyDescent="0.35">
      <c r="A838" t="s">
        <v>297</v>
      </c>
      <c r="B838">
        <v>4</v>
      </c>
      <c r="C838" t="str">
        <f t="shared" si="26"/>
        <v>EMSG:Remove or correct Prior Policy # for Declining Deductible Balance Transfer. No Declining Deductible Balance will be applied as an invalid Policy # has been entered.STRACE:com.farmers.config.decliningdeductible.HODecliningDeductibleHelper.validatePrio</v>
      </c>
      <c r="D838" s="3">
        <f t="shared" si="27"/>
        <v>1</v>
      </c>
    </row>
    <row r="839" spans="1:4" x14ac:dyDescent="0.35">
      <c r="A839" t="s">
        <v>1375</v>
      </c>
      <c r="B839">
        <v>4</v>
      </c>
      <c r="C839" t="str">
        <f t="shared" si="26"/>
        <v>EMSG:Roadside Assistance: The coverage term 'Coverage is' is required. Enter a value.;STRACE:edge.capabilities.quote.submission.quoting.util.SubmissionUnderwritingIssuesUtil.checkVerifyRateExceptions(SubmissionUnderwritingIssuesUtil.gs:XXXSTRACERAW:-</v>
      </c>
      <c r="D839" s="3">
        <f t="shared" si="27"/>
        <v>1</v>
      </c>
    </row>
    <row r="840" spans="1:4" x14ac:dyDescent="0.35">
      <c r="A840" t="s">
        <v>1376</v>
      </c>
      <c r="B840">
        <v>4</v>
      </c>
      <c r="C840" t="str">
        <f t="shared" si="26"/>
        <v>EMSG:SOFIA WESTHOFFSTRACE:com.farmers.config.pa.validator.BrightlineValidator.validateQuoteBrightlineRules(BrightlineValidator.gs:XXXSTRACERAW:-</v>
      </c>
      <c r="D840" s="3">
        <f t="shared" si="27"/>
        <v>1</v>
      </c>
    </row>
    <row r="841" spans="1:4" x14ac:dyDescent="0.35">
      <c r="A841" t="s">
        <v>1377</v>
      </c>
      <c r="B841">
        <v>4</v>
      </c>
      <c r="C841" t="str">
        <f t="shared" si="26"/>
        <v>EMSG:SOFIA WESTHOFFSTRACE:gw.job.QuoteProcess.requestQuote(QuoteProcess.gs:XXXSTRACERAW:-</v>
      </c>
      <c r="D841" s="3">
        <f t="shared" si="27"/>
        <v>1</v>
      </c>
    </row>
    <row r="842" spans="1:4" ht="43.5" x14ac:dyDescent="0.35">
      <c r="A842" s="4" t="s">
        <v>1378</v>
      </c>
      <c r="B842">
        <v>4</v>
      </c>
      <c r="C842" t="str">
        <f t="shared" si="26"/>
        <v>EMSG:Slice date XXX outside of range XXX for XXX XXX bean of type TerritoryCodeSTRACE:Jan XXX XXX:XXX:XXX PST XXX outside of range [Mon Jan XXX XXX:XXX:XXX PST XXX - Tue Mar XXX XXX:XXX:XXX PDT XXX] for bean of type TerritoryCode
	at deployment.pc.war//co</v>
      </c>
      <c r="D842" s="3">
        <f t="shared" si="27"/>
        <v>1</v>
      </c>
    </row>
    <row r="843" spans="1:4" x14ac:dyDescent="0.35">
      <c r="A843" t="s">
        <v>929</v>
      </c>
      <c r="B843">
        <v>4</v>
      </c>
      <c r="C843" t="str">
        <f t="shared" si="26"/>
        <v>EMSG:The quote cannot proceed before prior policy data is prefilled.  Please click Next to complete the prefill process.STRACE:com.farmers.config.pa.validator.PALineQuoteValidator_Ext.validateprefillCompletedForProdRewrite(PALineQuoteValidator_Ext.gs:XXXS</v>
      </c>
      <c r="D843" s="3">
        <f t="shared" si="27"/>
        <v>1</v>
      </c>
    </row>
    <row r="844" spans="1:4" x14ac:dyDescent="0.35">
      <c r="A844" t="s">
        <v>1379</v>
      </c>
      <c r="B844">
        <v>4</v>
      </c>
      <c r="C844" t="str">
        <f t="shared" si="26"/>
        <v>EMSG:The value "LUIZ BERENGUERSTRACE:deployment.pc.war//gw.datatype.impl.StringConstraintsHandlerBase.validateStringLength(StringConstraintsHandlerBase.java:XXXSTRACERAW:-</v>
      </c>
      <c r="D844" s="3">
        <f t="shared" si="27"/>
        <v>1</v>
      </c>
    </row>
    <row r="845" spans="1:4" x14ac:dyDescent="0.35">
      <c r="A845" t="s">
        <v>1380</v>
      </c>
      <c r="B845">
        <v>4</v>
      </c>
      <c r="C845" t="str">
        <f t="shared" si="26"/>
        <v>EMSG:The value "MARK T AND DIANE F KERNSTRACE:deployment.pc.war//gw.datatype.impl.StringConstraintsHandlerBase.validateStringLength(StringConstraintsHandlerBase.java:XXXSTRACERAW:-</v>
      </c>
      <c r="D845" s="3">
        <f t="shared" si="27"/>
        <v>1</v>
      </c>
    </row>
    <row r="846" spans="1:4" x14ac:dyDescent="0.35">
      <c r="A846" t="s">
        <v>1381</v>
      </c>
      <c r="B846">
        <v>4</v>
      </c>
      <c r="C846" t="str">
        <f t="shared" si="26"/>
        <v>EMSG:The value "MARY LOU WEIDLICHSTRACE:deployment.pc.war//gw.datatype.impl.StringConstraintsHandlerBase.validateStringLength(StringConstraintsHandlerBase.java:XXXSTRACERAW:-</v>
      </c>
      <c r="D846" s="3">
        <f t="shared" si="27"/>
        <v>1</v>
      </c>
    </row>
    <row r="847" spans="1:4" x14ac:dyDescent="0.35">
      <c r="A847" t="s">
        <v>1201</v>
      </c>
      <c r="B847">
        <v>4</v>
      </c>
      <c r="C847" t="str">
        <f t="shared" si="26"/>
        <v>EMSG:The value "PAULINE COOPERSTRACE:deployment.pc.war//gw.datatype.impl.StringConstraintsHandlerBase.validateStringLength(StringConstraintsHandlerBase.java:XXXSTRACERAW:-</v>
      </c>
      <c r="D847" s="3">
        <f t="shared" si="27"/>
        <v>1</v>
      </c>
    </row>
    <row r="848" spans="1:4" x14ac:dyDescent="0.35">
      <c r="A848" t="s">
        <v>1382</v>
      </c>
      <c r="B848">
        <v>4</v>
      </c>
      <c r="C848" t="str">
        <f t="shared" si="26"/>
        <v>EMSG:The value XXX is not formatted correctly for the field "StreetName": Please edit address as only the following special characters are acceptable:   # STRACE:com.farmers.config.common.credit.ho.HOCreditScoreProcess.invokeService(HOCreditScoreProcess.g</v>
      </c>
      <c r="D848" s="3">
        <f t="shared" si="27"/>
        <v>1</v>
      </c>
    </row>
    <row r="849" spans="1:4" x14ac:dyDescent="0.35">
      <c r="A849" t="s">
        <v>1383</v>
      </c>
      <c r="B849">
        <v>4</v>
      </c>
      <c r="C849" t="str">
        <f t="shared" si="26"/>
        <v>EMSG:Unable to compute PI Tier; there are no prior insurance reportsSTRACE:com.farmers.tier.pa.pitier.impl.PITierInputMapperImpl.selectReport(PITierInputMapperImpl.gs:XXXSTRACERAW:-</v>
      </c>
      <c r="D849" s="3">
        <f t="shared" si="27"/>
        <v>1</v>
      </c>
    </row>
    <row r="850" spans="1:4" x14ac:dyDescent="0.35">
      <c r="A850" t="s">
        <v>1384</v>
      </c>
      <c r="B850">
        <v>4</v>
      </c>
      <c r="C850" t="str">
        <f t="shared" si="26"/>
        <v>EMSG:Update Signal Phone number for Zachary Berger. Each driver enrolled in the Signal program needs a unique cell phone number.;Update Signal Phone number for KATHERINE Berger. Each driver enrolled in the Signal program needs a unique cell phone number.;</v>
      </c>
      <c r="D850" s="3">
        <f t="shared" si="27"/>
        <v>1</v>
      </c>
    </row>
    <row r="851" spans="1:4" x14ac:dyDescent="0.35">
      <c r="A851" t="s">
        <v>313</v>
      </c>
      <c r="B851">
        <v>4</v>
      </c>
      <c r="C851" t="str">
        <f t="shared" si="26"/>
        <v>EMSG:Verify Risk Address city. The city is either invalid or ineligible for coverage.STRACE:com.farmers.config.ho.dwelling.location.process.HOLocationProcess.populateCountyNames(HOLocationProcess.gs:XXXSTRACERAW:-</v>
      </c>
      <c r="D851" s="3">
        <f t="shared" si="27"/>
        <v>1</v>
      </c>
    </row>
    <row r="852" spans="1:4" x14ac:dyDescent="0.35">
      <c r="A852" t="s">
        <v>1385</v>
      </c>
      <c r="B852">
        <v>4</v>
      </c>
      <c r="C852" t="str">
        <f t="shared" si="26"/>
        <v>EMSG:Verify Roof Year or Valuation Method. Valuation Method for Roof should be Replacement Cost Value for Roof Year less than or equal to XXX years.STRACE:edge.capabilities.quote.submission.quoting.util.SubmissionUnderwritingIssuesUtil.checkSideBySideProc</v>
      </c>
      <c r="D852" s="3">
        <f t="shared" si="27"/>
        <v>1</v>
      </c>
    </row>
    <row r="853" spans="1:4" x14ac:dyDescent="0.35">
      <c r="A853" t="s">
        <v>867</v>
      </c>
      <c r="B853">
        <v>4</v>
      </c>
      <c r="C853" t="str">
        <f t="shared" si="26"/>
        <v>EMSG:Verify the Garaging Address Zip code. The zip code entered does not match an eligible zip code for rating.STRACE:edge.capabilities.quote.submission.quoting.util.SubmissionUnderwritingIssuesUtil.checkSideBySideProcessExceptions(SubmissionUnderwritingI</v>
      </c>
      <c r="D853" s="3">
        <f t="shared" si="27"/>
        <v>1</v>
      </c>
    </row>
    <row r="854" spans="1:4" x14ac:dyDescent="0.35">
      <c r="A854" t="s">
        <v>1386</v>
      </c>
      <c r="B854">
        <v>4</v>
      </c>
      <c r="C854" t="str">
        <f t="shared" si="26"/>
        <v>EMSG:class com.farmers.integ.iwa.epartner.wsc.mortgageesearchwsc.providerinformationmanagement_vXXX.elements.RetrieveMortgageeOrLienholderDetails cannot be cast to class com.farmers.integ.iwa.epartner.wsc.mortgageesearchwsc.providerinformationmanagement_v</v>
      </c>
      <c r="D854" s="3">
        <f t="shared" si="27"/>
        <v>1</v>
      </c>
    </row>
    <row r="855" spans="1:4" x14ac:dyDescent="0.35">
      <c r="A855" t="s">
        <v>1387</v>
      </c>
      <c r="B855">
        <v>4</v>
      </c>
      <c r="C855" t="str">
        <f t="shared" si="26"/>
        <v>EMSG:com.guidewire.pl.system.entity.proxy.EffDatedVersionListOverlapException: PersonalVehicleCovCost with FixedID:XXX and window XXXSTRACE:com.farmers.integ.framework.service.rest.RestServiceAdapter.invokeService(RestServiceAdapter.gs:XXXSTRACERAW:-</v>
      </c>
      <c r="D855" s="3">
        <f t="shared" si="27"/>
        <v>1</v>
      </c>
    </row>
    <row r="856" spans="1:4" x14ac:dyDescent="0.35">
      <c r="A856" t="s">
        <v>390</v>
      </c>
      <c r="B856">
        <v>4</v>
      </c>
      <c r="C856" t="str">
        <f t="shared" si="26"/>
        <v>EMSG:com.guidewire.pl.system.exception.DBException: Failed to execute a querySTRACE:com.farmers.integ.documentmgmt.ondemand.api.transformer.GetPolicyDetailsRestRequestTransformer.transform(GetPolicyDetailsRestRequestTransformer.gs:XXXSTRACERAW:-</v>
      </c>
      <c r="D856" s="3">
        <f t="shared" si="27"/>
        <v>1</v>
      </c>
    </row>
    <row r="857" spans="1:4" x14ac:dyDescent="0.35">
      <c r="A857" t="s">
        <v>391</v>
      </c>
      <c r="B857">
        <v>4</v>
      </c>
      <c r="C857" t="str">
        <f t="shared" si="26"/>
        <v>EMSG:com.guidewire.pl.system.exception.DBException: Failed to execute a querySTRACE:com.farmers.integ.framework.service.rest.RestServiceAdapter.invokeService(RestServiceAdapter.gs:XXXSTRACERAW:-</v>
      </c>
      <c r="D857" s="3">
        <f t="shared" si="27"/>
        <v>1</v>
      </c>
    </row>
    <row r="858" spans="1:4" x14ac:dyDescent="0.35">
      <c r="A858" t="s">
        <v>813</v>
      </c>
      <c r="B858">
        <v>4</v>
      </c>
      <c r="C858" t="str">
        <f t="shared" si="26"/>
        <v>EMSG:error trying to execute query of type entity.HomeownersLine_HOESTRACE:deployment.pc.war//com.guidewire.pl.system.database.entitysource.DatabaseEntitySource.executeQueryAndPopulateBeans(DatabaseEntitySource.java:XXXSTRACERAW:-</v>
      </c>
      <c r="D858" s="3">
        <f t="shared" si="27"/>
        <v>1</v>
      </c>
    </row>
    <row r="859" spans="1:4" ht="43.5" x14ac:dyDescent="0.35">
      <c r="A859" s="4" t="s">
        <v>627</v>
      </c>
      <c r="B859">
        <v>4</v>
      </c>
      <c r="C859" t="str">
        <f t="shared" si="26"/>
        <v>EMSG:gw.xml.XmlException: 'Unable to parse XML from xml string using schemas [com.farmers.integ.billing.billpresentment.wsc.billpresentmentwsc.billpresentment_vXXXSTRACE:line XXX column XXX'
	at deployment.pc.war//gw.internal.xml.ws.WsdlPortImpl.invoke(Ws</v>
      </c>
      <c r="D859" s="3">
        <f t="shared" si="27"/>
        <v>1</v>
      </c>
    </row>
    <row r="860" spans="1:4" ht="43.5" x14ac:dyDescent="0.35">
      <c r="A860" s="4" t="s">
        <v>663</v>
      </c>
      <c r="B860">
        <v>4</v>
      </c>
      <c r="C860" t="str">
        <f t="shared" si="26"/>
        <v>EMSG:gw.xml.XmlException: 'Unable to parse XML from xml string using schemas [com.farmers.integ.erti.riskanalysis.wsc.autoriskanalysiswsc.autoriskanalysis_vXXXSTRACE:line XXX column XXX'
	at deployment.pc.war//gw.internal.xml.ws.WsdlPortImpl.invoke(WsdlPo</v>
      </c>
      <c r="D860" s="3">
        <f t="shared" si="27"/>
        <v>1</v>
      </c>
    </row>
    <row r="861" spans="1:4" ht="43.5" x14ac:dyDescent="0.35">
      <c r="A861" s="4" t="s">
        <v>594</v>
      </c>
      <c r="B861">
        <v>4</v>
      </c>
      <c r="C861" t="str">
        <f t="shared" si="26"/>
        <v>EMSG:gw.xml.XmlException: 'Unable to parse XML from xml string using schemas [com.farmers.integ.iwa.customerinformationmanagement.wsc.customerinfomtwsc.customerinformationmanagement_vXXXSTRACE:line XXX column XXX'
	at deployment.pc.war//gw.internal.xml.ws</v>
      </c>
      <c r="D861" s="3">
        <f t="shared" si="27"/>
        <v>1</v>
      </c>
    </row>
    <row r="862" spans="1:4" ht="43.5" x14ac:dyDescent="0.35">
      <c r="A862" s="4" t="s">
        <v>1388</v>
      </c>
      <c r="B862">
        <v>4</v>
      </c>
      <c r="C862" t="str">
        <f t="shared" si="26"/>
        <v>EMSG:gw.xml.XmlException: 'Unable to parse XML from xml string using schemas [com.farmers.integ.iwa.mdm.wsc.mdmcustinfomgmtwsc.mdmcustomerinformationmanagement_vXXXSTRACE:line XXX column XXX'
	at com.farmers.config.pup.prefill.PUPPrefillPreProcesser.getPo</v>
      </c>
      <c r="D862" s="3">
        <f t="shared" si="27"/>
        <v>1</v>
      </c>
    </row>
    <row r="863" spans="1:4" x14ac:dyDescent="0.35">
      <c r="A863" t="s">
        <v>1389</v>
      </c>
      <c r="B863">
        <v>4</v>
      </c>
      <c r="C863" t="str">
        <f t="shared" si="26"/>
        <v>EMSG:java.lang.ArrayIndexOutOfBoundsException: Index XXX out of bounds for length XXXSTRACE:com.farmers.integ.framework.service.rest.RestServiceAdapter.invokeService(RestServiceAdapter.gs:XXXSTRACERAW:-</v>
      </c>
      <c r="D863" s="3">
        <f t="shared" si="27"/>
        <v>1</v>
      </c>
    </row>
    <row r="864" spans="1:4" x14ac:dyDescent="0.35">
      <c r="A864" t="s">
        <v>829</v>
      </c>
      <c r="B864">
        <v>4</v>
      </c>
      <c r="C864" t="str">
        <f t="shared" si="26"/>
        <v>EMSG:java.lang.RuntimeException: java.util.concurrent.TimeoutExceptionSTRACE:gw.bizrules.provisioning.contexts.PolicyContextDefinitionLibrary.activePolicyExists(PolicyContextDefinitionLibrary.gs:XXXSTRACERAW:-</v>
      </c>
      <c r="D864" s="3">
        <f t="shared" si="27"/>
        <v>1</v>
      </c>
    </row>
    <row r="865" spans="1:4" x14ac:dyDescent="0.35">
      <c r="A865" t="s">
        <v>268</v>
      </c>
      <c r="B865">
        <v>4</v>
      </c>
      <c r="C865" t="str">
        <f t="shared" si="26"/>
        <v>EMSG:wasserviceselk.farmersinsurance.com:XXX failed to respondSTRACE:deployment.pc.war//org.apache.http.impl.conn.DefaultHttpResponseParser.parseHead(DefaultHttpResponseParser.java:XXXSTRACERAW:-</v>
      </c>
      <c r="D865" s="3">
        <f t="shared" si="27"/>
        <v>1</v>
      </c>
    </row>
    <row r="866" spans="1:4" x14ac:dyDescent="0.35">
      <c r="A866" t="s">
        <v>1073</v>
      </c>
      <c r="B866">
        <v>3</v>
      </c>
      <c r="C866" t="str">
        <f t="shared" si="26"/>
        <v>EMSG:, AOR=XXXSTRACE:com.farmers.config.account.AccountEnhancement$block_XXX_.invoke(AccountEnhancement.gsx:XXXSTRACERAW:-</v>
      </c>
      <c r="D866" s="3">
        <f t="shared" si="27"/>
        <v>1</v>
      </c>
    </row>
    <row r="867" spans="1:4" x14ac:dyDescent="0.35">
      <c r="A867" t="s">
        <v>1041</v>
      </c>
      <c r="B867">
        <v>3</v>
      </c>
      <c r="C867" t="str">
        <f t="shared" si="26"/>
        <v>EMSG:, AOR=XXXSTRACE:com.farmers.config.ho.dwelling.propertyvaluation.process.HOPropertyValuationProcess$block_XXX_.invoke(HOPropertyValuationProcess.gs:XXXSTRACERAW:-</v>
      </c>
      <c r="D867" s="3">
        <f t="shared" si="27"/>
        <v>1</v>
      </c>
    </row>
    <row r="868" spans="1:4" x14ac:dyDescent="0.35">
      <c r="A868" t="s">
        <v>651</v>
      </c>
      <c r="B868">
        <v>3</v>
      </c>
      <c r="C868" t="str">
        <f t="shared" si="26"/>
        <v>EMSG:, AOR=XXXSTRACE:com.farmers.config.ho.dwelling.propertyvaluation.process.HOPropertyValuationProcess.persistConstructionDetails(HOPropertyValuationProcess.gs:XXXSTRACERAW:-</v>
      </c>
      <c r="D868" s="3">
        <f t="shared" si="27"/>
        <v>1</v>
      </c>
    </row>
    <row r="869" spans="1:4" x14ac:dyDescent="0.35">
      <c r="A869" t="s">
        <v>1390</v>
      </c>
      <c r="B869">
        <v>3</v>
      </c>
      <c r="C869" t="str">
        <f t="shared" si="26"/>
        <v>EMSG:, AOR=XXXSTRACE:com.farmers.config.pa.adpf.ADPFDriverdupingProcess.evulateDuplicateDriver_Ext(ADPFDriverdupingProcess.gs:XXXSTRACERAW:-</v>
      </c>
      <c r="D869" s="3">
        <f t="shared" si="27"/>
        <v>1</v>
      </c>
    </row>
    <row r="870" spans="1:4" x14ac:dyDescent="0.35">
      <c r="A870" t="s">
        <v>727</v>
      </c>
      <c r="B870">
        <v>3</v>
      </c>
      <c r="C870" t="str">
        <f t="shared" si="26"/>
        <v>EMSG:, AOR=XXXSTRACE:com.farmers.rating.ho.info.impl.HOLineInfoDto.mapFromEntity(HOLineInfoDto.gs:XXXSTRACERAW:-</v>
      </c>
      <c r="D870" s="3">
        <f t="shared" si="27"/>
        <v>1</v>
      </c>
    </row>
    <row r="871" spans="1:4" x14ac:dyDescent="0.35">
      <c r="A871" t="s">
        <v>803</v>
      </c>
      <c r="B871">
        <v>3</v>
      </c>
      <c r="C871" t="str">
        <f t="shared" si="26"/>
        <v>EMSG:, AOR=XXXSTRACE:gw.policylocation.PolicyLocationAccountSyncableImpl.refreshAccountInformation(PolicyLocationAccountSyncableImpl.gs:XXXSTRACERAW:-</v>
      </c>
      <c r="D871" s="3">
        <f t="shared" si="27"/>
        <v>1</v>
      </c>
    </row>
    <row r="872" spans="1:4" x14ac:dyDescent="0.35">
      <c r="A872" t="s">
        <v>1391</v>
      </c>
      <c r="B872">
        <v>3</v>
      </c>
      <c r="C872" t="str">
        <f t="shared" si="26"/>
        <v>EMSG:, AOR=XXXSTRACE:java.base/java.util.Date.getMillisOf(Date.java:XXXSTRACERAW:-</v>
      </c>
      <c r="D872" s="3">
        <f t="shared" si="27"/>
        <v>1</v>
      </c>
    </row>
    <row r="873" spans="1:4" x14ac:dyDescent="0.35">
      <c r="A873" t="s">
        <v>1392</v>
      </c>
      <c r="B873">
        <v>3</v>
      </c>
      <c r="C873" t="str">
        <f t="shared" si="26"/>
        <v>EMSG:-STRACE:-STRACERAW:Jan XXX XXX:XXX:XXX PST XXX, MSG=HTTP POST on resource 'https://api.odysseynext.com:XXX/api/client/quote/createQuick' failed: bad gateway (XXX</v>
      </c>
      <c r="D873" s="3">
        <f t="shared" si="27"/>
        <v>1</v>
      </c>
    </row>
    <row r="874" spans="1:4" x14ac:dyDescent="0.35">
      <c r="A874" t="s">
        <v>1393</v>
      </c>
      <c r="B874">
        <v>3</v>
      </c>
      <c r="C874" t="str">
        <f t="shared" si="26"/>
        <v>EMSG:-STRACE:-STRACERAW:Jan XXX XXX:XXX:XXX PST XXX, MSG=Transaction Failed. Failed to parse response : Unexpected character ('&lt;' (code XXX</v>
      </c>
      <c r="D874" s="3">
        <f t="shared" si="27"/>
        <v>1</v>
      </c>
    </row>
    <row r="875" spans="1:4" x14ac:dyDescent="0.35">
      <c r="A875" t="s">
        <v>1182</v>
      </c>
      <c r="B875">
        <v>3</v>
      </c>
      <c r="C875" t="str">
        <f t="shared" si="26"/>
        <v>EMSG:-STRACE:-STRACERAW:com.farmers.config.ho.helper.HomeownersDwellingWizardStepHelper.onEnter(HomeownersDwellingWizardStepHelper.gs:XXX</v>
      </c>
      <c r="D875" s="3">
        <f t="shared" si="27"/>
        <v>1</v>
      </c>
    </row>
    <row r="876" spans="1:4" x14ac:dyDescent="0.35">
      <c r="A876" t="s">
        <v>728</v>
      </c>
      <c r="B876">
        <v>3</v>
      </c>
      <c r="C876" t="str">
        <f t="shared" si="26"/>
        <v>EMSG:-STRACE:-STRACERAW:com.farmers.rating.ho.info.impl.HOLineInfoDto.mapFromEntity(HOLineInfoDto.gs:XXX</v>
      </c>
      <c r="D876" s="3">
        <f t="shared" si="27"/>
        <v>1</v>
      </c>
    </row>
    <row r="877" spans="1:4" x14ac:dyDescent="0.35">
      <c r="A877" t="s">
        <v>519</v>
      </c>
      <c r="B877">
        <v>3</v>
      </c>
      <c r="C877" t="str">
        <f t="shared" si="26"/>
        <v>EMSG:-STRACE:-STRACERAW:com.guidewire.pc.domain.job.impl.CancellationImpl.getPolicyPeriod(CancellationImpl.java:XXX</v>
      </c>
      <c r="D877" s="3">
        <f t="shared" si="27"/>
        <v>1</v>
      </c>
    </row>
    <row r="878" spans="1:4" x14ac:dyDescent="0.35">
      <c r="A878" t="s">
        <v>792</v>
      </c>
      <c r="B878">
        <v>3</v>
      </c>
      <c r="C878" t="str">
        <f t="shared" si="26"/>
        <v>EMSG:-STRACE:-STRACERAW:com.guidewire.pc.domain.policy.period.impl.PolicyPeriodImpl.getProducerOfRecord(PolicyPeriodImpl.java:XXX</v>
      </c>
      <c r="D878" s="3">
        <f t="shared" si="27"/>
        <v>1</v>
      </c>
    </row>
    <row r="879" spans="1:4" x14ac:dyDescent="0.35">
      <c r="A879" t="s">
        <v>1047</v>
      </c>
      <c r="B879">
        <v>3</v>
      </c>
      <c r="C879" t="str">
        <f t="shared" si="26"/>
        <v>EMSG:-STRACE:-STRACERAW:com.guidewire.pl.system.database.DistributedKeyRangeAllocator.runWithinTransactionInOtherThread(DistributedKeyRangeAllocator.java:XXX</v>
      </c>
      <c r="D879" s="3">
        <f t="shared" si="27"/>
        <v>1</v>
      </c>
    </row>
    <row r="880" spans="1:4" x14ac:dyDescent="0.35">
      <c r="A880" t="s">
        <v>452</v>
      </c>
      <c r="B880">
        <v>3</v>
      </c>
      <c r="C880" t="str">
        <f t="shared" si="26"/>
        <v>EMSG:-STRACE:-STRACERAW:com.guidewire.pl.system.entity.proxy.EffDatedBranchProxy.checkBranchNotEdited(EffDatedBranchProxy.java:XXX</v>
      </c>
      <c r="D880" s="3">
        <f t="shared" si="27"/>
        <v>1</v>
      </c>
    </row>
    <row r="881" spans="1:4" x14ac:dyDescent="0.35">
      <c r="A881" t="s">
        <v>350</v>
      </c>
      <c r="B881">
        <v>3</v>
      </c>
      <c r="C881" t="str">
        <f t="shared" si="26"/>
        <v>EMSG:-STRACE:-STRACERAW:com.guidewire.pl.system.entity.proxy.EffDatedBranchProxy.getTraversalDate(EffDatedBranchProxy.java:XXX</v>
      </c>
      <c r="D881" s="3">
        <f t="shared" si="27"/>
        <v>1</v>
      </c>
    </row>
    <row r="882" spans="1:4" x14ac:dyDescent="0.35">
      <c r="A882" t="s">
        <v>705</v>
      </c>
      <c r="B882">
        <v>3</v>
      </c>
      <c r="C882" t="str">
        <f t="shared" si="26"/>
        <v>EMSG:-STRACE:-STRACERAW:com.guidewire.pl.system.transaction.SessionImpl.commit(SessionImpl.java:XXX</v>
      </c>
      <c r="D882" s="3">
        <f t="shared" si="27"/>
        <v>1</v>
      </c>
    </row>
    <row r="883" spans="1:4" x14ac:dyDescent="0.35">
      <c r="A883" t="s">
        <v>1394</v>
      </c>
      <c r="B883">
        <v>3</v>
      </c>
      <c r="C883" t="str">
        <f t="shared" si="26"/>
        <v>EMSG:-STRACE:-STRACERAW:deployment.pc.war//com.guidewire.pc.domain.purge.PurgeHandlerImpl.doPurge(PurgeHandlerImpl.java:XXX</v>
      </c>
      <c r="D883" s="3">
        <f t="shared" si="27"/>
        <v>1</v>
      </c>
    </row>
    <row r="884" spans="1:4" x14ac:dyDescent="0.35">
      <c r="A884" t="s">
        <v>576</v>
      </c>
      <c r="B884">
        <v>3</v>
      </c>
      <c r="C884" t="str">
        <f t="shared" si="26"/>
        <v>EMSG:-STRACE:-STRACERAW:deployment.pc.war//com.guidewire.pl.system.database.entitywriter.DatabaseEntityWriterImpl.checkForNullConstraintViolation(DatabaseEntityWriterImpl.java:XXX</v>
      </c>
      <c r="D884" s="3">
        <f t="shared" si="27"/>
        <v>1</v>
      </c>
    </row>
    <row r="885" spans="1:4" x14ac:dyDescent="0.35">
      <c r="A885" t="s">
        <v>1023</v>
      </c>
      <c r="B885">
        <v>3</v>
      </c>
      <c r="C885" t="str">
        <f t="shared" si="26"/>
        <v>EMSG:-STRACE:-STRACERAW:deployment.pc.war//com.guidewire.pl.system.entity.proxy.EffDatedVersionListImpl.lambda$isNonOverlapping$XXX(EffDatedVersionListImpl.java:XXX</v>
      </c>
      <c r="D885" s="3">
        <f t="shared" si="27"/>
        <v>1</v>
      </c>
    </row>
    <row r="886" spans="1:4" x14ac:dyDescent="0.35">
      <c r="A886" t="s">
        <v>861</v>
      </c>
      <c r="B886">
        <v>3</v>
      </c>
      <c r="C886" t="str">
        <f t="shared" si="26"/>
        <v>EMSG:-STRACE:-STRACERAW:edge.capabilities.gateway.job.cancellation.CancellationHandler.createCancellation(CancellationHandler.gs:XXX</v>
      </c>
      <c r="D886" s="3">
        <f t="shared" si="27"/>
        <v>1</v>
      </c>
    </row>
    <row r="887" spans="1:4" x14ac:dyDescent="0.35">
      <c r="A887" t="s">
        <v>1395</v>
      </c>
      <c r="B887">
        <v>3</v>
      </c>
      <c r="C887" t="str">
        <f t="shared" si="26"/>
        <v>EMSG:-STRACE:-STRACERAW:gw.api.domain.account.AbstractAccountSyncedFieldImpl.getAccountEntityFieldValue(AbstractAccountSyncedFieldImpl.java:XXX</v>
      </c>
      <c r="D887" s="3">
        <f t="shared" si="27"/>
        <v>1</v>
      </c>
    </row>
    <row r="888" spans="1:4" x14ac:dyDescent="0.35">
      <c r="A888" t="s">
        <v>952</v>
      </c>
      <c r="B888">
        <v>3</v>
      </c>
      <c r="C888" t="str">
        <f t="shared" si="26"/>
        <v>EMSG:-STRACE:-STRACERAW:gw.internal.gosu.parser.FileSystemGosuClassRepository$ClassFileInfo.getContent(FileSystemGosuClassRepository.java:XXX</v>
      </c>
      <c r="D888" s="3">
        <f t="shared" si="27"/>
        <v>1</v>
      </c>
    </row>
    <row r="889" spans="1:4" x14ac:dyDescent="0.35">
      <c r="A889" t="s">
        <v>544</v>
      </c>
      <c r="B889">
        <v>3</v>
      </c>
      <c r="C889" t="str">
        <f t="shared" si="26"/>
        <v>EMSG:-STRACE:-STRACERAW:gw.job.JobEnhancement.getTransactionDoneByForDisplay(JobEnhancement.gsx:XXX</v>
      </c>
      <c r="D889" s="3">
        <f t="shared" si="27"/>
        <v>1</v>
      </c>
    </row>
    <row r="890" spans="1:4" x14ac:dyDescent="0.35">
      <c r="A890" t="s">
        <v>1185</v>
      </c>
      <c r="B890">
        <v>3</v>
      </c>
      <c r="C890" t="str">
        <f t="shared" si="26"/>
        <v>EMSG:-STRACE:-STRACERAW:gw.pl.persistence.core.effdate.EffDatedKey.&lt;init&gt;(EffDatedKey.java:XXX</v>
      </c>
      <c r="D890" s="3">
        <f t="shared" si="27"/>
        <v>1</v>
      </c>
    </row>
    <row r="891" spans="1:4" x14ac:dyDescent="0.35">
      <c r="A891" t="s">
        <v>1396</v>
      </c>
      <c r="B891">
        <v>3</v>
      </c>
      <c r="C891" t="str">
        <f t="shared" si="26"/>
        <v>EMSG:-STRACE:-STRACERAW:org.apache.solr.client.solrj.impl.BaseCloudSolrClient.requestWithRetryOnStaleState(BaseCloudSolrClient.java:XXX</v>
      </c>
      <c r="D891" s="3">
        <f t="shared" si="27"/>
        <v>1</v>
      </c>
    </row>
    <row r="892" spans="1:4" x14ac:dyDescent="0.35">
      <c r="A892" t="s">
        <v>922</v>
      </c>
      <c r="B892">
        <v>3</v>
      </c>
      <c r="C892" t="str">
        <f t="shared" si="26"/>
        <v>EMSG:-STRACE:-STRACERAW:pcfc.expressions.AccountFile_Summary_PolicyTerms_ExtCVExpressions$IteratorEntryXXXExpressionsImpl.initializeVariables_XXX(AccountFile_Summary_PolicyTerms_ExtCVExpressions.gs:XXX</v>
      </c>
      <c r="D892" s="3">
        <f t="shared" si="27"/>
        <v>1</v>
      </c>
    </row>
    <row r="893" spans="1:4" x14ac:dyDescent="0.35">
      <c r="A893" t="s">
        <v>708</v>
      </c>
      <c r="B893">
        <v>3</v>
      </c>
      <c r="C893" t="str">
        <f t="shared" si="26"/>
        <v>EMSG:-STRACE:-STRACERAW:pcfc.expressions.DatabasePolicySearchPanelSetExpressions$PolicySearchDVExpressionsImpl.valueRange_XXX(DatabasePolicySearchPanelSetExpressions.gs:XXX</v>
      </c>
      <c r="D893" s="3">
        <f t="shared" si="27"/>
        <v>1</v>
      </c>
    </row>
    <row r="894" spans="1:4" x14ac:dyDescent="0.35">
      <c r="A894" t="s">
        <v>1189</v>
      </c>
      <c r="B894">
        <v>3</v>
      </c>
      <c r="C894" t="str">
        <f t="shared" si="26"/>
        <v>EMSG:-STRACE:-STRACERAW:pcfc.expressions.JobWizardToolsMenuWizardStepSetExpressions$JobWizardToolsMenuWizardStepSetExpressionsImpl.visible_XXX(JobWizardToolsMenuWizardStepSetExpressions.gs:XXX</v>
      </c>
      <c r="D894" s="3">
        <f t="shared" si="27"/>
        <v>1</v>
      </c>
    </row>
    <row r="895" spans="1:4" x14ac:dyDescent="0.35">
      <c r="A895" t="s">
        <v>502</v>
      </c>
      <c r="B895">
        <v>3</v>
      </c>
      <c r="C895" t="str">
        <f t="shared" si="26"/>
        <v>EMSG:-STRACE:-STRACERAW:pcfc.expressions.PersonalAuto_AllVehicleCoveragesDVExpressions$PersonalAuto_AllVehicleCoveragesDVExpressionsImpl.initialValue_XXX(PersonalAuto_AllVehicleCoveragesDVExpressions.gs:XXX</v>
      </c>
      <c r="D895" s="3">
        <f t="shared" si="27"/>
        <v>1</v>
      </c>
    </row>
    <row r="896" spans="1:4" x14ac:dyDescent="0.35">
      <c r="A896" t="s">
        <v>405</v>
      </c>
      <c r="B896">
        <v>3</v>
      </c>
      <c r="C896" t="str">
        <f t="shared" si="26"/>
        <v>EMSG:-STRACE:-STRACERAW:pcfc.expressions.PriorPolicy_ExtPanelSet_PersonalAutoExpressions$PriorPolicy_ExtPanelSetExpressionsImpl.getReportOrderPerson_Ext(PriorPolicy_ExtPanelSet_PersonalAutoExpressions.gs:XXX</v>
      </c>
      <c r="D896" s="3">
        <f t="shared" si="27"/>
        <v>1</v>
      </c>
    </row>
    <row r="897" spans="1:4" x14ac:dyDescent="0.35">
      <c r="A897" t="s">
        <v>445</v>
      </c>
      <c r="B897">
        <v>3</v>
      </c>
      <c r="C897" t="str">
        <f t="shared" si="26"/>
        <v>EMSG:-STRACE:-STRACERAW:pcfc.expressions.SubmissionWizard_PriorCarrier_ExtScreenExpressions$SubmissionWizard_PriorCarrier_ExtScreenExpressionsImpl.initialValue_XXX(SubmissionWizard_PriorCarrier_ExtScreenExpressions.gs:XXX</v>
      </c>
      <c r="D897" s="3">
        <f t="shared" si="27"/>
        <v>1</v>
      </c>
    </row>
    <row r="898" spans="1:4" x14ac:dyDescent="0.35">
      <c r="A898" t="s">
        <v>666</v>
      </c>
      <c r="B898">
        <v>3</v>
      </c>
      <c r="C898" t="str">
        <f t="shared" ref="C898:C961" si="28">LEFT(A898,255)</f>
        <v>EMSG:-STRACE:[Source: (StringSTRACERAW:-</v>
      </c>
      <c r="D898" s="3">
        <f t="shared" ref="D898:D961" si="29">IF(AND((B898/10)&lt;1,(B898/10)&gt;0),1,(B898/10)*130%)</f>
        <v>1</v>
      </c>
    </row>
    <row r="899" spans="1:4" x14ac:dyDescent="0.35">
      <c r="A899" t="s">
        <v>1397</v>
      </c>
      <c r="B899">
        <v>3</v>
      </c>
      <c r="C899" t="str">
        <f t="shared" si="28"/>
        <v>EMSG:-STRACE:com.farmers.config.common.enhancements.PolicyPeriodEnhancement$block_XXX_.invoke(PolicyPeriodEnhancement.gsx:XXXSTRACERAW:-</v>
      </c>
      <c r="D899" s="3">
        <f t="shared" si="29"/>
        <v>1</v>
      </c>
    </row>
    <row r="900" spans="1:4" x14ac:dyDescent="0.35">
      <c r="A900" t="s">
        <v>1398</v>
      </c>
      <c r="B900">
        <v>3</v>
      </c>
      <c r="C900" t="str">
        <f t="shared" si="28"/>
        <v>EMSG:-STRACE:com.farmers.integ.framework.job.automatejob.AutomatedJob.handleSpillOverExceptions(AutomatedJob.gs:XXXSTRACERAW:-</v>
      </c>
      <c r="D900" s="3">
        <f t="shared" si="29"/>
        <v>1</v>
      </c>
    </row>
    <row r="901" spans="1:4" x14ac:dyDescent="0.35">
      <c r="A901" t="s">
        <v>503</v>
      </c>
      <c r="B901">
        <v>3</v>
      </c>
      <c r="C901" t="str">
        <f t="shared" si="28"/>
        <v>EMSG:-STRACE:com.farmers.integ.security.community.ace.agent.profile.processor.creator.ProducerCodeProfileDataCreateProcessor.create(ProducerCodeProfileDataCreateProcessor.gs:XXXSTRACERAW:-</v>
      </c>
      <c r="D901" s="3">
        <f t="shared" si="29"/>
        <v>1</v>
      </c>
    </row>
    <row r="902" spans="1:4" x14ac:dyDescent="0.35">
      <c r="A902" t="s">
        <v>1399</v>
      </c>
      <c r="B902">
        <v>3</v>
      </c>
      <c r="C902" t="str">
        <f t="shared" si="28"/>
        <v>EMSG:-STRACE:java.base/java.util.stream.ReferencePipeline$XXX$XXX.accept(ReferencePipeline.java:XXXSTRACERAW:-</v>
      </c>
      <c r="D902" s="3">
        <f t="shared" si="29"/>
        <v>1</v>
      </c>
    </row>
    <row r="903" spans="1:4" ht="43.5" x14ac:dyDescent="0.35">
      <c r="A903" s="4" t="s">
        <v>1400</v>
      </c>
      <c r="B903">
        <v>3</v>
      </c>
      <c r="C903" t="str">
        <f t="shared" si="28"/>
        <v>EMSG:-STRACE:least one vehicle. Since the number of vehicles is greater than the number of drivers, each driver must be a Primary Driver on at least one vehicle.
Change Primary Driver on the Vehicle XXX TOYOTA CAMRY XXXD XXXWD CE/LE/XLE. Primary Driver sh</v>
      </c>
      <c r="D903" s="3">
        <f t="shared" si="29"/>
        <v>1</v>
      </c>
    </row>
    <row r="904" spans="1:4" ht="43.5" x14ac:dyDescent="0.35">
      <c r="A904" s="4" t="s">
        <v>1401</v>
      </c>
      <c r="B904">
        <v>3</v>
      </c>
      <c r="C904" t="str">
        <f t="shared" si="28"/>
        <v>EMSG:-STRACE:least one vehicle. Since the number of vehicles is greater than the number of drivers, each driver must be a Primary Driver on at least one vehicle.
Update Primary Driver on the Vehicle XXX CHEVROLET TRUCK SUBURBAN XXX/XXXT XXXDOOR XXXXXXX LT</v>
      </c>
      <c r="D904" s="3">
        <f t="shared" si="29"/>
        <v>1</v>
      </c>
    </row>
    <row r="905" spans="1:4" ht="43.5" x14ac:dyDescent="0.35">
      <c r="A905" s="4" t="s">
        <v>1402</v>
      </c>
      <c r="B905">
        <v>3</v>
      </c>
      <c r="C905" t="str">
        <f t="shared" si="28"/>
        <v xml:space="preserve">EMSG:-STRACE:least one vehicle. Since the number of vehicles is greater than the number of drivers, each driver must be a Primary Driver on at least one vehicle.
Update Primary Driver on the Vehicle XXX GMC TRUCK ACADIA LIMITED XXXD XXXWD SLTXXX. Primary </v>
      </c>
      <c r="D905" s="3">
        <f t="shared" si="29"/>
        <v>1</v>
      </c>
    </row>
    <row r="906" spans="1:4" x14ac:dyDescent="0.35">
      <c r="A906" t="s">
        <v>1403</v>
      </c>
      <c r="B906">
        <v>3</v>
      </c>
      <c r="C906" t="str">
        <f t="shared" si="28"/>
        <v>EMSG:ANGELITO O DEDIOSSTRACE:com.farmers.config.pa.validator.BrightlineValidator.validateQuoteBrightlineRules(BrightlineValidator.gs:XXXSTRACERAW:-</v>
      </c>
      <c r="D906" s="3">
        <f t="shared" si="29"/>
        <v>1</v>
      </c>
    </row>
    <row r="907" spans="1:4" x14ac:dyDescent="0.35">
      <c r="A907" t="s">
        <v>883</v>
      </c>
      <c r="B907">
        <v>3</v>
      </c>
      <c r="C907" t="str">
        <f t="shared" si="28"/>
        <v>EMSG:Attempt to access bean of type "Submission" id=XXX with a null bundleSTRACE:deployment.pc.war//com.guidewire.pl.system.entity.proxy.BeanProxy.checkIsInBundle(BeanProxy.java:XXXSTRACERAW:-</v>
      </c>
      <c r="D907" s="3">
        <f t="shared" si="29"/>
        <v>1</v>
      </c>
    </row>
    <row r="908" spans="1:4" x14ac:dyDescent="0.35">
      <c r="A908" t="s">
        <v>1404</v>
      </c>
      <c r="B908">
        <v>3</v>
      </c>
      <c r="C908" t="str">
        <f t="shared" si="28"/>
        <v>EMSG:CLINTON JONESSTRACE:com.farmers.config.pa.validator.BrightlineValidator.validateQuoteBrightlineRules(BrightlineValidator.gs:XXXSTRACERAW:-</v>
      </c>
      <c r="D908" s="3">
        <f t="shared" si="29"/>
        <v>1</v>
      </c>
    </row>
    <row r="909" spans="1:4" x14ac:dyDescent="0.35">
      <c r="A909" t="s">
        <v>435</v>
      </c>
      <c r="B909">
        <v>3</v>
      </c>
      <c r="C909" t="str">
        <f t="shared" si="28"/>
        <v>EMSG:Can't have NULL branchIdSTRACE:deployment.pc.war//gw.pl.persistence.core.effdate.EffDatedKey.&lt;init&gt;(EffDatedKey.java:XXXSTRACERAW:-</v>
      </c>
      <c r="D909" s="3">
        <f t="shared" si="29"/>
        <v>1</v>
      </c>
    </row>
    <row r="910" spans="1:4" ht="29" x14ac:dyDescent="0.35">
      <c r="A910" s="4" t="s">
        <v>820</v>
      </c>
      <c r="B910">
        <v>3</v>
      </c>
      <c r="C910" t="str">
        <f t="shared" si="28"/>
        <v>EMSG:Cannot commit a bundle that has a non-zero commits disallowed counterSTRACE:has a non-zero commits disallowed counter
	at deployment.pc.war//com.guidewire.pl.system.bundle.EntityBundleImpl.commitAndGetBeans(EntityBundleImpl.java:XXXSTRACERAW:-</v>
      </c>
      <c r="D910" s="3">
        <f t="shared" si="29"/>
        <v>1</v>
      </c>
    </row>
    <row r="911" spans="1:4" x14ac:dyDescent="0.35">
      <c r="A911" t="s">
        <v>1194</v>
      </c>
      <c r="B911">
        <v>3</v>
      </c>
      <c r="C911" t="str">
        <f t="shared" si="28"/>
        <v>EMSG:Cannot quote Renewal as Renewal is already bound with same effective date.STRACE:gw.policy.PolicyPeriodValidation.validateInforcePolicy(PolicyPeriodValidation.gs:XXXSTRACERAW:-</v>
      </c>
      <c r="D911" s="3">
        <f t="shared" si="29"/>
        <v>1</v>
      </c>
    </row>
    <row r="912" spans="1:4" x14ac:dyDescent="0.35">
      <c r="A912" t="s">
        <v>1405</v>
      </c>
      <c r="B912">
        <v>3</v>
      </c>
      <c r="C912" t="str">
        <f t="shared" si="28"/>
        <v>EMSG:Cannot resolve an incident record to a single policy contact roleSTRACE:com.farmers.chargeability.pup.info.PUPIncidentInfoDto.mapFromEntity(PUPIncidentInfoDto.gs:XXXSTRACERAW:-</v>
      </c>
      <c r="D912" s="3">
        <f t="shared" si="29"/>
        <v>1</v>
      </c>
    </row>
    <row r="913" spans="1:4" x14ac:dyDescent="0.35">
      <c r="A913" t="s">
        <v>1029</v>
      </c>
      <c r="B913">
        <v>3</v>
      </c>
      <c r="C913" t="str">
        <f t="shared" si="28"/>
        <v>EMSG:Correct Loan number. Loan number must be alphanumericSTRACE:edge.capabilities.quote.submission.quoting.util.SubmissionUnderwritingIssuesUtil.checkVerifyRateExceptions(SubmissionUnderwritingIssuesUtil.gs:XXXSTRACERAW:-</v>
      </c>
      <c r="D913" s="3">
        <f t="shared" si="29"/>
        <v>1</v>
      </c>
    </row>
    <row r="914" spans="1:4" ht="29" x14ac:dyDescent="0.35">
      <c r="A914" s="4" t="s">
        <v>1406</v>
      </c>
      <c r="B914">
        <v>3</v>
      </c>
      <c r="C914" t="str">
        <f t="shared" si="28"/>
        <v>EMSG:Could not find a policy with number: XXX  that is effective on the given date: XXXXXXXXXSTRACE:is effective on the given date: XXXXXXXXX
	at com.farmers.integ.framework.job.automatejob.AutomatedJob.initialize(AutomatedJob.gs:XXXSTRACERAW:-</v>
      </c>
      <c r="D914" s="3">
        <f t="shared" si="29"/>
        <v>1</v>
      </c>
    </row>
    <row r="915" spans="1:4" x14ac:dyDescent="0.35">
      <c r="A915" t="s">
        <v>971</v>
      </c>
      <c r="B915">
        <v>3</v>
      </c>
      <c r="C915" t="str">
        <f t="shared" si="28"/>
        <v>EMSG:Could not map property VehicleDriver_Ext[]STRACE:deployment.pc.war//gw.internal.xml.gx.GxRuntime.createElement(GxRuntime.java:XXXSTRACERAW:-</v>
      </c>
      <c r="D915" s="3">
        <f t="shared" si="29"/>
        <v>1</v>
      </c>
    </row>
    <row r="916" spans="1:4" x14ac:dyDescent="0.35">
      <c r="A916" t="s">
        <v>786</v>
      </c>
      <c r="B916">
        <v>3</v>
      </c>
      <c r="C916" t="str">
        <f t="shared" si="28"/>
        <v>EMSG:Driver(s)STRACE:com.farmers.config.quoteandbind.validatequote.AbstractValidateQuoteHandler.validate(AbstractValidateQuoteHandler.gs:XXXSTRACERAW:-</v>
      </c>
      <c r="D916" s="3">
        <f t="shared" si="29"/>
        <v>1</v>
      </c>
    </row>
    <row r="917" spans="1:4" ht="29" x14ac:dyDescent="0.35">
      <c r="A917" s="4" t="s">
        <v>1407</v>
      </c>
      <c r="B917">
        <v>3</v>
      </c>
      <c r="C917" t="str">
        <f t="shared" si="28"/>
        <v>EMSG:Dwelling at XXXSTRACE:XXX BERKELEY DR, HOOVER, AL: Perils on Personal Property is now available and its value must be verified by the user.
	at gw.api.extension.PCExtensionInterfacesMapper$block_XXX_.invoke(PCExtensionInterfacesMapper.gs:XXXSTRACERAW</v>
      </c>
      <c r="D917" s="3">
        <f t="shared" si="29"/>
        <v>1</v>
      </c>
    </row>
    <row r="918" spans="1:4" ht="43.5" x14ac:dyDescent="0.35">
      <c r="A918" s="4" t="s">
        <v>1408</v>
      </c>
      <c r="B918">
        <v>3</v>
      </c>
      <c r="C918" t="str">
        <f t="shared" si="28"/>
        <v>EMSG:Dwelling at XXXSTRACE:XXX Basile Rd, Philadelphia, PA: Perils on Personal Property is now available and its value must be verified by the user.; Dwelling at XXX Basile Rd, Philadelphia, PA: No message configured; Dwelling at XXX Basile Rd, Philadelph</v>
      </c>
      <c r="D918" s="3">
        <f t="shared" si="29"/>
        <v>1</v>
      </c>
    </row>
    <row r="919" spans="1:4" ht="29" x14ac:dyDescent="0.35">
      <c r="A919" s="4" t="s">
        <v>1409</v>
      </c>
      <c r="B919">
        <v>3</v>
      </c>
      <c r="C919" t="str">
        <f t="shared" si="28"/>
        <v>EMSG:Dwelling at XXXSTRACE:XXX Bassett Rd, North Haven, CT: Perils on Personal Property is now available and its value must be verified by the user.
	at gw.api.extension.PCExtensionInterfacesMapper$block_XXX_.invoke(PCExtensionInterfacesMapper.gs:XXXSTRAC</v>
      </c>
      <c r="D919" s="3">
        <f t="shared" si="29"/>
        <v>1</v>
      </c>
    </row>
    <row r="920" spans="1:4" ht="43.5" x14ac:dyDescent="0.35">
      <c r="A920" s="4" t="s">
        <v>1410</v>
      </c>
      <c r="B920">
        <v>3</v>
      </c>
      <c r="C920" t="str">
        <f t="shared" si="28"/>
        <v>EMSG:Dwelling at XXXSTRACE:XXX Clark St, Bridgeport, CT: Perils on Personal Property is now available and its value must be verified by the user.; Dwelling at XXX Clark St, Bridgeport, CT: No message configured
	at gw.api.extension.PCExtensionInterfacesMa</v>
      </c>
      <c r="D920" s="3">
        <f t="shared" si="29"/>
        <v>1</v>
      </c>
    </row>
    <row r="921" spans="1:4" ht="29" x14ac:dyDescent="0.35">
      <c r="A921" s="4" t="s">
        <v>1411</v>
      </c>
      <c r="B921">
        <v>3</v>
      </c>
      <c r="C921" t="str">
        <f t="shared" si="28"/>
        <v>EMSG:Dwelling at XXXSTRACE:XXX Cody Ln, Butler, AL: Perils on Personal Property is now available and its value must be verified by the user.
	at gw.api.extension.PCExtensionInterfacesMapper$block_XXX_.invoke(PCExtensionInterfacesMapper.gs:XXXSTRACERAW:-</v>
      </c>
      <c r="D921" s="3">
        <f t="shared" si="29"/>
        <v>1</v>
      </c>
    </row>
    <row r="922" spans="1:4" ht="43.5" x14ac:dyDescent="0.35">
      <c r="A922" s="4" t="s">
        <v>1412</v>
      </c>
      <c r="B922">
        <v>3</v>
      </c>
      <c r="C922" t="str">
        <f t="shared" si="28"/>
        <v>EMSG:Dwelling at XXXSTRACE:XXX E Running Deer Trl, Scottsdale, AZ: No message configured; Dwelling at XXX E Running Deer Trl, Scottsdale, AZ: XXX% Limit on Extended Replacement Cost is no longer available and has been removed. Please enter a new value.
	a</v>
      </c>
      <c r="D922" s="3">
        <f t="shared" si="29"/>
        <v>1</v>
      </c>
    </row>
    <row r="923" spans="1:4" ht="29" x14ac:dyDescent="0.35">
      <c r="A923" s="4" t="s">
        <v>1413</v>
      </c>
      <c r="B923">
        <v>3</v>
      </c>
      <c r="C923" t="str">
        <f t="shared" si="28"/>
        <v>EMSG:Dwelling at XXXSTRACE:XXX Fairview Ave, Ponca City, OK: Perils on Personal Property is now available and its value must be verified by the user.
	at gw.api.extension.PCExtensionInterfacesMapper$block_XXX_.invoke(PCExtensionInterfacesMapper.gs:XXXSTRA</v>
      </c>
      <c r="D923" s="3">
        <f t="shared" si="29"/>
        <v>1</v>
      </c>
    </row>
    <row r="924" spans="1:4" ht="29" x14ac:dyDescent="0.35">
      <c r="A924" s="4" t="s">
        <v>1414</v>
      </c>
      <c r="B924">
        <v>3</v>
      </c>
      <c r="C924" t="str">
        <f t="shared" si="28"/>
        <v>EMSG:Dwelling at XXXSTRACE:XXX Farmhouse Ln, Clovis, CA: XXX% Limit on Loss of Use is no longer available and has been removed. Please enter a new value.
	at gw.api.extension.PCExtensionInterfacesMapper$block_XXX_.invoke(PCExtensionInterfacesMapper.gs:XXX</v>
      </c>
      <c r="D924" s="3">
        <f t="shared" si="29"/>
        <v>1</v>
      </c>
    </row>
    <row r="925" spans="1:4" ht="29" x14ac:dyDescent="0.35">
      <c r="A925" s="4" t="s">
        <v>1415</v>
      </c>
      <c r="B925">
        <v>3</v>
      </c>
      <c r="C925" t="str">
        <f t="shared" si="28"/>
        <v>EMSG:Dwelling at XXXSTRACE:XXX Grand View Cir, Joshua Tree, CA: XXX% Limit on Loss of Use is no longer available and has been removed. Please enter a new value.
	at gw.api.extension.PCExtensionInterfacesMapper$block_XXX_.invoke(PCExtensionInterfacesMapper</v>
      </c>
      <c r="D925" s="3">
        <f t="shared" si="29"/>
        <v>1</v>
      </c>
    </row>
    <row r="926" spans="1:4" ht="29" x14ac:dyDescent="0.35">
      <c r="A926" s="4" t="s">
        <v>1416</v>
      </c>
      <c r="B926">
        <v>3</v>
      </c>
      <c r="C926" t="str">
        <f t="shared" si="28"/>
        <v>EMSG:Dwelling at XXXSTRACE:XXX Hamilton Ln, Escondido, CA: XXX% Limit on Loss of Use is no longer available and has been removed. Please enter a new value.
	at gw.api.extension.PCExtensionInterfacesMapper$block_XXX_.invoke(PCExtensionInterfacesMapper.gs:X</v>
      </c>
      <c r="D926" s="3">
        <f t="shared" si="29"/>
        <v>1</v>
      </c>
    </row>
    <row r="927" spans="1:4" ht="29" x14ac:dyDescent="0.35">
      <c r="A927" s="4" t="s">
        <v>1417</v>
      </c>
      <c r="B927">
        <v>3</v>
      </c>
      <c r="C927" t="str">
        <f t="shared" si="28"/>
        <v>EMSG:Dwelling at XXXSTRACE:XXX Holly Oak Way, Poway, CA: XXX% Limit on Loss of Use is no longer available and has been removed. Please enter a new value.
	at gw.api.extension.PCExtensionInterfacesMapper$block_XXX_.invoke(PCExtensionInterfacesMapper.gs:XXX</v>
      </c>
      <c r="D927" s="3">
        <f t="shared" si="29"/>
        <v>1</v>
      </c>
    </row>
    <row r="928" spans="1:4" ht="29" x14ac:dyDescent="0.35">
      <c r="A928" s="4" t="s">
        <v>1418</v>
      </c>
      <c r="B928">
        <v>3</v>
      </c>
      <c r="C928" t="str">
        <f t="shared" si="28"/>
        <v>EMSG:Dwelling at XXXSTRACE:XXX Lakeside Dr, Odenville, AL: Perils on Personal Property is now available and its value must be verified by the user.
	at gw.api.extension.PCExtensionInterfacesMapper$block_XXX_.invoke(PCExtensionInterfacesMapper.gs:XXXSTRACE</v>
      </c>
      <c r="D928" s="3">
        <f t="shared" si="29"/>
        <v>1</v>
      </c>
    </row>
    <row r="929" spans="1:4" ht="29" x14ac:dyDescent="0.35">
      <c r="A929" s="4" t="s">
        <v>1419</v>
      </c>
      <c r="B929">
        <v>3</v>
      </c>
      <c r="C929" t="str">
        <f t="shared" si="28"/>
        <v>EMSG:Dwelling at XXXSTRACE:XXX Luann Ct, Vallejo, CA: XXX% Limit on Loss of Use is no longer available and has been removed. Please enter a new value.
	at gw.api.extension.PCExtensionInterfacesMapper$block_XXX_.invoke(PCExtensionInterfacesMapper.gs:XXXSTR</v>
      </c>
      <c r="D929" s="3">
        <f t="shared" si="29"/>
        <v>1</v>
      </c>
    </row>
    <row r="930" spans="1:4" ht="29" x14ac:dyDescent="0.35">
      <c r="A930" s="4" t="s">
        <v>1420</v>
      </c>
      <c r="B930">
        <v>3</v>
      </c>
      <c r="C930" t="str">
        <f t="shared" si="28"/>
        <v>EMSG:Dwelling at XXXSTRACE:XXX N Autumnglo Dr, Fresno, CA: XXX% Limit on Loss of Use is no longer available and has been removed. Please enter a new value.
	at gw.api.extension.PCExtensionInterfacesMapper$block_XXX_.invoke(PCExtensionInterfacesMapper.gs:X</v>
      </c>
      <c r="D930" s="3">
        <f t="shared" si="29"/>
        <v>1</v>
      </c>
    </row>
    <row r="931" spans="1:4" ht="29" x14ac:dyDescent="0.35">
      <c r="A931" s="4" t="s">
        <v>1421</v>
      </c>
      <c r="B931">
        <v>3</v>
      </c>
      <c r="C931" t="str">
        <f t="shared" si="28"/>
        <v>EMSG:Dwelling at XXXSTRACE:XXX N Burton Way, Palm Springs, CA: XXX% Limit on Loss of Use is no longer available and has been removed. Please enter a new value.
	at gw.api.extension.PCExtensionInterfacesMapper$block_XXX_.invoke(PCExtensionInterfacesMapper.</v>
      </c>
      <c r="D931" s="3">
        <f t="shared" si="29"/>
        <v>1</v>
      </c>
    </row>
    <row r="932" spans="1:4" ht="43.5" x14ac:dyDescent="0.35">
      <c r="A932" s="4" t="s">
        <v>1422</v>
      </c>
      <c r="B932">
        <v>3</v>
      </c>
      <c r="C932" t="str">
        <f t="shared" si="28"/>
        <v>EMSG:Dwelling at XXXSTRACE:XXX Nassau Rd, Warminster, PA: Perils on Personal Property is now available and its value must be verified by the user.; Dwelling at XXX Nassau Rd, Warminster, PA: No message configured
	at gw.api.extension.PCExtensionInterfaces</v>
      </c>
      <c r="D932" s="3">
        <f t="shared" si="29"/>
        <v>1</v>
      </c>
    </row>
    <row r="933" spans="1:4" ht="29" x14ac:dyDescent="0.35">
      <c r="A933" s="4" t="s">
        <v>1423</v>
      </c>
      <c r="B933">
        <v>3</v>
      </c>
      <c r="C933" t="str">
        <f t="shared" si="28"/>
        <v>EMSG:Dwelling at XXXSTRACE:XXX Rue De Lac, Escondido, CA: XXX% Limit on Loss of Use is no longer available and has been removed. Please enter a new value.
	at gw.api.extension.PCExtensionInterfacesMapper$block_XXX_.invoke(PCExtensionInterfacesMapper.gs:XX</v>
      </c>
      <c r="D933" s="3">
        <f t="shared" si="29"/>
        <v>1</v>
      </c>
    </row>
    <row r="934" spans="1:4" ht="29" x14ac:dyDescent="0.35">
      <c r="A934" s="4" t="s">
        <v>1424</v>
      </c>
      <c r="B934">
        <v>3</v>
      </c>
      <c r="C934" t="str">
        <f t="shared" si="28"/>
        <v>EMSG:Dwelling at XXXSTRACE:XXX Saw Mill Rd, Weston, CT: Perils on Personal Property is now available and its value must be verified by the user.
	at gw.api.extension.PCExtensionInterfacesMapper$block_XXX_.invoke(PCExtensionInterfacesMapper.gs:XXXSTRACERAW</v>
      </c>
      <c r="D934" s="3">
        <f t="shared" si="29"/>
        <v>1</v>
      </c>
    </row>
    <row r="935" spans="1:4" ht="43.5" x14ac:dyDescent="0.35">
      <c r="A935" s="4" t="s">
        <v>1425</v>
      </c>
      <c r="B935">
        <v>3</v>
      </c>
      <c r="C935" t="str">
        <f t="shared" si="28"/>
        <v xml:space="preserve">EMSG:Dwelling at XXXSTRACE:XXX The Oaks Blvd, Elgin, TX: Replacement Cost Value Valuation Method on Personal Property is no longer available and has been removed. Please enter a new value.; Dwelling at XXX The Oaks Blvd, Elgin, TX: No message configured
	</v>
      </c>
      <c r="D935" s="3">
        <f t="shared" si="29"/>
        <v>1</v>
      </c>
    </row>
    <row r="936" spans="1:4" ht="29" x14ac:dyDescent="0.35">
      <c r="A936" s="4" t="s">
        <v>1426</v>
      </c>
      <c r="B936">
        <v>3</v>
      </c>
      <c r="C936" t="str">
        <f t="shared" si="28"/>
        <v>EMSG:Dwelling at XXXSTRACE:XXX White Gate Rd, Alamo, CA: XXX% Limit on Loss of Use is no longer available and has been removed. Please enter a new value.
	at gw.api.extension.PCExtensionInterfacesMapper$block_XXX_.invoke(PCExtensionInterfacesMapper.gs:XXX</v>
      </c>
      <c r="D936" s="3">
        <f t="shared" si="29"/>
        <v>1</v>
      </c>
    </row>
    <row r="937" spans="1:4" ht="29" x14ac:dyDescent="0.35">
      <c r="A937" s="4" t="s">
        <v>1427</v>
      </c>
      <c r="B937">
        <v>3</v>
      </c>
      <c r="C937" t="str">
        <f t="shared" si="28"/>
        <v>EMSG:Dwelling at XXXSTRACE:XXXA XXX Essex St, Berkeley, CA: XXX% Limit on Loss of Use is no longer available and has been removed. Please enter a new value.
	at gw.api.extension.PCExtensionInterfacesMapper$block_XXX_.invoke(PCExtensionInterfacesMapper.gs:</v>
      </c>
      <c r="D937" s="3">
        <f t="shared" si="29"/>
        <v>1</v>
      </c>
    </row>
    <row r="938" spans="1:4" x14ac:dyDescent="0.35">
      <c r="A938" t="s">
        <v>1428</v>
      </c>
      <c r="B938">
        <v>3</v>
      </c>
      <c r="C938" t="str">
        <f t="shared" si="28"/>
        <v>EMSG:For eligible contact TERRY Runnells credit score is null. Please make sure credit is orderedSTRACE:com.farmers.config.common.credit.CreditScoreHelper.populateRatingCreditDTO(CreditScoreHelper.gs:XXXSTRACERAW:-</v>
      </c>
      <c r="D938" s="3">
        <f t="shared" si="29"/>
        <v>1</v>
      </c>
    </row>
    <row r="939" spans="1:4" x14ac:dyDescent="0.35">
      <c r="A939" t="s">
        <v>47</v>
      </c>
      <c r="B939">
        <v>3</v>
      </c>
      <c r="C939" t="str">
        <f t="shared" si="28"/>
        <v>EMSG:LUW Policy Change Job XXX: The object you are trying to update was XXXSTRACE:STRACERAW:-</v>
      </c>
      <c r="D939" s="3">
        <f t="shared" si="29"/>
        <v>1</v>
      </c>
    </row>
    <row r="940" spans="1:4" ht="87" x14ac:dyDescent="0.35">
      <c r="A940" s="4" t="s">
        <v>1429</v>
      </c>
      <c r="B940">
        <v>3</v>
      </c>
      <c r="C940" t="str">
        <f t="shared" si="28"/>
        <v>EMSG:LUW Policy Change Job XXX: The object you are trying to update was XXXSTRACE:XXX/XXX/XXX XXX:XXX AM. Please cancel and retry your change.
LUW Policy Change Job XXX: The object you are trying to update was 'Policy:CN:19830542070356865917XXX - CN:19830</v>
      </c>
      <c r="D940" s="3">
        <f t="shared" si="29"/>
        <v>1</v>
      </c>
    </row>
    <row r="941" spans="1:4" ht="43.5" x14ac:dyDescent="0.35">
      <c r="A941" s="4" t="s">
        <v>1430</v>
      </c>
      <c r="B941">
        <v>3</v>
      </c>
      <c r="C941" t="str">
        <f t="shared" si="28"/>
        <v>EMSG:LUW Policy Change Job XXX: The object you are trying to update was XXXSTRACE:XXX/XXX/XXX XXX:XXX AM. Please cancel and retry your change.
The object you are trying to update was 'Policy:pc:XXX - pc:XXX', and it was changed by Gabe Cudd at XXX/XXX/XXX</v>
      </c>
      <c r="D941" s="3">
        <f t="shared" si="29"/>
        <v>1</v>
      </c>
    </row>
    <row r="942" spans="1:4" ht="43.5" x14ac:dyDescent="0.35">
      <c r="A942" s="4" t="s">
        <v>646</v>
      </c>
      <c r="B942">
        <v>3</v>
      </c>
      <c r="C942" t="str">
        <f t="shared" si="28"/>
        <v>EMSG:LUW Policy Change Job XXX: The object you are trying to update was XXXSTRACE:XXX/XXX/XXX XXX:XXX AM. Please cancel and retry your change.
The object you are trying to update was 'Policy:pc:XXX - pc:XXX', and it was changed by System at XXX/XXX/XXX XX</v>
      </c>
      <c r="D942" s="3">
        <f t="shared" si="29"/>
        <v>1</v>
      </c>
    </row>
    <row r="943" spans="1:4" ht="87" x14ac:dyDescent="0.35">
      <c r="A943" s="4" t="s">
        <v>1431</v>
      </c>
      <c r="B943">
        <v>3</v>
      </c>
      <c r="C943" t="str">
        <f t="shared" si="28"/>
        <v>EMSG:LUW Policy Change Job XXX: The object you are trying to update was XXXSTRACE:XXX/XXX/XXX XXX:XXX PM. Please cancel and retry your change.
LUW Policy Change Job XXX: The object you are trying to update was 'Policy:CN:0103274878081762456007XXX - CN:010</v>
      </c>
      <c r="D943" s="3">
        <f t="shared" si="29"/>
        <v>1</v>
      </c>
    </row>
    <row r="944" spans="1:4" ht="87" x14ac:dyDescent="0.35">
      <c r="A944" s="4" t="s">
        <v>1432</v>
      </c>
      <c r="B944">
        <v>3</v>
      </c>
      <c r="C944" t="str">
        <f t="shared" si="28"/>
        <v>EMSG:LUW Policy Change Job XXX: The object you are trying to update was XXXSTRACE:XXX/XXX/XXX XXX:XXX PM. Please cancel and retry your change.
LUW Policy Change Job XXX: The object you are trying to update was 'Policy:CN:09258610590434871600042XXX - CN:09</v>
      </c>
      <c r="D944" s="3">
        <f t="shared" si="29"/>
        <v>1</v>
      </c>
    </row>
    <row r="945" spans="1:4" ht="87" x14ac:dyDescent="0.35">
      <c r="A945" s="4" t="s">
        <v>1433</v>
      </c>
      <c r="B945">
        <v>3</v>
      </c>
      <c r="C945" t="str">
        <f t="shared" si="28"/>
        <v>EMSG:LUW Policy Change Job XXX: The object you are trying to update was XXXSTRACE:XXX/XXX/XXX XXX:XXX PM. Please cancel and retry your change.
LUW Policy Change Job XXX: The object you are trying to update was 'Policy:CN:09313907910528937811009XXX - CN:09</v>
      </c>
      <c r="D945" s="3">
        <f t="shared" si="29"/>
        <v>1</v>
      </c>
    </row>
    <row r="946" spans="1:4" ht="87" x14ac:dyDescent="0.35">
      <c r="A946" s="4" t="s">
        <v>1434</v>
      </c>
      <c r="B946">
        <v>3</v>
      </c>
      <c r="C946" t="str">
        <f t="shared" si="28"/>
        <v>EMSG:LUW Policy Change Job XXX: The object you are trying to update was XXXSTRACE:XXX/XXX/XXX XXX:XXX PM. Please cancel and retry your change.
LUW Policy Change Job XXX: The object you are trying to update was 'Policy:CN:09334371960091678508XXX - CN:09334</v>
      </c>
      <c r="D946" s="3">
        <f t="shared" si="29"/>
        <v>1</v>
      </c>
    </row>
    <row r="947" spans="1:4" ht="116" x14ac:dyDescent="0.35">
      <c r="A947" s="4" t="s">
        <v>1435</v>
      </c>
      <c r="B947">
        <v>3</v>
      </c>
      <c r="C947" t="str">
        <f t="shared" si="28"/>
        <v>EMSG:LUW Policy Change Job XXX: The object you are trying to update was XXXSTRACE:XXX/XXX/XXX XXX:XXX PM. Please cancel and retry your change.
LUW Policy Change Job XXX: The object you are trying to update was 'Policy:CN:19507268620676667007019XXX - CN:19</v>
      </c>
      <c r="D947" s="3">
        <f t="shared" si="29"/>
        <v>1</v>
      </c>
    </row>
    <row r="948" spans="1:4" ht="58" x14ac:dyDescent="0.35">
      <c r="A948" s="4" t="s">
        <v>1436</v>
      </c>
      <c r="B948">
        <v>3</v>
      </c>
      <c r="C948" t="str">
        <f t="shared" si="28"/>
        <v>EMSG:LUW Policy Change Job XXX: The object you are trying to update was XXXSTRACE:XXX/XXX/XXX XXX:XXX PM. Please cancel and retry your change.
The object you are trying to update was 'Policy:CN:0186860192017273137303XXX - CN:0186860192017273137303XXX', an</v>
      </c>
      <c r="D948" s="3">
        <f t="shared" si="29"/>
        <v>1</v>
      </c>
    </row>
    <row r="949" spans="1:4" ht="58" x14ac:dyDescent="0.35">
      <c r="A949" s="4" t="s">
        <v>1437</v>
      </c>
      <c r="B949">
        <v>3</v>
      </c>
      <c r="C949" t="str">
        <f t="shared" si="28"/>
        <v>EMSG:LUW Policy Change Job XXX: The object you are trying to update was XXXSTRACE:XXX/XXX/XXX XXX:XXX PM. Please cancel and retry your change.
The object you are trying to update was 'Policy:CN:1985193747019178803001XXX - CN:1985193747019178803001XXX', an</v>
      </c>
      <c r="D949" s="3">
        <f t="shared" si="29"/>
        <v>1</v>
      </c>
    </row>
    <row r="950" spans="1:4" ht="58" x14ac:dyDescent="0.35">
      <c r="A950" s="4" t="s">
        <v>1438</v>
      </c>
      <c r="B950">
        <v>3</v>
      </c>
      <c r="C950" t="str">
        <f t="shared" si="28"/>
        <v>EMSG:LUW Policy Change Job XXX: The object you are trying to update was XXXSTRACE:XXX/XXX/XXX XXX:XXX PM. Please cancel and retry your change.
The object you are trying to update was 'Policy:CN:198696477801298172780196XXX - CN:198696477801298172780196XXX'</v>
      </c>
      <c r="D950" s="3">
        <f t="shared" si="29"/>
        <v>1</v>
      </c>
    </row>
    <row r="951" spans="1:4" ht="43.5" x14ac:dyDescent="0.35">
      <c r="A951" s="4" t="s">
        <v>643</v>
      </c>
      <c r="B951">
        <v>3</v>
      </c>
      <c r="C951" t="str">
        <f t="shared" si="28"/>
        <v>EMSG:LUW Policy Change Job XXX: The object you are trying to update was XXXSTRACE:XXX/XXX/XXX XXX:XXX PM. Please cancel and retry your change.
The object you are trying to update was 'Policy:pc:XXX - pc:XXX', and it was changed by System at XXX/XXX/XXX XX</v>
      </c>
      <c r="D951" s="3">
        <f t="shared" si="29"/>
        <v>1</v>
      </c>
    </row>
    <row r="952" spans="1:4" x14ac:dyDescent="0.35">
      <c r="A952" t="s">
        <v>458</v>
      </c>
      <c r="B952">
        <v>3</v>
      </c>
      <c r="C952" t="str">
        <f t="shared" si="28"/>
        <v>EMSG:ODSReconciliationProcessor#processPolicyPeriod : Exception Occurred java.lang.Exception: ODSReconciliationProcessor#processPolicyPeriod : Exception Occurred java.lang.reflect.UndeclaredThrowableExceptionSTRACE:com.farmers.integ.batch.odsreconciliatio</v>
      </c>
      <c r="D952" s="3">
        <f t="shared" si="29"/>
        <v>1</v>
      </c>
    </row>
    <row r="953" spans="1:4" x14ac:dyDescent="0.35">
      <c r="A953" t="s">
        <v>459</v>
      </c>
      <c r="B953">
        <v>3</v>
      </c>
      <c r="C953" t="str">
        <f t="shared" si="28"/>
        <v>EMSG:ODSReconciliationProcessor#processPolicyPeriod : Exception Occurred java.lang.reflect.UndeclaredThrowableExceptionSTRACE:com.farmers.integ.batch.odsreconciliation.util.ODSReconciliationProcessor$block_XXX_.invoke(ODSReconciliationProcessor.gs:XXXSTRA</v>
      </c>
      <c r="D953" s="3">
        <f t="shared" si="29"/>
        <v>1</v>
      </c>
    </row>
    <row r="954" spans="1:4" x14ac:dyDescent="0.35">
      <c r="A954" t="s">
        <v>842</v>
      </c>
      <c r="B954">
        <v>3</v>
      </c>
      <c r="C954" t="str">
        <f t="shared" si="28"/>
        <v>EMSG:One or more null constraint violations detected for MDMPolicyDetail_ExtSTRACE:deployment.pc.war//com.guidewire.pl.system.database.entitywriter.DatabaseEntityWriterImpl.checkForNullConstraintViolation(DatabaseEntityWriterImpl.java:XXXSTRACERAW:-</v>
      </c>
      <c r="D954" s="3">
        <f t="shared" si="29"/>
        <v>1</v>
      </c>
    </row>
    <row r="955" spans="1:4" x14ac:dyDescent="0.35">
      <c r="A955" t="s">
        <v>557</v>
      </c>
      <c r="B955">
        <v>3</v>
      </c>
      <c r="C955" t="str">
        <f t="shared" si="28"/>
        <v>EMSG:Personal Auto Line: Personal Injury Protection is required and must be added. XXXSTRACE:-STRACERAW:</v>
      </c>
      <c r="D955" s="3">
        <f t="shared" si="29"/>
        <v>1</v>
      </c>
    </row>
    <row r="956" spans="1:4" x14ac:dyDescent="0.35">
      <c r="A956" t="s">
        <v>683</v>
      </c>
      <c r="B956">
        <v>3</v>
      </c>
      <c r="C956" t="str">
        <f t="shared" si="28"/>
        <v>EMSG:Personal Auto Line: UM/UIM - Property Damage is required and must be added.STRACE:gw.api.extension.PCExtensionInterfacesMapper$block_XXX_.invoke(PCExtensionInterfacesMapper.gs:XXXSTRACERAW:-</v>
      </c>
      <c r="D956" s="3">
        <f t="shared" si="29"/>
        <v>1</v>
      </c>
    </row>
    <row r="957" spans="1:4" x14ac:dyDescent="0.35">
      <c r="A957" t="s">
        <v>558</v>
      </c>
      <c r="B957">
        <v>3</v>
      </c>
      <c r="C957" t="str">
        <f t="shared" si="28"/>
        <v>EMSG:Policy data prefill is not completed successfully. Please restart the Product rewrite again.STRACE:com.farmers.integ.productrewrite.prefill.HHInquiryHelper.prefillPolicyFromHHInquiry(HHInquiryHelper.gs:XXXSTRACERAW:-</v>
      </c>
      <c r="D957" s="3">
        <f t="shared" si="29"/>
        <v>1</v>
      </c>
    </row>
    <row r="958" spans="1:4" x14ac:dyDescent="0.35">
      <c r="A958" t="s">
        <v>843</v>
      </c>
      <c r="B958">
        <v>3</v>
      </c>
      <c r="C958" t="str">
        <f t="shared" si="28"/>
        <v>EMSG:Policy data prefill is not completed successfully. Please restart the Product rewrite.STRACE:com.farmers.integ.productrewrite.prefill.HHInquiryHelper.prefillPolicyFromHHInquiry(HHInquiryHelper.gs:XXXSTRACERAW:-</v>
      </c>
      <c r="D958" s="3">
        <f t="shared" si="29"/>
        <v>1</v>
      </c>
    </row>
    <row r="959" spans="1:4" x14ac:dyDescent="0.35">
      <c r="A959" t="s">
        <v>427</v>
      </c>
      <c r="B959">
        <v>3</v>
      </c>
      <c r="C959" t="str">
        <f t="shared" si="28"/>
        <v>EMSG:Policy is not eligible for new Auto Product as driver(s) did not receive a valid Motor Vehicle Record. Drivers without a valid Motor Vehicle Record may be excluded by request in CO.STRACE:com.farmers.config.pa.validator.BrightlineValidator.validateQu</v>
      </c>
      <c r="D959" s="3">
        <f t="shared" si="29"/>
        <v>1</v>
      </c>
    </row>
    <row r="960" spans="1:4" x14ac:dyDescent="0.35">
      <c r="A960" t="s">
        <v>812</v>
      </c>
      <c r="B960">
        <v>3</v>
      </c>
      <c r="C960" t="str">
        <f t="shared" si="28"/>
        <v>EMSG:Policy is not eligible for new Auto Product due to driver(s) with unacceptable license status.STRACE:gw.job.QuoteProcess.requestQuote(QuoteProcess.gs:XXXSTRACERAW:-</v>
      </c>
      <c r="D960" s="3">
        <f t="shared" si="29"/>
        <v>1</v>
      </c>
    </row>
    <row r="961" spans="1:4" x14ac:dyDescent="0.35">
      <c r="A961" t="s">
        <v>490</v>
      </c>
      <c r="B961">
        <v>3</v>
      </c>
      <c r="C961" t="str">
        <f t="shared" si="28"/>
        <v>EMSG:Quote not found!STRACE:com.farmers.edge.capabilities.foremost.ForemostResponseHandler.processForemostResponse(ForemostResponseHandler.gs:XXXSTRACERAW:-</v>
      </c>
      <c r="D961" s="3">
        <f t="shared" si="29"/>
        <v>1</v>
      </c>
    </row>
    <row r="962" spans="1:4" x14ac:dyDescent="0.35">
      <c r="A962" t="s">
        <v>1439</v>
      </c>
      <c r="B962">
        <v>3</v>
      </c>
      <c r="C962" t="str">
        <f t="shared" ref="C962:C1025" si="30">LEFT(A962,255)</f>
        <v>EMSG:Remove duplicate driver Satya Yaswanth Kalla. Two or more non-drivers with the same information exist.STRACE:edge.capabilities.policychange.lob.personalauto.coverables.DefaultPaCoverablePlugin.updateCoverables(DefaultPaCoverablePlugin.gs:XXXSTRACERAW</v>
      </c>
      <c r="D962" s="3">
        <f t="shared" ref="D962:D1025" si="31">IF(AND((B962/10)&lt;1,(B962/10)&gt;0),1,(B962/10)*130%)</f>
        <v>1</v>
      </c>
    </row>
    <row r="963" spans="1:4" ht="43.5" x14ac:dyDescent="0.35">
      <c r="A963" s="4" t="s">
        <v>1231</v>
      </c>
      <c r="B963">
        <v>3</v>
      </c>
      <c r="C963"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63" s="3">
        <f t="shared" si="31"/>
        <v>1</v>
      </c>
    </row>
    <row r="964" spans="1:4" ht="58" x14ac:dyDescent="0.35">
      <c r="A964" s="4" t="s">
        <v>1216</v>
      </c>
      <c r="B964">
        <v>3</v>
      </c>
      <c r="C964"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64" s="3">
        <f t="shared" si="31"/>
        <v>1</v>
      </c>
    </row>
    <row r="965" spans="1:4" ht="58" x14ac:dyDescent="0.35">
      <c r="A965" s="4" t="s">
        <v>1440</v>
      </c>
      <c r="B965">
        <v>3</v>
      </c>
      <c r="C965"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65" s="3">
        <f t="shared" si="31"/>
        <v>1</v>
      </c>
    </row>
    <row r="966" spans="1:4" ht="58" x14ac:dyDescent="0.35">
      <c r="A966" s="4" t="s">
        <v>1155</v>
      </c>
      <c r="B966">
        <v>3</v>
      </c>
      <c r="C966"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66" s="3">
        <f t="shared" si="31"/>
        <v>1</v>
      </c>
    </row>
    <row r="967" spans="1:4" ht="58" x14ac:dyDescent="0.35">
      <c r="A967" s="4" t="s">
        <v>1441</v>
      </c>
      <c r="B967">
        <v>3</v>
      </c>
      <c r="C967"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67" s="3">
        <f t="shared" si="31"/>
        <v>1</v>
      </c>
    </row>
    <row r="968" spans="1:4" ht="58" x14ac:dyDescent="0.35">
      <c r="A968" s="4" t="s">
        <v>1442</v>
      </c>
      <c r="B968">
        <v>3</v>
      </c>
      <c r="C968"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68" s="3">
        <f t="shared" si="31"/>
        <v>1</v>
      </c>
    </row>
    <row r="969" spans="1:4" ht="72.5" x14ac:dyDescent="0.35">
      <c r="A969" s="4" t="s">
        <v>1443</v>
      </c>
      <c r="B969">
        <v>3</v>
      </c>
      <c r="C969"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69" s="3">
        <f t="shared" si="31"/>
        <v>1</v>
      </c>
    </row>
    <row r="970" spans="1:4" ht="72.5" x14ac:dyDescent="0.35">
      <c r="A970" s="4" t="s">
        <v>1444</v>
      </c>
      <c r="B970">
        <v>3</v>
      </c>
      <c r="C970"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0" s="3">
        <f t="shared" si="31"/>
        <v>1</v>
      </c>
    </row>
    <row r="971" spans="1:4" ht="72.5" x14ac:dyDescent="0.35">
      <c r="A971" s="4" t="s">
        <v>1445</v>
      </c>
      <c r="B971">
        <v>3</v>
      </c>
      <c r="C971"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1" s="3">
        <f t="shared" si="31"/>
        <v>1</v>
      </c>
    </row>
    <row r="972" spans="1:4" ht="72.5" x14ac:dyDescent="0.35">
      <c r="A972" s="4" t="s">
        <v>1446</v>
      </c>
      <c r="B972">
        <v>3</v>
      </c>
      <c r="C972"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2" s="3">
        <f t="shared" si="31"/>
        <v>1</v>
      </c>
    </row>
    <row r="973" spans="1:4" ht="72.5" x14ac:dyDescent="0.35">
      <c r="A973" s="4" t="s">
        <v>1447</v>
      </c>
      <c r="B973">
        <v>3</v>
      </c>
      <c r="C973"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3" s="3">
        <f t="shared" si="31"/>
        <v>1</v>
      </c>
    </row>
    <row r="974" spans="1:4" ht="116" x14ac:dyDescent="0.35">
      <c r="A974" s="4" t="s">
        <v>1448</v>
      </c>
      <c r="B974">
        <v>3</v>
      </c>
      <c r="C974"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4" s="3">
        <f t="shared" si="31"/>
        <v>1</v>
      </c>
    </row>
    <row r="975" spans="1:4" ht="72.5" x14ac:dyDescent="0.35">
      <c r="A975" s="4" t="s">
        <v>1449</v>
      </c>
      <c r="B975">
        <v>3</v>
      </c>
      <c r="C975"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5" s="3">
        <f t="shared" si="31"/>
        <v>1</v>
      </c>
    </row>
    <row r="976" spans="1:4" ht="101.5" x14ac:dyDescent="0.35">
      <c r="A976" s="4" t="s">
        <v>1450</v>
      </c>
      <c r="B976">
        <v>3</v>
      </c>
      <c r="C976"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6" s="3">
        <f t="shared" si="31"/>
        <v>1</v>
      </c>
    </row>
    <row r="977" spans="1:4" ht="72.5" x14ac:dyDescent="0.35">
      <c r="A977" s="4" t="s">
        <v>1451</v>
      </c>
      <c r="B977">
        <v>3</v>
      </c>
      <c r="C977"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7" s="3">
        <f t="shared" si="31"/>
        <v>1</v>
      </c>
    </row>
    <row r="978" spans="1:4" ht="101.5" x14ac:dyDescent="0.35">
      <c r="A978" s="4" t="s">
        <v>1452</v>
      </c>
      <c r="B978">
        <v>3</v>
      </c>
      <c r="C978"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8" s="3">
        <f t="shared" si="31"/>
        <v>1</v>
      </c>
    </row>
    <row r="979" spans="1:4" ht="58" x14ac:dyDescent="0.35">
      <c r="A979" s="4" t="s">
        <v>1453</v>
      </c>
      <c r="B979">
        <v>3</v>
      </c>
      <c r="C979"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79" s="3">
        <f t="shared" si="31"/>
        <v>1</v>
      </c>
    </row>
    <row r="980" spans="1:4" ht="72.5" x14ac:dyDescent="0.35">
      <c r="A980" s="4" t="s">
        <v>1454</v>
      </c>
      <c r="B980">
        <v>3</v>
      </c>
      <c r="C980" t="str">
        <f t="shared" si="30"/>
        <v>EMSG:Select XXX as the Primary Driver on at least one vehicle. Since the number of vehicles is greater than the number of driversSTRACE:least one vehicle. Since the number of vehicles is greater than the number of drivers, each driver must be a Primary Dr</v>
      </c>
      <c r="D980" s="3">
        <f t="shared" si="31"/>
        <v>1</v>
      </c>
    </row>
    <row r="981" spans="1:4" x14ac:dyDescent="0.35">
      <c r="A981" t="s">
        <v>1455</v>
      </c>
      <c r="B981">
        <v>3</v>
      </c>
      <c r="C981" t="str">
        <f t="shared" si="30"/>
        <v>EMSG:Stale Days is not defined in the system tables for state - OtherSTRACE:com.farmers.config.pa.mvr.dao.MotorVehicleRecordDAO.performMultiMvrSearch(MotorVehicleRecordDAO.gs:XXXSTRACERAW:-</v>
      </c>
      <c r="D981" s="3">
        <f t="shared" si="31"/>
        <v>1</v>
      </c>
    </row>
    <row r="982" spans="1:4" x14ac:dyDescent="0.35">
      <c r="A982" t="s">
        <v>1116</v>
      </c>
      <c r="B982">
        <v>3</v>
      </c>
      <c r="C982" t="str">
        <f t="shared" si="30"/>
        <v>EMSG:The value XXX is not formatted correctly for the field "StName_ExtInternal": Exceeds the maximum length of XXX characters (XXX)STRACE:deployment.pc.war//gw.datatype.impl.StringConstraintsHandlerBase.validateStringLength(StringConstraintsHandlerBase.j</v>
      </c>
      <c r="D982" s="3">
        <f t="shared" si="31"/>
        <v>1</v>
      </c>
    </row>
    <row r="983" spans="1:4" x14ac:dyDescent="0.35">
      <c r="A983" t="s">
        <v>907</v>
      </c>
      <c r="B983">
        <v>3</v>
      </c>
      <c r="C983" t="str">
        <f t="shared" si="30"/>
        <v>EMSG:Unable to process HouseHold Inquiry Service ResponseSTRACE:com.farmers.integ.productrewrite.prefill.HHInquiryHelper.prefillPolicyFromHHInquiry(HHInquiryHelper.gs:XXXSTRACERAW:-</v>
      </c>
      <c r="D983" s="3">
        <f t="shared" si="31"/>
        <v>1</v>
      </c>
    </row>
    <row r="984" spans="1:4" x14ac:dyDescent="0.35">
      <c r="A984" t="s">
        <v>826</v>
      </c>
      <c r="B984">
        <v>3</v>
      </c>
      <c r="C984" t="str">
        <f t="shared" si="30"/>
        <v>EMSG:Unable to withdraw. The policy period linked to the job number is either withdrawn or complete.STRACE:edge.capabilities.policychange.PolicyChangeHandler.withdraw(PolicyChangeHandler.gs:XXXSTRACERAW:-</v>
      </c>
      <c r="D984" s="3">
        <f t="shared" si="31"/>
        <v>1</v>
      </c>
    </row>
    <row r="985" spans="1:4" x14ac:dyDescent="0.35">
      <c r="A985" t="s">
        <v>429</v>
      </c>
      <c r="B985">
        <v>3</v>
      </c>
      <c r="C985" t="str">
        <f t="shared" si="30"/>
        <v>EMSG:Update Primary Driver selection for XXXSTRACE:com.farmers.lob.pa.driverassignment.DriverAssignment.validateData(DriverAssignment.gs:XXXSTRACERAW:-</v>
      </c>
      <c r="D985" s="3">
        <f t="shared" si="31"/>
        <v>1</v>
      </c>
    </row>
    <row r="986" spans="1:4" ht="43.5" x14ac:dyDescent="0.35">
      <c r="A986" s="4" t="s">
        <v>1038</v>
      </c>
      <c r="B986">
        <v>3</v>
      </c>
      <c r="C986" t="str">
        <f t="shared" si="30"/>
        <v>EMSG:Update Primary Use for vehicles with XXXSTRACE:least one vehicle. Since the number of vehicles is greater than the number of drivers, each driver must be a Primary Driver on at least one vehicle.
	at com.farmers.lob.pa.driverassignment.DriverAssignme</v>
      </c>
      <c r="D986" s="3">
        <f t="shared" si="31"/>
        <v>1</v>
      </c>
    </row>
    <row r="987" spans="1:4" x14ac:dyDescent="0.35">
      <c r="A987" t="s">
        <v>1456</v>
      </c>
      <c r="B987">
        <v>3</v>
      </c>
      <c r="C987" t="str">
        <f t="shared" si="30"/>
        <v>EMSG:XXX KIA SORENTO XXXD XXXXXXX EX in Colorado: Coverage is on Comprehensive is now available and its value must be verified by the user.; XXX KIA SORENTO XXXD XXXXXXX EX in Colorado: Coverage is on Collision is now available and its value must be verif</v>
      </c>
      <c r="D987" s="3">
        <f t="shared" si="31"/>
        <v>1</v>
      </c>
    </row>
    <row r="988" spans="1:4" x14ac:dyDescent="0.35">
      <c r="A988" t="s">
        <v>1457</v>
      </c>
      <c r="B988">
        <v>3</v>
      </c>
      <c r="C988" t="str">
        <f t="shared" si="30"/>
        <v>EMSG:XXX TOYOTA CAMRY HYBRID XXXD LE/SE/XLE in Colorado: Coverage is on Comprehensive is now available and its value must be verified by the user.; XXX TOYOTA CAMRY HYBRID XXXD LE/SE/XLE in Colorado: Coverage is on Collision is now available and its value</v>
      </c>
      <c r="D988" s="3">
        <f t="shared" si="31"/>
        <v>1</v>
      </c>
    </row>
    <row r="989" spans="1:4" x14ac:dyDescent="0.35">
      <c r="A989" t="s">
        <v>1458</v>
      </c>
      <c r="B989">
        <v>3</v>
      </c>
      <c r="C989" t="str">
        <f t="shared" si="30"/>
        <v>EMSG:XXX TOYOTA CAMRY XXXD XXXWD LE/XLE/SE/XSE in Colorado: Coverage is on Comprehensive is now available and its value must be verified by the user.; XXX TOYOTA CAMRY XXXD XXXWD LE/XLE/SE/XSE in Colorado: Coverage is on Collision is now available and its</v>
      </c>
      <c r="D989" s="3">
        <f t="shared" si="31"/>
        <v>1</v>
      </c>
    </row>
    <row r="990" spans="1:4" x14ac:dyDescent="0.35">
      <c r="A990" t="s">
        <v>1459</v>
      </c>
      <c r="B990">
        <v>3</v>
      </c>
      <c r="C990" t="str">
        <f t="shared" si="30"/>
        <v>EMSG:XXX TOYOTA XXXRUNNER HYBRID XXXD XXXWD in Colorado: Coverage is on Comprehensive is now available and its value must be verified by the user.; XXX TOYOTA XXXRUNNER HYBRID XXXD XXXWD in Colorado: Coverage is on Collision is now available and its value</v>
      </c>
      <c r="D990" s="3">
        <f t="shared" si="31"/>
        <v>1</v>
      </c>
    </row>
    <row r="991" spans="1:4" x14ac:dyDescent="0.35">
      <c r="A991" t="s">
        <v>1460</v>
      </c>
      <c r="B991">
        <v>3</v>
      </c>
      <c r="C991" t="str">
        <f t="shared" si="30"/>
        <v>EMSG:com.guidewire.pl.system.exception.DBException: Failed to execute a querySTRACE:com.farmers.integ.erti.riskanalysis.servicedelegate.ADPFRiskAnalysisServiceDelegate.getADPFReport(ADPFRiskAnalysisServiceDelegate.gs:XXXSTRACERAW:-</v>
      </c>
      <c r="D991" s="3">
        <f t="shared" si="31"/>
        <v>1</v>
      </c>
    </row>
    <row r="992" spans="1:4" ht="43.5" x14ac:dyDescent="0.35">
      <c r="A992" s="4" t="s">
        <v>634</v>
      </c>
      <c r="B992">
        <v>2</v>
      </c>
      <c r="C992" t="str">
        <f t="shared" si="30"/>
        <v>EMSG:'Unable to parse XML from xml string using schemas [com.farmers.integ.distribution.ecms.deeplaunch.xsd.fullquotetoexpress_vXXX_XXX] and schema root com.farmers.integ.distribution.ecms.deeplaunch.xsd.fullquotetoexpress_vXXX_XXX.FullQuoteToExpress at l</v>
      </c>
      <c r="D992" s="3">
        <f t="shared" si="31"/>
        <v>1</v>
      </c>
    </row>
    <row r="993" spans="1:4" x14ac:dyDescent="0.35">
      <c r="A993" t="s">
        <v>1461</v>
      </c>
      <c r="B993">
        <v>2</v>
      </c>
      <c r="C993" t="str">
        <f t="shared" si="30"/>
        <v>EMSG:, AOR=XXXSTRACE:com.farmers.config.common.autoXXXstCentury.AutoXXXstCenturyProcess$block_XXX_.invoke(AutoXXXstCenturyProcess.gs:XXXSTRACERAW:-</v>
      </c>
      <c r="D993" s="3">
        <f t="shared" si="31"/>
        <v>1</v>
      </c>
    </row>
    <row r="994" spans="1:4" x14ac:dyDescent="0.35">
      <c r="A994" t="s">
        <v>1462</v>
      </c>
      <c r="B994">
        <v>2</v>
      </c>
      <c r="C994" t="str">
        <f t="shared" si="30"/>
        <v>EMSG:, AOR=XXXSTRACE:com.farmers.config.common.mvr.MVRProcess.buildInfractionsForFlex_Ext(MVRProcess.gs:XXXSTRACERAW:-</v>
      </c>
      <c r="D994" s="3">
        <f t="shared" si="31"/>
        <v>1</v>
      </c>
    </row>
    <row r="995" spans="1:4" x14ac:dyDescent="0.35">
      <c r="A995" t="s">
        <v>1463</v>
      </c>
      <c r="B995">
        <v>2</v>
      </c>
      <c r="C995" t="str">
        <f t="shared" si="30"/>
        <v>EMSG:, AOR=XXXSTRACE:com.farmers.config.ho.dwelling.propertyvaluation.process.HOPropertyValuationProcess.populateValuationRequest(HOPropertyValuationProcess.gs:XXXSTRACERAW:-</v>
      </c>
      <c r="D995" s="3">
        <f t="shared" si="31"/>
        <v>1</v>
      </c>
    </row>
    <row r="996" spans="1:4" x14ac:dyDescent="0.35">
      <c r="A996" t="s">
        <v>1138</v>
      </c>
      <c r="B996">
        <v>2</v>
      </c>
      <c r="C996" t="str">
        <f t="shared" si="30"/>
        <v>EMSG:, AOR=XXXSTRACE:com.farmers.config.ho.enhancement.PolicyPeriodEnhancement.getCoverageBAmount(PolicyPeriodEnhancement.gsx:XXXSTRACERAW:-</v>
      </c>
      <c r="D996" s="3">
        <f t="shared" si="31"/>
        <v>1</v>
      </c>
    </row>
    <row r="997" spans="1:4" x14ac:dyDescent="0.35">
      <c r="A997" t="s">
        <v>703</v>
      </c>
      <c r="B997">
        <v>2</v>
      </c>
      <c r="C997" t="str">
        <f t="shared" si="30"/>
        <v>EMSG:, AOR=XXXSTRACE:deployment.pc.war//com.guidewire.pl.system.bundle.BundleChanges.isElementOf(BundleChanges.java:XXXSTRACERAW:-</v>
      </c>
      <c r="D997" s="3">
        <f t="shared" si="31"/>
        <v>1</v>
      </c>
    </row>
    <row r="998" spans="1:4" x14ac:dyDescent="0.35">
      <c r="A998" t="s">
        <v>679</v>
      </c>
      <c r="B998">
        <v>2</v>
      </c>
      <c r="C998" t="str">
        <f t="shared" si="30"/>
        <v>EMSG:, AOR=XXXSTRACE:deployment.pc.war//com.guidewire.pl.system.database.DatabaseChangedBeanWriter.getExpectedBeanVersions(DatabaseChangedBeanWriter.java:XXXSTRACERAW:-</v>
      </c>
      <c r="D998" s="3">
        <f t="shared" si="31"/>
        <v>1</v>
      </c>
    </row>
    <row r="999" spans="1:4" x14ac:dyDescent="0.35">
      <c r="A999" t="s">
        <v>1074</v>
      </c>
      <c r="B999">
        <v>2</v>
      </c>
      <c r="C999" t="str">
        <f t="shared" si="30"/>
        <v>EMSG:, AOR=XXXSTRACE:deployment.pc.war//com.guidewire.pl.system.entity.proxy.EffDatedVersionListImpl.getBundle(EffDatedVersionListImpl.java:XXXSTRACERAW:-</v>
      </c>
      <c r="D999" s="3">
        <f t="shared" si="31"/>
        <v>1</v>
      </c>
    </row>
    <row r="1000" spans="1:4" x14ac:dyDescent="0.35">
      <c r="A1000" t="s">
        <v>1464</v>
      </c>
      <c r="B1000">
        <v>2</v>
      </c>
      <c r="C1000" t="str">
        <f t="shared" si="30"/>
        <v>EMSG:, AOR=XXXSTRACE:deployment.pc.war//gw.api.domain.account.AbstractAccountSyncedFieldImpl.shouldSetAccountEntityField(AbstractAccountSyncedFieldImpl.java:XXXSTRACERAW:-</v>
      </c>
      <c r="D1000" s="3">
        <f t="shared" si="31"/>
        <v>1</v>
      </c>
    </row>
    <row r="1001" spans="1:4" x14ac:dyDescent="0.35">
      <c r="A1001" t="s">
        <v>1465</v>
      </c>
      <c r="B1001">
        <v>2</v>
      </c>
      <c r="C1001" t="str">
        <f t="shared" si="30"/>
        <v>EMSG:, AOR=XXXSTRACE:gw.acc.luw.perf.JobManager$block_XXX_.invoke(JobManager.gs:XXXSTRACERAW:-</v>
      </c>
      <c r="D1001" s="3">
        <f t="shared" si="31"/>
        <v>1</v>
      </c>
    </row>
    <row r="1002" spans="1:4" x14ac:dyDescent="0.35">
      <c r="A1002" t="s">
        <v>1043</v>
      </c>
      <c r="B1002">
        <v>2</v>
      </c>
      <c r="C1002" t="str">
        <f t="shared" si="30"/>
        <v>EMSG:, AOR=XXXSTRACE:gw.lob.ho.HODwellingValidation_HOE.checkInvalidReasonForCatMit_EXT(HODwellingValidation_HOE.gs:XXXSTRACERAW:-</v>
      </c>
      <c r="D1002" s="3">
        <f t="shared" si="31"/>
        <v>1</v>
      </c>
    </row>
    <row r="1003" spans="1:4" x14ac:dyDescent="0.35">
      <c r="A1003" t="s">
        <v>1466</v>
      </c>
      <c r="B1003">
        <v>2</v>
      </c>
      <c r="C1003" t="str">
        <f t="shared" si="30"/>
        <v>EMSG:-STRACE:-STRACERAW:Dec XXX XXX:XXX:XXX PST XXX (attempted merging values XXX VOLKSWAGEN NEW BEETLE CONV XXX.XXX in Illinois and XXX VOLKSWAGEN NEW BEETLE CONV XXX.XXX in Illinois</v>
      </c>
      <c r="D1003" s="3">
        <f t="shared" si="31"/>
        <v>1</v>
      </c>
    </row>
    <row r="1004" spans="1:4" x14ac:dyDescent="0.35">
      <c r="A1004" t="s">
        <v>1045</v>
      </c>
      <c r="B1004">
        <v>2</v>
      </c>
      <c r="C1004" t="str">
        <f t="shared" si="30"/>
        <v>EMSG:-STRACE:-STRACERAW:Feb XXX XXX:XXX:XXX PST XXX (attempted merging values Personal Auto Line and Personal Auto Line</v>
      </c>
      <c r="D1004" s="3">
        <f t="shared" si="31"/>
        <v>1</v>
      </c>
    </row>
    <row r="1005" spans="1:4" x14ac:dyDescent="0.35">
      <c r="A1005" t="s">
        <v>1467</v>
      </c>
      <c r="B1005">
        <v>2</v>
      </c>
      <c r="C1005" t="str">
        <f t="shared" si="30"/>
        <v>EMSG:-STRACE:-STRACERAW:Mar XXX XXX:XXX:XXX PDT XXX (attempted merging values Personal Auto Line and Personal Auto Line</v>
      </c>
      <c r="D1005" s="3">
        <f t="shared" si="31"/>
        <v>1</v>
      </c>
    </row>
    <row r="1006" spans="1:4" x14ac:dyDescent="0.35">
      <c r="A1006" t="s">
        <v>1468</v>
      </c>
      <c r="B1006">
        <v>2</v>
      </c>
      <c r="C1006" t="str">
        <f t="shared" si="30"/>
        <v>EMSG:-STRACE:-STRACERAW:Mar XXX XXX:XXX:XXX PST XXX (attempted merging values Personal Umbrella Line and Personal Umbrella Line</v>
      </c>
      <c r="D1006" s="3">
        <f t="shared" si="31"/>
        <v>1</v>
      </c>
    </row>
    <row r="1007" spans="1:4" x14ac:dyDescent="0.35">
      <c r="A1007" t="s">
        <v>431</v>
      </c>
      <c r="B1007">
        <v>2</v>
      </c>
      <c r="C1007" t="str">
        <f t="shared" si="30"/>
        <v>EMSG:-STRACE:-STRACERAW:com.farmers.config.common.mdm.MDMProcess.retrieveEarnedPremiumForContacts(MDMProcess.gs:XXX</v>
      </c>
      <c r="D1007" s="3">
        <f t="shared" si="31"/>
        <v>1</v>
      </c>
    </row>
    <row r="1008" spans="1:4" x14ac:dyDescent="0.35">
      <c r="A1008" t="s">
        <v>1469</v>
      </c>
      <c r="B1008">
        <v>2</v>
      </c>
      <c r="C1008" t="str">
        <f t="shared" si="30"/>
        <v>EMSG:-STRACE:-STRACERAW:com.farmers.config.ho.helper.QuoteScreenHelper.getOtherCosts(QuoteScreenHelper.gs:XXX</v>
      </c>
      <c r="D1008" s="3">
        <f t="shared" si="31"/>
        <v>1</v>
      </c>
    </row>
    <row r="1009" spans="1:4" x14ac:dyDescent="0.35">
      <c r="A1009" t="s">
        <v>933</v>
      </c>
      <c r="B1009">
        <v>2</v>
      </c>
      <c r="C1009" t="str">
        <f t="shared" si="30"/>
        <v>EMSG:-STRACE:-STRACERAW:com.farmers.config.pa.mvr.dao.MotorVehicleRecordDAO.getCorrespondingMVRRecordWithStale(MotorVehicleRecordDAO.gs:XXX</v>
      </c>
      <c r="D1009" s="3">
        <f t="shared" si="31"/>
        <v>1</v>
      </c>
    </row>
    <row r="1010" spans="1:4" x14ac:dyDescent="0.35">
      <c r="A1010" t="s">
        <v>1470</v>
      </c>
      <c r="B1010">
        <v>2</v>
      </c>
      <c r="C1010" t="str">
        <f t="shared" si="30"/>
        <v>EMSG:-STRACE:-STRACERAW:com.farmers.config.pa.mvr.dao.MotorVehicleRecordDAO.performMultiMvrSearch(MotorVehicleRecordDAO.gs:XXX</v>
      </c>
      <c r="D1010" s="3">
        <f t="shared" si="31"/>
        <v>1</v>
      </c>
    </row>
    <row r="1011" spans="1:4" x14ac:dyDescent="0.35">
      <c r="A1011" t="s">
        <v>392</v>
      </c>
      <c r="B1011">
        <v>2</v>
      </c>
      <c r="C1011" t="str">
        <f t="shared" si="30"/>
        <v>EMSG:-STRACE:-STRACERAW:com.farmers.lob.pa.driverassignment.DriverAssignmentDriver.setDriverOrderData(DriverAssignmentDriver.gs:XXX</v>
      </c>
      <c r="D1011" s="3">
        <f t="shared" si="31"/>
        <v>1</v>
      </c>
    </row>
    <row r="1012" spans="1:4" x14ac:dyDescent="0.35">
      <c r="A1012" t="s">
        <v>701</v>
      </c>
      <c r="B1012">
        <v>2</v>
      </c>
      <c r="C1012" t="str">
        <f t="shared" si="30"/>
        <v>EMSG:-STRACE:-STRACERAW:com.farmers.utilities.datachange.DataChangeHandler.invokeDataChange(DataChangeHandler.gs:XXX</v>
      </c>
      <c r="D1012" s="3">
        <f t="shared" si="31"/>
        <v>1</v>
      </c>
    </row>
    <row r="1013" spans="1:4" x14ac:dyDescent="0.35">
      <c r="A1013" t="s">
        <v>475</v>
      </c>
      <c r="B1013">
        <v>2</v>
      </c>
      <c r="C1013" t="str">
        <f t="shared" si="30"/>
        <v>EMSG:-STRACE:-STRACERAW:com.guidewire.pl.cluster.internal.ptp.PointToPointUnicastTransportSession.call(PointToPointUnicastTransportSession.java:XXX</v>
      </c>
      <c r="D1013" s="3">
        <f t="shared" si="31"/>
        <v>1</v>
      </c>
    </row>
    <row r="1014" spans="1:4" x14ac:dyDescent="0.35">
      <c r="A1014" t="s">
        <v>1157</v>
      </c>
      <c r="B1014">
        <v>2</v>
      </c>
      <c r="C1014" t="str">
        <f t="shared" si="30"/>
        <v>EMSG:-STRACE:-STRACERAW:com.guidewire.pl.system.database.impl.DBRestriction.compare(DBRestriction.java:XXX</v>
      </c>
      <c r="D1014" s="3">
        <f t="shared" si="31"/>
        <v>1</v>
      </c>
    </row>
    <row r="1015" spans="1:4" x14ac:dyDescent="0.35">
      <c r="A1015" t="s">
        <v>1471</v>
      </c>
      <c r="B1015">
        <v>2</v>
      </c>
      <c r="C1015" t="str">
        <f t="shared" si="30"/>
        <v>EMSG:-STRACE:-STRACERAW:com.guidewire.pl.web.navigation.EditControllerImpl.addOrLoadBeanToBundle(EditControllerImpl.java:XXX</v>
      </c>
      <c r="D1015" s="3">
        <f t="shared" si="31"/>
        <v>1</v>
      </c>
    </row>
    <row r="1016" spans="1:4" x14ac:dyDescent="0.35">
      <c r="A1016" t="s">
        <v>1472</v>
      </c>
      <c r="B1016">
        <v>2</v>
      </c>
      <c r="C1016" t="str">
        <f t="shared" si="30"/>
        <v>EMSG:-STRACE:-STRACERAW:com.guidewire.pl.web.navigation.NavigatorImpl.doGoOrPush(NavigatorImpl.java:XXX</v>
      </c>
      <c r="D1016" s="3">
        <f t="shared" si="31"/>
        <v>1</v>
      </c>
    </row>
    <row r="1017" spans="1:4" x14ac:dyDescent="0.35">
      <c r="A1017" t="s">
        <v>1183</v>
      </c>
      <c r="B1017">
        <v>2</v>
      </c>
      <c r="C1017" t="str">
        <f t="shared" si="30"/>
        <v>EMSG:-STRACE:-STRACERAW:com.guidewire.pl.web.navigation.wizard.Wizard.getTitle(Wizard.java:XXX</v>
      </c>
      <c r="D1017" s="3">
        <f t="shared" si="31"/>
        <v>1</v>
      </c>
    </row>
    <row r="1018" spans="1:4" x14ac:dyDescent="0.35">
      <c r="A1018" t="s">
        <v>1240</v>
      </c>
      <c r="B1018">
        <v>2</v>
      </c>
      <c r="C1018" t="str">
        <f t="shared" si="30"/>
        <v>EMSG:-STRACE:-STRACERAW:deployment.pc.war//com.guidewire.pl.system.database.entitywriter.DatabaseEntityWriterImpl.writeSingleBeanUpdate(DatabaseEntityWriterImpl.java:XXX</v>
      </c>
      <c r="D1018" s="3">
        <f t="shared" si="31"/>
        <v>1</v>
      </c>
    </row>
    <row r="1019" spans="1:4" x14ac:dyDescent="0.35">
      <c r="A1019" t="s">
        <v>853</v>
      </c>
      <c r="B1019">
        <v>2</v>
      </c>
      <c r="C1019" t="str">
        <f t="shared" si="30"/>
        <v>EMSG:-STRACE:-STRACERAW:deployment.pc.war//com.guidewire.pl.system.entity.proxy.EffDatedBranchProxy.setPeriodWindow(EffDatedBranchProxy.java:XXX</v>
      </c>
      <c r="D1019" s="3">
        <f t="shared" si="31"/>
        <v>1</v>
      </c>
    </row>
    <row r="1020" spans="1:4" x14ac:dyDescent="0.35">
      <c r="A1020" t="s">
        <v>919</v>
      </c>
      <c r="B1020">
        <v>2</v>
      </c>
      <c r="C1020" t="str">
        <f t="shared" si="30"/>
        <v>EMSG:-STRACE:-STRACERAW:deployment.wmq.jmsra.rar//com.ibm.mq.connector.services.JCAExceptionBuilder.buildException(JCAExceptionBuilder.java:XXX</v>
      </c>
      <c r="D1020" s="3">
        <f t="shared" si="31"/>
        <v>1</v>
      </c>
    </row>
    <row r="1021" spans="1:4" x14ac:dyDescent="0.35">
      <c r="A1021" t="s">
        <v>834</v>
      </c>
      <c r="B1021">
        <v>2</v>
      </c>
      <c r="C1021" t="str">
        <f t="shared" si="30"/>
        <v>EMSG:-STRACE:-STRACERAW:gw.contact.AbstractPolicyContactRoleAccountSyncableImpl.refreshAccountInformation(AbstractPolicyContactRoleAccountSyncableImpl.gs:XXX</v>
      </c>
      <c r="D1021" s="3">
        <f t="shared" si="31"/>
        <v>1</v>
      </c>
    </row>
    <row r="1022" spans="1:4" x14ac:dyDescent="0.35">
      <c r="A1022" t="s">
        <v>1026</v>
      </c>
      <c r="B1022">
        <v>2</v>
      </c>
      <c r="C1022" t="str">
        <f t="shared" si="30"/>
        <v>EMSG:-STRACE:-STRACERAW:gw.internal.xml.gx.GxRuntime.createElement(GxRuntime.java:XXX</v>
      </c>
      <c r="D1022" s="3">
        <f t="shared" si="31"/>
        <v>1</v>
      </c>
    </row>
    <row r="1023" spans="1:4" x14ac:dyDescent="0.35">
      <c r="A1023" t="s">
        <v>1473</v>
      </c>
      <c r="B1023">
        <v>2</v>
      </c>
      <c r="C1023" t="str">
        <f t="shared" si="30"/>
        <v>EMSG:-STRACE:-STRACERAW:gw.job.JobConditions.checkAllVersions(JobConditions.gs:XXX</v>
      </c>
      <c r="D1023" s="3">
        <f t="shared" si="31"/>
        <v>1</v>
      </c>
    </row>
    <row r="1024" spans="1:4" x14ac:dyDescent="0.35">
      <c r="A1024" t="s">
        <v>521</v>
      </c>
      <c r="B1024">
        <v>2</v>
      </c>
      <c r="C1024" t="str">
        <f t="shared" si="30"/>
        <v>EMSG:-STRACE:-STRACERAW:gw.lob.common.PolicyInfoValidation$block_XXX_.invoke(PolicyInfoValidation.gs:XXX</v>
      </c>
      <c r="D1024" s="3">
        <f t="shared" si="31"/>
        <v>1</v>
      </c>
    </row>
    <row r="1025" spans="1:4" x14ac:dyDescent="0.35">
      <c r="A1025" t="s">
        <v>1474</v>
      </c>
      <c r="B1025">
        <v>2</v>
      </c>
      <c r="C1025" t="str">
        <f t="shared" si="30"/>
        <v>EMSG:-STRACE:-STRACERAW:gw.pl.util.ExceptionUtil.findExceptionCause(ExceptionUtil.java:XXX</v>
      </c>
      <c r="D1025" s="3">
        <f t="shared" si="31"/>
        <v>1</v>
      </c>
    </row>
    <row r="1026" spans="1:4" x14ac:dyDescent="0.35">
      <c r="A1026" t="s">
        <v>1475</v>
      </c>
      <c r="B1026">
        <v>2</v>
      </c>
      <c r="C1026" t="str">
        <f t="shared" ref="C1026:C1089" si="32">LEFT(A1026,255)</f>
        <v>EMSG:-STRACE:-STRACERAW:gw.policylocation.PolicyLocationAccountSyncableImpl.refreshAccountInformation(PolicyLocationAccountSyncableImpl.gs:XXX</v>
      </c>
      <c r="D1026" s="3">
        <f t="shared" ref="D1026:D1089" si="33">IF(AND((B1026/10)&lt;1,(B1026/10)&gt;0),1,(B1026/10)*130%)</f>
        <v>1</v>
      </c>
    </row>
    <row r="1027" spans="1:4" x14ac:dyDescent="0.35">
      <c r="A1027" t="s">
        <v>879</v>
      </c>
      <c r="B1027">
        <v>2</v>
      </c>
      <c r="C1027" t="str">
        <f t="shared" si="32"/>
        <v>EMSG:-STRACE:-STRACERAW:gwservices.pc.dm.api.DMMigPolicyPeriodModelEnhancement.validate(DMMigPolicyPeriodModelEnhancement.gsx:XXX</v>
      </c>
      <c r="D1027" s="3">
        <f t="shared" si="33"/>
        <v>1</v>
      </c>
    </row>
    <row r="1028" spans="1:4" x14ac:dyDescent="0.35">
      <c r="A1028" t="s">
        <v>960</v>
      </c>
      <c r="B1028">
        <v>2</v>
      </c>
      <c r="C1028" t="str">
        <f t="shared" si="32"/>
        <v>EMSG:-STRACE:-STRACERAW:java.base/jdk.internal.reflect.NativeMethodAccessorImpl.invokeXXX(Native Method</v>
      </c>
      <c r="D1028" s="3">
        <f t="shared" si="33"/>
        <v>1</v>
      </c>
    </row>
    <row r="1029" spans="1:4" x14ac:dyDescent="0.35">
      <c r="A1029" t="s">
        <v>961</v>
      </c>
      <c r="B1029">
        <v>2</v>
      </c>
      <c r="C1029" t="str">
        <f t="shared" si="32"/>
        <v>EMSG:-STRACE:-STRACERAW:jdk.internal.reflect.NativeMethodAccessorImpl.invokeXXX(Native Method</v>
      </c>
      <c r="D1029" s="3">
        <f t="shared" si="33"/>
        <v>1</v>
      </c>
    </row>
    <row r="1030" spans="1:4" x14ac:dyDescent="0.35">
      <c r="A1030" t="s">
        <v>1476</v>
      </c>
      <c r="B1030">
        <v>2</v>
      </c>
      <c r="C1030" t="str">
        <f t="shared" si="32"/>
        <v>EMSG:-STRACE:-STRACERAW:pcfc.expressions.CEACompanionPopupExpressions$CEACompanionPopupExpressionsImpl.onChange_XXX(CEACompanionPopupExpressions.gs:XXX</v>
      </c>
      <c r="D1030" s="3">
        <f t="shared" si="33"/>
        <v>1</v>
      </c>
    </row>
    <row r="1031" spans="1:4" x14ac:dyDescent="0.35">
      <c r="A1031" t="s">
        <v>837</v>
      </c>
      <c r="B1031">
        <v>2</v>
      </c>
      <c r="C1031" t="str">
        <f t="shared" si="32"/>
        <v>EMSG:-STRACE:-STRACERAW:pcfc.expressions.JobRolesLVExpressions$JobRolesLVExpressionsImpl.getGroupBasedonUser(JobRolesLVExpressions.gs:XXX</v>
      </c>
      <c r="D1031" s="3">
        <f t="shared" si="33"/>
        <v>1</v>
      </c>
    </row>
    <row r="1032" spans="1:4" x14ac:dyDescent="0.35">
      <c r="A1032" t="s">
        <v>1477</v>
      </c>
      <c r="B1032">
        <v>2</v>
      </c>
      <c r="C1032" t="str">
        <f t="shared" si="32"/>
        <v>EMSG:-STRACE:-STRACERAW:pcfc.expressions.JobWizardToolbarButtonSet_PolicyChangeExpressions$JobWizardToolbarButtonSetExpressionsImpl.initialValue_XXX(JobWizardToolbarButtonSet_PolicyChangeExpressions.gs:XXX</v>
      </c>
      <c r="D1032" s="3">
        <f t="shared" si="33"/>
        <v>1</v>
      </c>
    </row>
    <row r="1033" spans="1:4" x14ac:dyDescent="0.35">
      <c r="A1033" t="s">
        <v>1478</v>
      </c>
      <c r="B1033">
        <v>2</v>
      </c>
      <c r="C1033" t="str">
        <f t="shared" si="32"/>
        <v>EMSG:-STRACE:-STRACERAW:pcfc.expressions.WorkflowDetailDVExpressions$WorkflowDetailDVExpressionsImpl.value_XXX(WorkflowDetailDVExpressions.gs:XXX</v>
      </c>
      <c r="D1033" s="3">
        <f t="shared" si="33"/>
        <v>1</v>
      </c>
    </row>
    <row r="1034" spans="1:4" x14ac:dyDescent="0.35">
      <c r="A1034" t="s">
        <v>1223</v>
      </c>
      <c r="B1034">
        <v>2</v>
      </c>
      <c r="C1034" t="str">
        <f t="shared" si="32"/>
        <v>EMSG:-STRACE:-STRACERAW:qRoot WHERE qRoot.BranchID IN (?,?,?,?,?,?,?,?,?</v>
      </c>
      <c r="D1034" s="3">
        <f t="shared" si="33"/>
        <v>1</v>
      </c>
    </row>
    <row r="1035" spans="1:4" x14ac:dyDescent="0.35">
      <c r="A1035" t="s">
        <v>923</v>
      </c>
      <c r="B1035">
        <v>2</v>
      </c>
      <c r="C1035" t="str">
        <f t="shared" si="32"/>
        <v>EMSG:-STRACE:-STRACERAW:sun.nio.ch.FileDispatcherImpl.readXXX(Native Method</v>
      </c>
      <c r="D1035" s="3">
        <f t="shared" si="33"/>
        <v>1</v>
      </c>
    </row>
    <row r="1036" spans="1:4" x14ac:dyDescent="0.35">
      <c r="A1036" t="s">
        <v>420</v>
      </c>
      <c r="B1036">
        <v>2</v>
      </c>
      <c r="C1036" t="str">
        <f t="shared" si="32"/>
        <v>EMSG:-STRACE:com.farmers.config.account.AccountEnhancement$block_XXX_.invoke(AccountEnhancement.gsx:XXXSTRACERAW:-</v>
      </c>
      <c r="D1036" s="3">
        <f t="shared" si="33"/>
        <v>1</v>
      </c>
    </row>
    <row r="1037" spans="1:4" x14ac:dyDescent="0.35">
      <c r="A1037" t="s">
        <v>1089</v>
      </c>
      <c r="B1037">
        <v>2</v>
      </c>
      <c r="C1037" t="str">
        <f t="shared" si="32"/>
        <v>EMSG:-STRACE:com.farmers.config.pup.policyrefresh.ruleengine.PUPAutomaticUpdater.createAllActivity(PUPAutomaticUpdater.gs:XXXSTRACERAW:-</v>
      </c>
      <c r="D1037" s="3">
        <f t="shared" si="33"/>
        <v>1</v>
      </c>
    </row>
    <row r="1038" spans="1:4" x14ac:dyDescent="0.35">
      <c r="A1038" t="s">
        <v>1479</v>
      </c>
      <c r="B1038">
        <v>2</v>
      </c>
      <c r="C1038" t="str">
        <f t="shared" si="32"/>
        <v>EMSG:-STRACE:com.farmers.integ.billing.retrievequote.transfomer.RetrieveQuoteResponseTransformer$block_XXX_.invoke(RetrieveQuoteResponseTransformer.gs:XXXSTRACERAW:-</v>
      </c>
      <c r="D1038" s="3">
        <f t="shared" si="33"/>
        <v>1</v>
      </c>
    </row>
    <row r="1039" spans="1:4" x14ac:dyDescent="0.35">
      <c r="A1039" t="s">
        <v>1480</v>
      </c>
      <c r="B1039">
        <v>2</v>
      </c>
      <c r="C1039" t="str">
        <f t="shared" si="32"/>
        <v>EMSG:-STRACE:com.farmers.integ.common.utils.authentication.OKTARedirectHelper.getOKTAUser(OKTARedirectHelper.gs:XXXSTRACERAW:-</v>
      </c>
      <c r="D1039" s="3">
        <f t="shared" si="33"/>
        <v>1</v>
      </c>
    </row>
    <row r="1040" spans="1:4" x14ac:dyDescent="0.35">
      <c r="A1040" t="s">
        <v>676</v>
      </c>
      <c r="B1040">
        <v>2</v>
      </c>
      <c r="C1040" t="str">
        <f t="shared" si="32"/>
        <v>EMSG:-STRACE:com.farmers.integ.documentmgmt.ondemand.autoformgeneration.transformer.AutoOnDemandFormGenRequestTransformer.transform(AutoOnDemandFormGenRequestTransformer.gs:XXXSTRACERAW:-</v>
      </c>
      <c r="D1040" s="3">
        <f t="shared" si="33"/>
        <v>1</v>
      </c>
    </row>
    <row r="1041" spans="1:4" x14ac:dyDescent="0.35">
      <c r="A1041" t="s">
        <v>888</v>
      </c>
      <c r="B1041">
        <v>2</v>
      </c>
      <c r="C1041" t="str">
        <f t="shared" si="32"/>
        <v>EMSG:-STRACE:com.farmers.integ.documentmgmt.ondemand.homeformgeneration.transformer.HomeOnDemandFormGenRequestTransformer.transform(HomeOnDemandFormGenRequestTransformer.gs:XXXSTRACERAW:-</v>
      </c>
      <c r="D1041" s="3">
        <f t="shared" si="33"/>
        <v>1</v>
      </c>
    </row>
    <row r="1042" spans="1:4" x14ac:dyDescent="0.35">
      <c r="A1042" t="s">
        <v>1481</v>
      </c>
      <c r="B1042">
        <v>2</v>
      </c>
      <c r="C1042" t="str">
        <f t="shared" si="32"/>
        <v>EMSG:-STRACE:com.farmers.integ.downstream.policytransaction.BranchOrderHelper$Entry.compareTo(BranchOrderHelper.gs:XXXSTRACERAW:-</v>
      </c>
      <c r="D1042" s="3">
        <f t="shared" si="33"/>
        <v>1</v>
      </c>
    </row>
    <row r="1043" spans="1:4" x14ac:dyDescent="0.35">
      <c r="A1043" t="s">
        <v>526</v>
      </c>
      <c r="B1043">
        <v>2</v>
      </c>
      <c r="C1043" t="str">
        <f t="shared" si="32"/>
        <v>EMSG:-STRACE:com.farmers.integ.erti.iso.location.ISOLocationUnusualAddressHelper.checkForDecimalInput(ISOLocationUnusualAddressHelper.gs:XXXSTRACERAW:-</v>
      </c>
      <c r="D1043" s="3">
        <f t="shared" si="33"/>
        <v>1</v>
      </c>
    </row>
    <row r="1044" spans="1:4" x14ac:dyDescent="0.35">
      <c r="A1044" t="s">
        <v>480</v>
      </c>
      <c r="B1044">
        <v>2</v>
      </c>
      <c r="C1044" t="str">
        <f t="shared" si="32"/>
        <v>EMSG:-STRACE:com.farmers.integ.security.community.ace.agent.profile.processor.updator.StaffUserSecondaryProducerCodeUpdateProcessor.update(StaffUserSecondaryProducerCodeUpdateProcessor.gs:XXXSTRACERAW:-</v>
      </c>
      <c r="D1044" s="3">
        <f t="shared" si="33"/>
        <v>1</v>
      </c>
    </row>
    <row r="1045" spans="1:4" x14ac:dyDescent="0.35">
      <c r="A1045" t="s">
        <v>1054</v>
      </c>
      <c r="B1045">
        <v>2</v>
      </c>
      <c r="C1045" t="str">
        <f t="shared" si="32"/>
        <v>EMSG:-STRACE:deployment.pc.war//com.guidewire.pl.system.bundle.BundleChanges.isElementOf(BundleChanges.java:XXXSTRACERAW:-</v>
      </c>
      <c r="D1045" s="3">
        <f t="shared" si="33"/>
        <v>1</v>
      </c>
    </row>
    <row r="1046" spans="1:4" x14ac:dyDescent="0.35">
      <c r="A1046" t="s">
        <v>817</v>
      </c>
      <c r="B1046">
        <v>2</v>
      </c>
      <c r="C1046" t="str">
        <f t="shared" si="32"/>
        <v>EMSG:-STRACE:deployment.pc.war//com.guidewire.pl.system.bundle.BundleWriter.filterRuleVisibleBeans(BundleWriter.java:XXXSTRACERAW:-</v>
      </c>
      <c r="D1046" s="3">
        <f t="shared" si="33"/>
        <v>1</v>
      </c>
    </row>
    <row r="1047" spans="1:4" x14ac:dyDescent="0.35">
      <c r="A1047" t="s">
        <v>963</v>
      </c>
      <c r="B1047">
        <v>2</v>
      </c>
      <c r="C1047" t="str">
        <f t="shared" si="32"/>
        <v>EMSG:-STRACE:edge.capabilities.quote.submission.GatewayQuoteHandler$block_XXX_.invoke(GatewayQuoteHandler.gs:XXXSTRACERAW:-</v>
      </c>
      <c r="D1047" s="3">
        <f t="shared" si="33"/>
        <v>1</v>
      </c>
    </row>
    <row r="1048" spans="1:4" x14ac:dyDescent="0.35">
      <c r="A1048" t="s">
        <v>1191</v>
      </c>
      <c r="B1048">
        <v>2</v>
      </c>
      <c r="C1048" t="str">
        <f t="shared" si="32"/>
        <v>EMSG:-STRACE:gw.lob.common.PolicyInfoValidation$block_XXX_.invoke(PolicyInfoValidation.gs:XXXSTRACERAW:-</v>
      </c>
      <c r="D1048" s="3">
        <f t="shared" si="33"/>
        <v>1</v>
      </c>
    </row>
    <row r="1049" spans="1:4" x14ac:dyDescent="0.35">
      <c r="A1049" t="s">
        <v>1007</v>
      </c>
      <c r="B1049">
        <v>2</v>
      </c>
      <c r="C1049" t="str">
        <f t="shared" si="32"/>
        <v>EMSG:-STRACE:gw.lob.pa.PersonalAutoLineEnhancement.runDiscountforPolicy_Ext(PersonalAutoLineEnhancement.gsx:XXXSTRACERAW:-</v>
      </c>
      <c r="D1049" s="3">
        <f t="shared" si="33"/>
        <v>1</v>
      </c>
    </row>
    <row r="1050" spans="1:4" x14ac:dyDescent="0.35">
      <c r="A1050" t="s">
        <v>552</v>
      </c>
      <c r="B1050">
        <v>2</v>
      </c>
      <c r="C1050" t="str">
        <f t="shared" si="32"/>
        <v>EMSG:-STRACE:java.base/java.io.File.&lt;init&gt;(File.java:XXXSTRACERAW:-</v>
      </c>
      <c r="D1050" s="3">
        <f t="shared" si="33"/>
        <v>1</v>
      </c>
    </row>
    <row r="1051" spans="1:4" x14ac:dyDescent="0.35">
      <c r="A1051" t="s">
        <v>1482</v>
      </c>
      <c r="B1051">
        <v>2</v>
      </c>
      <c r="C1051" t="str">
        <f t="shared" si="32"/>
        <v>EMSG:-STRACE:java.base/java.lang.NumberFormatException.forInputString(NumberFormatException.java:XXXSTRACERAW:-</v>
      </c>
      <c r="D1051" s="3">
        <f t="shared" si="33"/>
        <v>1</v>
      </c>
    </row>
    <row r="1052" spans="1:4" ht="29" x14ac:dyDescent="0.35">
      <c r="A1052" s="4" t="s">
        <v>818</v>
      </c>
      <c r="B1052">
        <v>2</v>
      </c>
      <c r="C1052" t="str">
        <f t="shared" si="32"/>
        <v>EMSG:-STRACE:or over XXX HP. Please remove the vehicle to continue.
	at edge.capabilities.quote.submission.quoting.util.SubmissionUnderwritingIssuesUtil.checkSideBySideProcessExceptions(SubmissionUnderwritingIssuesUtil.gs:XXXSTRACERAW:-</v>
      </c>
      <c r="D1052" s="3">
        <f t="shared" si="33"/>
        <v>1</v>
      </c>
    </row>
    <row r="1053" spans="1:4" ht="29" x14ac:dyDescent="0.35">
      <c r="A1053" s="4" t="s">
        <v>1483</v>
      </c>
      <c r="B1053">
        <v>2</v>
      </c>
      <c r="C1053" t="str">
        <f t="shared" si="32"/>
        <v>EMSG:A report shows that the XXXSTRACE:the  XXX BMW XXX IS/CI XXXD, XXX BMW XXX I XXXD has been flagged as having Vehicle History activity.
	at edge.capabilities.quote.submission.quoting.util.SubmissionUnderwritingIssuesUtil.checkSideBySideProcessExceptio</v>
      </c>
      <c r="D1053" s="3">
        <f t="shared" si="33"/>
        <v>1</v>
      </c>
    </row>
    <row r="1054" spans="1:4" ht="29" x14ac:dyDescent="0.35">
      <c r="A1054" s="4" t="s">
        <v>1484</v>
      </c>
      <c r="B1054">
        <v>2</v>
      </c>
      <c r="C1054" t="str">
        <f t="shared" si="32"/>
        <v>EMSG:A report shows that the XXXSTRACE:the  XXX CHEVROLET IMPALA XXXD XXXLT has been flagged as having Vehicle History activity.
	at edge.capabilities.quote.submission.quoting.util.SubmissionUnderwritingIssuesUtil.checkSideBySideProcessExceptions(Submissi</v>
      </c>
      <c r="D1054" s="3">
        <f t="shared" si="33"/>
        <v>1</v>
      </c>
    </row>
    <row r="1055" spans="1:4" ht="29" x14ac:dyDescent="0.35">
      <c r="A1055" s="4" t="s">
        <v>1485</v>
      </c>
      <c r="B1055">
        <v>2</v>
      </c>
      <c r="C1055" t="str">
        <f t="shared" si="32"/>
        <v>EMSG:A report shows that the XXXSTRACE:the  XXX CHEVROLET TRUCK SLVRDO XXX CR XXXXXXX TRL BOSS-LT has been flagged as having Vehicle History activity.
	at edge.capabilities.quote.submission.quoting.util.SubmissionUnderwritingIssuesUtil.checkSideBySideProc</v>
      </c>
      <c r="D1055" s="3">
        <f t="shared" si="33"/>
        <v>1</v>
      </c>
    </row>
    <row r="1056" spans="1:4" ht="29" x14ac:dyDescent="0.35">
      <c r="A1056" s="4" t="s">
        <v>1486</v>
      </c>
      <c r="B1056">
        <v>2</v>
      </c>
      <c r="C1056" t="str">
        <f t="shared" si="32"/>
        <v>EMSG:A report shows that the XXXSTRACE:the  XXX CHEVROLET TRUCK SLVRDO XXX CREW PU XXXWD has been flagged as having Vehicle History activity.
	at edge.capabilities.quote.submission.quoting.util.SubmissionUnderwritingIssuesUtil.checkSideBySideProcessExcept</v>
      </c>
      <c r="D1056" s="3">
        <f t="shared" si="33"/>
        <v>1</v>
      </c>
    </row>
    <row r="1057" spans="1:4" ht="29" x14ac:dyDescent="0.35">
      <c r="A1057" s="4" t="s">
        <v>1487</v>
      </c>
      <c r="B1057">
        <v>2</v>
      </c>
      <c r="C1057" t="str">
        <f t="shared" si="32"/>
        <v>EMSG:A report shows that the XXXSTRACE:the  XXX CHRYSLER XXX HEMI XXXD XXXWD C has been flagged as having Vehicle History activity.
	at edge.capabilities.quote.submission.quoting.util.SubmissionUnderwritingIssuesUtil.checkSideBySideProcessExceptions(Submi</v>
      </c>
      <c r="D1057" s="3">
        <f t="shared" si="33"/>
        <v>1</v>
      </c>
    </row>
    <row r="1058" spans="1:4" ht="29" x14ac:dyDescent="0.35">
      <c r="A1058" s="4" t="s">
        <v>1488</v>
      </c>
      <c r="B1058">
        <v>2</v>
      </c>
      <c r="C1058" t="str">
        <f t="shared" si="32"/>
        <v>EMSG:A report shows that the XXXSTRACE:the  XXX DODGE DART XXXD GT has been flagged as having Vehicle History activity.
	at edge.capabilities.quote.submission.quoting.util.SubmissionUnderwritingIssuesUtil.checkSideBySideProcessExceptions(SubmissionUnderwr</v>
      </c>
      <c r="D1058" s="3">
        <f t="shared" si="33"/>
        <v>1</v>
      </c>
    </row>
    <row r="1059" spans="1:4" ht="29" x14ac:dyDescent="0.35">
      <c r="A1059" s="4" t="s">
        <v>1489</v>
      </c>
      <c r="B1059">
        <v>2</v>
      </c>
      <c r="C1059" t="str">
        <f t="shared" si="32"/>
        <v>EMSG:A report shows that the XXXSTRACE:the  XXX DODGE MAGNUM SW XXXWD SXT has been flagged as having Vehicle History activity.
	at edge.capabilities.quote.submission.quoting.util.SubmissionUnderwritingIssuesUtil.checkSideBySideProcessExceptions(Submission</v>
      </c>
      <c r="D1059" s="3">
        <f t="shared" si="33"/>
        <v>1</v>
      </c>
    </row>
    <row r="1060" spans="1:4" ht="29" x14ac:dyDescent="0.35">
      <c r="A1060" s="4" t="s">
        <v>1490</v>
      </c>
      <c r="B1060">
        <v>2</v>
      </c>
      <c r="C1060" t="str">
        <f t="shared" si="32"/>
        <v>EMSG:A report shows that the XXXSTRACE:the  XXX DODGE TRUCK RAM XXX CLUB C PU XXXXXXX XXX-DOOR has been flagged as having Vehicle History activity.
	at edge.capabilities.quote.submission.quoting.util.SubmissionUnderwritingIssuesUtil.checkSideBySideProcess</v>
      </c>
      <c r="D1060" s="3">
        <f t="shared" si="33"/>
        <v>1</v>
      </c>
    </row>
    <row r="1061" spans="1:4" ht="29" x14ac:dyDescent="0.35">
      <c r="A1061" s="4" t="s">
        <v>1491</v>
      </c>
      <c r="B1061">
        <v>2</v>
      </c>
      <c r="C1061" t="str">
        <f t="shared" si="32"/>
        <v>EMSG:A report shows that the XXXSTRACE:the  XXX FORD ESCORT XXX DOOR LX has been flagged as having Vehicle History activity.
	at edge.capabilities.quote.submission.quoting.util.SubmissionUnderwritingIssuesUtil.checkSideBySideProcessExceptions(SubmissionUn</v>
      </c>
      <c r="D1061" s="3">
        <f t="shared" si="33"/>
        <v>1</v>
      </c>
    </row>
    <row r="1062" spans="1:4" ht="29" x14ac:dyDescent="0.35">
      <c r="A1062" s="4" t="s">
        <v>1492</v>
      </c>
      <c r="B1062">
        <v>2</v>
      </c>
      <c r="C1062" t="str">
        <f t="shared" si="32"/>
        <v>EMSG:A report shows that the XXXSTRACE:the  XXX FORD FIESTA XXXD S has been flagged as having Vehicle History activity.
	at edge.capabilities.quote.submission.quoting.util.SubmissionUnderwritingIssuesUtil.checkSideBySideProcessExceptions(SubmissionUnderwr</v>
      </c>
      <c r="D1062" s="3">
        <f t="shared" si="33"/>
        <v>1</v>
      </c>
    </row>
    <row r="1063" spans="1:4" ht="29" x14ac:dyDescent="0.35">
      <c r="A1063" s="4" t="s">
        <v>1008</v>
      </c>
      <c r="B1063">
        <v>2</v>
      </c>
      <c r="C1063" t="str">
        <f t="shared" si="32"/>
        <v>EMSG:A report shows that the XXXSTRACE:the  XXX FORD FOCUS XXXD SE has been flagged as having Vehicle History activity.
	at edge.capabilities.quote.submission.quoting.util.SubmissionUnderwritingIssuesUtil.checkSideBySideProcessExceptions(SubmissionUnderwr</v>
      </c>
      <c r="D1063" s="3">
        <f t="shared" si="33"/>
        <v>1</v>
      </c>
    </row>
    <row r="1064" spans="1:4" ht="29" x14ac:dyDescent="0.35">
      <c r="A1064" s="4" t="s">
        <v>1493</v>
      </c>
      <c r="B1064">
        <v>2</v>
      </c>
      <c r="C1064" t="str">
        <f t="shared" si="32"/>
        <v>EMSG:A report shows that the XXXSTRACE:the  XXX FORD TRUCK ESCAPE XXXD XXXWD TITANIUM has been flagged as having Vehicle History activity.
	at edge.capabilities.quote.submission.quoting.util.SubmissionUnderwritingIssuesUtil.checkSideBySideProcessException</v>
      </c>
      <c r="D1064" s="3">
        <f t="shared" si="33"/>
        <v>1</v>
      </c>
    </row>
    <row r="1065" spans="1:4" ht="29" x14ac:dyDescent="0.35">
      <c r="A1065" s="4" t="s">
        <v>891</v>
      </c>
      <c r="B1065">
        <v>2</v>
      </c>
      <c r="C1065" t="str">
        <f t="shared" si="32"/>
        <v>EMSG:A report shows that the XXXSTRACE:the  XXX FORD TRUCK FXXX CREW C PU XXXXXXX SUPER CREW has been flagged as having Vehicle History activity.
	at edge.capabilities.quote.submission.quoting.util.SubmissionUnderwritingIssuesUtil.checkSideBySideProcessEx</v>
      </c>
      <c r="D1065" s="3">
        <f t="shared" si="33"/>
        <v>1</v>
      </c>
    </row>
    <row r="1066" spans="1:4" ht="43.5" x14ac:dyDescent="0.35">
      <c r="A1066" s="4" t="s">
        <v>1494</v>
      </c>
      <c r="B1066">
        <v>2</v>
      </c>
      <c r="C1066" t="str">
        <f t="shared" si="32"/>
        <v>EMSG:A report shows that the XXXSTRACE:the  XXX GMC TRUCK ACADIA XXXD XXXWD SLTXXX, XXX CHEVROLET TRUCK SLVRDO XXX PU EXT CAB XXXWD has been flagged as having Vehicle History activity.
	at edge.capabilities.quote.submission.quoting.util.SubmissionUnderwri</v>
      </c>
      <c r="D1066" s="3">
        <f t="shared" si="33"/>
        <v>1</v>
      </c>
    </row>
    <row r="1067" spans="1:4" ht="29" x14ac:dyDescent="0.35">
      <c r="A1067" s="4" t="s">
        <v>1495</v>
      </c>
      <c r="B1067">
        <v>2</v>
      </c>
      <c r="C1067" t="str">
        <f t="shared" si="32"/>
        <v>EMSG:A report shows that the XXXSTRACE:the  XXX GMC TRUCK SIERRA XXX XXXXXXX has been flagged as having Vehicle History activity.
	at edge.capabilities.quote.submission.quoting.util.SubmissionUnderwritingIssuesUtil.checkSideBySideProcessExceptions(Submiss</v>
      </c>
      <c r="D1067" s="3">
        <f t="shared" si="33"/>
        <v>1</v>
      </c>
    </row>
    <row r="1068" spans="1:4" ht="29" x14ac:dyDescent="0.35">
      <c r="A1068" s="4" t="s">
        <v>1496</v>
      </c>
      <c r="B1068">
        <v>2</v>
      </c>
      <c r="C1068" t="str">
        <f t="shared" si="32"/>
        <v>EMSG:A report shows that the XXXSTRACE:the  XXX HONDA CIVIC XXXD EX-L has been flagged as having Vehicle History activity.
	at edge.capabilities.quote.submission.quoting.util.SubmissionUnderwritingIssuesUtil.checkSideBySideProcessExceptions(SubmissionUnde</v>
      </c>
      <c r="D1068" s="3">
        <f t="shared" si="33"/>
        <v>1</v>
      </c>
    </row>
    <row r="1069" spans="1:4" ht="29" x14ac:dyDescent="0.35">
      <c r="A1069" s="4" t="s">
        <v>1497</v>
      </c>
      <c r="B1069">
        <v>2</v>
      </c>
      <c r="C1069" t="str">
        <f t="shared" si="32"/>
        <v>EMSG:A report shows that the XXXSTRACE:the  XXX HONDA CR-V XXXD XXXWD EX has been flagged as having Vehicle History activity.
	at edge.capabilities.quote.submission.quoting.util.SubmissionUnderwritingIssuesUtil.checkSideBySideProcessExceptions(SubmissionU</v>
      </c>
      <c r="D1069" s="3">
        <f t="shared" si="33"/>
        <v>1</v>
      </c>
    </row>
    <row r="1070" spans="1:4" ht="29" x14ac:dyDescent="0.35">
      <c r="A1070" s="4" t="s">
        <v>1498</v>
      </c>
      <c r="B1070">
        <v>2</v>
      </c>
      <c r="C1070" t="str">
        <f t="shared" si="32"/>
        <v>EMSG:A report shows that the XXXSTRACE:the  XXX HONDA PILOT XXXD XXXWD EX has been flagged as having Vehicle History activity.
	at edge.capabilities.quote.submission.quoting.util.SubmissionUnderwritingIssuesUtil.checkSideBySideProcessExceptions(Submission</v>
      </c>
      <c r="D1070" s="3">
        <f t="shared" si="33"/>
        <v>1</v>
      </c>
    </row>
    <row r="1071" spans="1:4" ht="29" x14ac:dyDescent="0.35">
      <c r="A1071" s="4" t="s">
        <v>1499</v>
      </c>
      <c r="B1071">
        <v>2</v>
      </c>
      <c r="C1071" t="str">
        <f t="shared" si="32"/>
        <v>EMSG:A report shows that the XXXSTRACE:the  XXX JEEP CHEROKEE XXXD XXXXXXX LIMITED has been flagged as having Vehicle History activity.
	at edge.capabilities.quote.submission.quoting.util.SubmissionUnderwritingIssuesUtil.checkSideBySideProcessExceptions(S</v>
      </c>
      <c r="D1071" s="3">
        <f t="shared" si="33"/>
        <v>1</v>
      </c>
    </row>
    <row r="1072" spans="1:4" ht="43.5" x14ac:dyDescent="0.35">
      <c r="A1072" s="4" t="s">
        <v>1500</v>
      </c>
      <c r="B1072">
        <v>2</v>
      </c>
      <c r="C1072" t="str">
        <f t="shared" si="32"/>
        <v>EMSG:A report shows that the XXXSTRACE:the  XXX JEEP GR CHERK PHEV XXXDXXXWD OVRLND XXXXE, XXX TESLA MODEL XXX EV XXXD XXXWD has been flagged as having Vehicle History activity.
	at edge.capabilities.quote.submission.quoting.util.SubmissionUnderwritingIss</v>
      </c>
      <c r="D1072" s="3">
        <f t="shared" si="33"/>
        <v>1</v>
      </c>
    </row>
    <row r="1073" spans="1:4" ht="29" x14ac:dyDescent="0.35">
      <c r="A1073" s="4" t="s">
        <v>1164</v>
      </c>
      <c r="B1073">
        <v>2</v>
      </c>
      <c r="C1073" t="str">
        <f t="shared" si="32"/>
        <v>EMSG:A report shows that the XXXSTRACE:the  XXX JEEP PATRIOT XXXD XXXWD SPORT has been flagged as having Vehicle History activity.
	at edge.capabilities.quote.submission.quoting.util.SubmissionUnderwritingIssuesUtil.checkSideBySideProcessExceptions(Submis</v>
      </c>
      <c r="D1073" s="3">
        <f t="shared" si="33"/>
        <v>1</v>
      </c>
    </row>
    <row r="1074" spans="1:4" ht="29" x14ac:dyDescent="0.35">
      <c r="A1074" s="4" t="s">
        <v>1501</v>
      </c>
      <c r="B1074">
        <v>2</v>
      </c>
      <c r="C1074" t="str">
        <f t="shared" si="32"/>
        <v>EMSG:A report shows that the XXXSTRACE:the  XXX LEXUS IS XXX CONV XXXWD has been flagged as having Vehicle History activity.
	at edge.capabilities.quote.submission.quoting.util.SubmissionUnderwritingIssuesUtil.checkSideBySideProcessExceptions(SubmissionUn</v>
      </c>
      <c r="D1074" s="3">
        <f t="shared" si="33"/>
        <v>1</v>
      </c>
    </row>
    <row r="1075" spans="1:4" ht="29" x14ac:dyDescent="0.35">
      <c r="A1075" s="4" t="s">
        <v>1502</v>
      </c>
      <c r="B1075">
        <v>2</v>
      </c>
      <c r="C1075" t="str">
        <f t="shared" si="32"/>
        <v>EMSG:A report shows that the XXXSTRACE:the  XXX LEXUS LS XXX L XXXD XXXWD has been flagged as having Vehicle History activity.
	at edge.capabilities.quote.submission.quoting.util.SubmissionUnderwritingIssuesUtil.checkSideBySideProcessExceptions(Submission</v>
      </c>
      <c r="D1075" s="3">
        <f t="shared" si="33"/>
        <v>1</v>
      </c>
    </row>
    <row r="1076" spans="1:4" ht="29" x14ac:dyDescent="0.35">
      <c r="A1076" s="4" t="s">
        <v>1503</v>
      </c>
      <c r="B1076">
        <v>2</v>
      </c>
      <c r="C1076" t="str">
        <f t="shared" si="32"/>
        <v>EMSG:A report shows that the XXXSTRACE:the  XXX LINCOLN NAVIGATOR XXXD XXXXXXX RESERVE has been flagged as having Vehicle History activity.
	at edge.capabilities.quote.submission.quoting.util.SubmissionUnderwritingIssuesUtil.checkSideBySideProcessExceptio</v>
      </c>
      <c r="D1076" s="3">
        <f t="shared" si="33"/>
        <v>1</v>
      </c>
    </row>
    <row r="1077" spans="1:4" ht="29" x14ac:dyDescent="0.35">
      <c r="A1077" s="4" t="s">
        <v>1135</v>
      </c>
      <c r="B1077">
        <v>2</v>
      </c>
      <c r="C1077" t="str">
        <f t="shared" si="32"/>
        <v>EMSG:A report shows that the XXXSTRACE:the  XXX NISSAN ALTIMA XXX DOOR XXX.XXX has been flagged as having Vehicle History activity.
	at edge.capabilities.quote.submission.quoting.util.SubmissionUnderwritingIssuesUtil.checkSideBySideProcessExceptions(Submi</v>
      </c>
      <c r="D1077" s="3">
        <f t="shared" si="33"/>
        <v>1</v>
      </c>
    </row>
    <row r="1078" spans="1:4" ht="29" x14ac:dyDescent="0.35">
      <c r="A1078" s="4" t="s">
        <v>1504</v>
      </c>
      <c r="B1078">
        <v>2</v>
      </c>
      <c r="C1078" t="str">
        <f t="shared" si="32"/>
        <v>EMSG:A report shows that the XXXSTRACE:the  XXX NISSAN XXXZ XXXDOOR has been flagged as having Vehicle History activity.
	at edge.capabilities.quote.submission.quoting.util.SubmissionUnderwritingIssuesUtil.checkSideBySideProcessExceptions(SubmissionUnderw</v>
      </c>
      <c r="D1078" s="3">
        <f t="shared" si="33"/>
        <v>1</v>
      </c>
    </row>
    <row r="1079" spans="1:4" ht="29" x14ac:dyDescent="0.35">
      <c r="A1079" s="4" t="s">
        <v>1226</v>
      </c>
      <c r="B1079">
        <v>2</v>
      </c>
      <c r="C1079" t="str">
        <f t="shared" si="32"/>
        <v>EMSG:A report shows that the XXXSTRACE:the  XXX TOYOTA CAMRY XXXD XXXWD STD/LE/XLE/SE has been flagged as having Vehicle History activity.
	at edge.capabilities.quote.submission.quoting.util.SubmissionUnderwritingIssuesUtil.checkSideBySideProcessException</v>
      </c>
      <c r="D1079" s="3">
        <f t="shared" si="33"/>
        <v>1</v>
      </c>
    </row>
    <row r="1080" spans="1:4" ht="29" x14ac:dyDescent="0.35">
      <c r="A1080" s="4" t="s">
        <v>1505</v>
      </c>
      <c r="B1080">
        <v>2</v>
      </c>
      <c r="C1080" t="str">
        <f t="shared" si="32"/>
        <v>EMSG:A report shows that the XXXSTRACE:the  XXX TOYOTA LAND CRUISER XXXD XXXXXXX has been flagged as having Vehicle History activity.
	at edge.capabilities.quote.submission.quoting.util.SubmissionUnderwritingIssuesUtil.checkSideBySideProcessExceptions(Sub</v>
      </c>
      <c r="D1080" s="3">
        <f t="shared" si="33"/>
        <v>1</v>
      </c>
    </row>
    <row r="1081" spans="1:4" x14ac:dyDescent="0.35">
      <c r="A1081" t="s">
        <v>1506</v>
      </c>
      <c r="B1081">
        <v>2</v>
      </c>
      <c r="C1081" t="str">
        <f t="shared" si="32"/>
        <v>EMSG:ANGELITO O DEDIOSSTRACE:gw.job.QuoteProcess.requestQuote(QuoteProcess.gs:XXXSTRACERAW:-</v>
      </c>
      <c r="D1081" s="3">
        <f t="shared" si="33"/>
        <v>1</v>
      </c>
    </row>
    <row r="1082" spans="1:4" x14ac:dyDescent="0.35">
      <c r="A1082" t="s">
        <v>396</v>
      </c>
      <c r="B1082">
        <v>2</v>
      </c>
      <c r="C1082" t="str">
        <f t="shared" si="32"/>
        <v>EMSG:Account Creation failed because of bad input from ECMSSTRACE:com.farmers.integ.distribution.ecms.deeplaunch.util.QuoteNavigationHelper.parseandValidateRequestXml(QuoteNavigationHelper.gs:XXXSTRACERAW:-</v>
      </c>
      <c r="D1082" s="3">
        <f t="shared" si="33"/>
        <v>1</v>
      </c>
    </row>
    <row r="1083" spans="1:4" x14ac:dyDescent="0.35">
      <c r="A1083" t="s">
        <v>1140</v>
      </c>
      <c r="B1083">
        <v>2</v>
      </c>
      <c r="C1083" t="str">
        <f t="shared" si="32"/>
        <v>EMSG:Add Collision or Comprehensive coverage to Vehicle XXXSTRACE:edge.capabilities.quote.submission.quoting.util.SubmissionUnderwritingIssuesUtil.checkSideBySideProcessExceptions(SubmissionUnderwritingIssuesUtil.gs:XXXSTRACERAW:-</v>
      </c>
      <c r="D1083" s="3">
        <f t="shared" si="33"/>
        <v>1</v>
      </c>
    </row>
    <row r="1084" spans="1:4" x14ac:dyDescent="0.35">
      <c r="A1084" t="s">
        <v>1507</v>
      </c>
      <c r="B1084">
        <v>2</v>
      </c>
      <c r="C1084" t="str">
        <f t="shared" si="32"/>
        <v>EMSG:Add Comprehensive and Collision coverage to vehicle XXXSTRACE:edge.capabilities.quote.submission.quoting.util.SubmissionUnderwritingIssuesUtil.checkSideBySideProcessExceptions(SubmissionUnderwritingIssuesUtil.gs:XXXSTRACERAW:-</v>
      </c>
      <c r="D1084" s="3">
        <f t="shared" si="33"/>
        <v>1</v>
      </c>
    </row>
    <row r="1085" spans="1:4" x14ac:dyDescent="0.35">
      <c r="A1085" t="s">
        <v>1508</v>
      </c>
      <c r="B1085">
        <v>2</v>
      </c>
      <c r="C1085" t="str">
        <f t="shared" si="32"/>
        <v>EMSG:Add both Uninsured Motorist - Bodily Injury and Underinsured Motorist - Bodily Injury coverages. Uninsured Motorist - Property Damage requires both coverages to be selected.STRACE:edge.capabilities.quote.submission.quoting.util.SubmissionUnderwriting</v>
      </c>
      <c r="D1085" s="3">
        <f t="shared" si="33"/>
        <v>1</v>
      </c>
    </row>
    <row r="1086" spans="1:4" x14ac:dyDescent="0.35">
      <c r="A1086" t="s">
        <v>1010</v>
      </c>
      <c r="B1086">
        <v>2</v>
      </c>
      <c r="C1086" t="str">
        <f t="shared" si="32"/>
        <v>EMSG:Attempt to access bean of type "HODwellingAddlInt_HOE" id=XXX with a null bundleSTRACE:deployment.pc.war//com.guidewire.pl.system.entity.proxy.BeanProxy.checkIsInBundle(BeanProxy.java:XXXSTRACERAW:-</v>
      </c>
      <c r="D1086" s="3">
        <f t="shared" si="33"/>
        <v>1</v>
      </c>
    </row>
    <row r="1087" spans="1:4" x14ac:dyDescent="0.35">
      <c r="A1087" t="s">
        <v>1509</v>
      </c>
      <c r="B1087">
        <v>2</v>
      </c>
      <c r="C1087" t="str">
        <f t="shared" si="32"/>
        <v>EMSG:Attempt to access bean of type "HOExteriorFinish_Ext" id=XXX with a null bundleSTRACE:deployment.pc.war//com.guidewire.pl.system.entity.proxy.BeanProxy.checkIsInBundle(BeanProxy.java:XXXSTRACERAW:-</v>
      </c>
      <c r="D1087" s="3">
        <f t="shared" si="33"/>
        <v>1</v>
      </c>
    </row>
    <row r="1088" spans="1:4" x14ac:dyDescent="0.35">
      <c r="A1088" t="s">
        <v>1057</v>
      </c>
      <c r="B1088">
        <v>2</v>
      </c>
      <c r="C1088" t="str">
        <f t="shared" si="32"/>
        <v>EMSG:Attempt to remove required coverage for pattern Uninsured Motorist Election  Pattern nullSTRACE:edge.capabilities.policycommon.coverage.util.CoverageUtil.updateFrom XXXSTRACERAW:-</v>
      </c>
      <c r="D1088" s="3">
        <f t="shared" si="33"/>
        <v>1</v>
      </c>
    </row>
    <row r="1089" spans="1:4" x14ac:dyDescent="0.35">
      <c r="A1089" t="s">
        <v>1510</v>
      </c>
      <c r="B1089">
        <v>2</v>
      </c>
      <c r="C1089" t="str">
        <f t="shared" si="32"/>
        <v>EMSG:Brenda DelgadoSTRACE:com.farmers.config.pa.validator.BrightlineValidator.validateQuoteBrightlineRules(BrightlineValidator.gs:XXXSTRACERAW:-</v>
      </c>
      <c r="D1089" s="3">
        <f t="shared" si="33"/>
        <v>1</v>
      </c>
    </row>
    <row r="1090" spans="1:4" x14ac:dyDescent="0.35">
      <c r="A1090" t="s">
        <v>1511</v>
      </c>
      <c r="B1090">
        <v>2</v>
      </c>
      <c r="C1090" t="str">
        <f t="shared" ref="C1090:C1153" si="34">LEFT(A1090,255)</f>
        <v>EMSG:Brenda DelgadoSTRACE:gw.job.QuoteProcess.requestQuote(QuoteProcess.gs:XXXSTRACERAW:-</v>
      </c>
      <c r="D1090" s="3">
        <f t="shared" ref="D1090:D1153" si="35">IF(AND((B1090/10)&lt;1,(B1090/10)&gt;0),1,(B1090/10)*130%)</f>
        <v>1</v>
      </c>
    </row>
    <row r="1091" spans="1:4" x14ac:dyDescent="0.35">
      <c r="A1091" t="s">
        <v>1512</v>
      </c>
      <c r="B1091">
        <v>2</v>
      </c>
      <c r="C1091" t="str">
        <f t="shared" si="34"/>
        <v>EMSG:COREY WHELDENSTRACE:com.farmers.config.pa.validator.BrightlineValidator.validateQuoteBrightlineRules(BrightlineValidator.gs:XXXSTRACERAW:-</v>
      </c>
      <c r="D1091" s="3">
        <f t="shared" si="35"/>
        <v>1</v>
      </c>
    </row>
    <row r="1092" spans="1:4" x14ac:dyDescent="0.35">
      <c r="A1092" t="s">
        <v>884</v>
      </c>
      <c r="B1092">
        <v>2</v>
      </c>
      <c r="C1092" t="str">
        <f t="shared" si="34"/>
        <v>EMSG:Can't use null slice dateSTRACE:deployment.pc.war//com.guidewire.pl.system.entity.proxy.EffDatedBaseProxy.getSliceUntyped(EffDatedBaseProxy.java:XXXSTRACERAW:-</v>
      </c>
      <c r="D1092" s="3">
        <f t="shared" si="35"/>
        <v>1</v>
      </c>
    </row>
    <row r="1093" spans="1:4" x14ac:dyDescent="0.35">
      <c r="A1093" t="s">
        <v>1227</v>
      </c>
      <c r="B1093">
        <v>2</v>
      </c>
      <c r="C1093" t="str">
        <f t="shared" si="34"/>
        <v>EMSG:Cannot create Loss of Use because it already exists.STRACE:deployment.pc.war//com.guidewire.pc.domain.coverage.impl.CoverableImpl.createCoverage(CoverableImpl.java:XXXSTRACERAW:-</v>
      </c>
      <c r="D1093" s="3">
        <f t="shared" si="35"/>
        <v>1</v>
      </c>
    </row>
    <row r="1094" spans="1:4" ht="29" x14ac:dyDescent="0.35">
      <c r="A1094" s="4" t="s">
        <v>657</v>
      </c>
      <c r="B1094">
        <v>2</v>
      </c>
      <c r="C1094" t="str">
        <f t="shared" si="34"/>
        <v>EMSG:Cannot modify a bean of type PolicyPeriod that is in a readonly bundleSTRACE:is in a readonly bundle
	at deployment.pc.war//com.guidewire.pl.system.entity.proxy.BeanProxy.checkIsInWriteableBundle(BeanProxy.java:XXXSTRACERAW:-</v>
      </c>
      <c r="D1094" s="3">
        <f t="shared" si="35"/>
        <v>1</v>
      </c>
    </row>
    <row r="1095" spans="1:4" x14ac:dyDescent="0.35">
      <c r="A1095" t="s">
        <v>1513</v>
      </c>
      <c r="B1095">
        <v>2</v>
      </c>
      <c r="C1095" t="str">
        <f t="shared" si="34"/>
        <v>EMSG:Cannot resolve an incident record XXX of contact role Incident Entity PCR - XXX to a single driver with Contact Roles Promise Kihundu : XXXSTRACE:com.farmers.chargeability.pa.info.PAIncidentInfoDto.mapFromEntity(PAIncidentInfoDto.gs:XXXSTRACERAW:-</v>
      </c>
      <c r="D1095" s="3">
        <f t="shared" si="35"/>
        <v>1</v>
      </c>
    </row>
    <row r="1096" spans="1:4" x14ac:dyDescent="0.35">
      <c r="A1096" t="s">
        <v>821</v>
      </c>
      <c r="B1096">
        <v>2</v>
      </c>
      <c r="C1096" t="str">
        <f t="shared" si="34"/>
        <v>EMSG:Change the All Perils deductible. The deductible cannot exceed XXX% of Personal Property (Coverage C) limit.STRACE:edge.capabilities.quote.submission.quoting.util.SubmissionUnderwritingIssuesUtil.checkSideBySideProcessExceptions(SubmissionUnderwritin</v>
      </c>
      <c r="D1096" s="3">
        <f t="shared" si="35"/>
        <v>1</v>
      </c>
    </row>
    <row r="1097" spans="1:4" x14ac:dyDescent="0.35">
      <c r="A1097" t="s">
        <v>1514</v>
      </c>
      <c r="B1097">
        <v>2</v>
      </c>
      <c r="C1097" t="str">
        <f t="shared" si="34"/>
        <v>EMSG:Change the Relationship to PNI for Zainab Raza. The gender is listed as male and relationship is listed as daughter.;STRACE:edge.capabilities.quote.submission.quoting.util.SubmissionUnderwritingIssuesUtil.checkVerifyRateExceptions(SubmissionUnderwrit</v>
      </c>
      <c r="D1097" s="3">
        <f t="shared" si="35"/>
        <v>1</v>
      </c>
    </row>
    <row r="1098" spans="1:4" x14ac:dyDescent="0.35">
      <c r="A1098" t="s">
        <v>1136</v>
      </c>
      <c r="B1098">
        <v>2</v>
      </c>
      <c r="C1098" t="str">
        <f t="shared" si="34"/>
        <v>EMSG:Click on Get Location Reports to refresh.  Location data is out of date.;STRACE:edge.capabilities.quote.submission.quoting.util.SubmissionUnderwritingIssuesUtil.checkVerifyRateExceptions(SubmissionUnderwritingIssuesUtil.gs:XXXSTRACERAW:-</v>
      </c>
      <c r="D1098" s="3">
        <f t="shared" si="35"/>
        <v>1</v>
      </c>
    </row>
    <row r="1099" spans="1:4" x14ac:dyDescent="0.35">
      <c r="A1099" t="s">
        <v>1515</v>
      </c>
      <c r="B1099">
        <v>2</v>
      </c>
      <c r="C1099" t="str">
        <f t="shared" si="34"/>
        <v>EMSG:Collision: The coverage term 'Coverage is' is required. Enter a value.;STRACE:edge.capabilities.quote.submission.quoting.util.SubmissionUnderwritingIssuesUtil.checkVerifyRateExceptions(SubmissionUnderwritingIssuesUtil.gs:XXXSTRACERAW:-</v>
      </c>
      <c r="D1099" s="3">
        <f t="shared" si="35"/>
        <v>1</v>
      </c>
    </row>
    <row r="1100" spans="1:4" x14ac:dyDescent="0.35">
      <c r="A1100" t="s">
        <v>1516</v>
      </c>
      <c r="B1100">
        <v>2</v>
      </c>
      <c r="C1100" t="str">
        <f t="shared" si="34"/>
        <v>EMSG:Connection resetSTRACE:java.base/java.net.SocketInputStream.read(SocketInputStream.java:XXXSTRACERAW:-</v>
      </c>
      <c r="D1100" s="3">
        <f t="shared" si="35"/>
        <v>1</v>
      </c>
    </row>
    <row r="1101" spans="1:4" x14ac:dyDescent="0.35">
      <c r="A1101" t="s">
        <v>585</v>
      </c>
      <c r="B1101">
        <v>2</v>
      </c>
      <c r="C1101" t="str">
        <f t="shared" si="34"/>
        <v>EMSG:Correct VIN on XXX.  VIN failed verification.;Correct VIN on XXX.  VIN failed verification.;STRACE:edge.capabilities.quote.submission.quoting.util.SubmissionUnderwritingIssuesUtil.checkVerifyRateExceptions(SubmissionUnderwritingIssuesUtil.gs:XXXSTRAC</v>
      </c>
      <c r="D1101" s="3">
        <f t="shared" si="35"/>
        <v>1</v>
      </c>
    </row>
    <row r="1102" spans="1:4" x14ac:dyDescent="0.35">
      <c r="A1102" t="s">
        <v>1517</v>
      </c>
      <c r="B1102">
        <v>2</v>
      </c>
      <c r="C1102" t="str">
        <f t="shared" si="34"/>
        <v>EMSG:Correct the VIN XXXSTRACE:edge.capabilities.quote.submission.quoting.util.SubmissionUnderwritingIssuesUtil.checkVerifyRateExceptions(SubmissionUnderwritingIssuesUtil.gs:XXXSTRACERAW:-</v>
      </c>
      <c r="D1102" s="3">
        <f t="shared" si="35"/>
        <v>1</v>
      </c>
    </row>
    <row r="1103" spans="1:4" x14ac:dyDescent="0.35">
      <c r="A1103" t="s">
        <v>506</v>
      </c>
      <c r="B1103">
        <v>2</v>
      </c>
      <c r="C1103" t="str">
        <f t="shared" si="34"/>
        <v>EMSG:Database bean version conflict : XXXSTRACE:com.farmers.integ.framework.job.automatejob.AutomatedJob.handleSpillOverExceptions(AutomatedJob.gs:XXXSTRACERAW:-</v>
      </c>
      <c r="D1103" s="3">
        <f t="shared" si="35"/>
        <v>1</v>
      </c>
    </row>
    <row r="1104" spans="1:4" x14ac:dyDescent="0.35">
      <c r="A1104" t="s">
        <v>1518</v>
      </c>
      <c r="B1104">
        <v>2</v>
      </c>
      <c r="C1104" t="str">
        <f t="shared" si="34"/>
        <v>EMSG:DiscountDetail_Ext:XXX deleted from databaseSTRACE:deployment.pc.war//com.guidewire.pl.system.database.entitywriter.DatabaseEntityWriterImpl.writeSingleBeanUpdate(DatabaseEntityWriterImpl.java:XXXSTRACERAW:-</v>
      </c>
      <c r="D1104" s="3">
        <f t="shared" si="35"/>
        <v>1</v>
      </c>
    </row>
    <row r="1105" spans="1:4" x14ac:dyDescent="0.35">
      <c r="A1105" t="s">
        <v>1519</v>
      </c>
      <c r="B1105">
        <v>2</v>
      </c>
      <c r="C1105" t="str">
        <f t="shared" si="34"/>
        <v>EMSG:Duplicate key in XXX has value "XXX".  Column "Retired" has value "XXX".  Column "Subtype" has value "AccountRejectedDriver_Ext".STRACE:deployment.pc.war//com.guidewire.pl.system.database.entitywriter.TableWriterImpl.throwDBDuplicateKeyException(Tabl</v>
      </c>
      <c r="D1105" s="3">
        <f t="shared" si="35"/>
        <v>1</v>
      </c>
    </row>
    <row r="1106" spans="1:4" x14ac:dyDescent="0.35">
      <c r="A1106" t="s">
        <v>1098</v>
      </c>
      <c r="B1106">
        <v>2</v>
      </c>
      <c r="C1106" t="str">
        <f t="shared" si="34"/>
        <v>EMSG:Duplicate key in XXX has value "XXX".  Column "Retired" has value "XXX".  Column "Subtype" has value "NamedInsured".STRACE:deployment.pc.war//com.guidewire.pl.system.database.entitywriter.TableWriterImpl.throwDBDuplicateKeyException(TableWriterImpl.j</v>
      </c>
      <c r="D1106" s="3">
        <f t="shared" si="35"/>
        <v>1</v>
      </c>
    </row>
    <row r="1107" spans="1:4" ht="43.5" x14ac:dyDescent="0.35">
      <c r="A1107" s="4" t="s">
        <v>1520</v>
      </c>
      <c r="B1107">
        <v>2</v>
      </c>
      <c r="C1107" t="str">
        <f t="shared" si="34"/>
        <v>EMSG:Dwelling at XXXSTRACE:XXX W Biddison St, Fort Worth, TX: Dwelling is required and must be added.; Dwelling at XXX W Biddison St, Fort Worth, TX: Marring to Metal Roof Materials is no longer available and has been removed.
	at gw.api.extension.PCExten</v>
      </c>
      <c r="D1107" s="3">
        <f t="shared" si="35"/>
        <v>1</v>
      </c>
    </row>
    <row r="1108" spans="1:4" x14ac:dyDescent="0.35">
      <c r="A1108" t="s">
        <v>822</v>
      </c>
      <c r="B1108">
        <v>2</v>
      </c>
      <c r="C1108" t="str">
        <f t="shared" si="34"/>
        <v>EMSG:ERC endorsement ineligible on dwellings with PPC XXXA.STRACE:edge.capabilities.quote.submission.quoting.util.SubmissionUnderwritingIssuesUtil.checkSideBySideProcessExceptions(SubmissionUnderwritingIssuesUtil.gs:XXXSTRACERAW:-</v>
      </c>
      <c r="D1108" s="3">
        <f t="shared" si="35"/>
        <v>1</v>
      </c>
    </row>
    <row r="1109" spans="1:4" x14ac:dyDescent="0.35">
      <c r="A1109" t="s">
        <v>1229</v>
      </c>
      <c r="B1109">
        <v>2</v>
      </c>
      <c r="C1109" t="str">
        <f t="shared" si="34"/>
        <v>EMSG:Error occurred while attaching RI risks: com.guidewire.pl.system.exception.TransactionException: Transaction aborted by exception:Failed to execute a querySTRACE:gw.job.QuoteProcess.handleReinsurance(QuoteProcess.gs:XXXSTRACERAW:-</v>
      </c>
      <c r="D1109" s="3">
        <f t="shared" si="35"/>
        <v>1</v>
      </c>
    </row>
    <row r="1110" spans="1:4" x14ac:dyDescent="0.35">
      <c r="A1110" t="s">
        <v>1168</v>
      </c>
      <c r="B1110">
        <v>2</v>
      </c>
      <c r="C1110" t="str">
        <f t="shared" si="34"/>
        <v>EMSG:Error occurred while creating reinsurables: Failed to close the connection.STRACE:gw.job.QuoteProcess.handleReinsurance(QuoteProcess.gs:XXXSTRACERAW:-</v>
      </c>
      <c r="D1110" s="3">
        <f t="shared" si="35"/>
        <v>1</v>
      </c>
    </row>
    <row r="1111" spans="1:4" x14ac:dyDescent="0.35">
      <c r="A1111" t="s">
        <v>507</v>
      </c>
      <c r="B1111">
        <v>2</v>
      </c>
      <c r="C1111" t="str">
        <f t="shared" si="34"/>
        <v>EMSG:Exception during Rating ExecuteIterationsMultiThreaded : java.util.concurrent.ExecutionException: java.lang.IllegalStateException: Attempt to access bean of type "Dwelling_HOE" id=XXX with a null bundleSTRACE:com.farmers.rating.common.flow.iteration.</v>
      </c>
      <c r="D1111" s="3">
        <f t="shared" si="35"/>
        <v>1</v>
      </c>
    </row>
    <row r="1112" spans="1:4" x14ac:dyDescent="0.35">
      <c r="A1112" t="s">
        <v>407</v>
      </c>
      <c r="B1112">
        <v>2</v>
      </c>
      <c r="C1112" t="str">
        <f t="shared" si="34"/>
        <v>EMSG:Exception in transforming response for GetBillingOptionsResponse STRACE:com.farmers.integ.billing.policybilling.getbillingoptions.transformer.GetBillingOptionsResponseTransformer.transform(GetBillingOptionsResponseTransformer.gs:XXXSTRACERAW:-</v>
      </c>
      <c r="D1112" s="3">
        <f t="shared" si="35"/>
        <v>1</v>
      </c>
    </row>
    <row r="1113" spans="1:4" x14ac:dyDescent="0.35">
      <c r="A1113" t="s">
        <v>1521</v>
      </c>
      <c r="B1113">
        <v>2</v>
      </c>
      <c r="C1113" t="str">
        <f t="shared" si="34"/>
        <v>EMSG:Expected query to have at most one result.  Select statement causing error: Values=[Arizona (typekey)STRACE:most one result.  Select statement causing error: Values=[Arizona (typekeySTRACERAW:-</v>
      </c>
      <c r="D1113" s="3">
        <f t="shared" si="35"/>
        <v>1</v>
      </c>
    </row>
    <row r="1114" spans="1:4" x14ac:dyDescent="0.35">
      <c r="A1114" t="s">
        <v>1522</v>
      </c>
      <c r="B1114">
        <v>2</v>
      </c>
      <c r="C1114" t="str">
        <f t="shared" si="34"/>
        <v>EMSG:For eligible contact Andrew Carson credit score is null. Please make sure credit is orderedSTRACE:com.farmers.config.common.credit.CreditScoreHelper.populateRatingCreditDTO(CreditScoreHelper.gs:XXXSTRACERAW:-</v>
      </c>
      <c r="D1114" s="3">
        <f t="shared" si="35"/>
        <v>1</v>
      </c>
    </row>
    <row r="1115" spans="1:4" x14ac:dyDescent="0.35">
      <c r="A1115" t="s">
        <v>1523</v>
      </c>
      <c r="B1115">
        <v>2</v>
      </c>
      <c r="C1115" t="str">
        <f t="shared" si="34"/>
        <v>EMSG:For eligible contact Fnu Ankit Anand credit score is null. Please make sure credit is orderedSTRACE:com.farmers.config.common.credit.CreditScoreHelper.populateRatingCreditDTO(CreditScoreHelper.gs:XXXSTRACERAW:-</v>
      </c>
      <c r="D1115" s="3">
        <f t="shared" si="35"/>
        <v>1</v>
      </c>
    </row>
    <row r="1116" spans="1:4" x14ac:dyDescent="0.35">
      <c r="A1116" t="s">
        <v>1524</v>
      </c>
      <c r="B1116">
        <v>2</v>
      </c>
      <c r="C1116" t="str">
        <f t="shared" si="34"/>
        <v>EMSG:For eligible contact JODEE ROACH credit score is null. Please make sure credit is orderedSTRACE:com.farmers.config.common.credit.CreditScoreHelper.populateRatingCreditDTO(CreditScoreHelper.gs:XXXSTRACERAW:-</v>
      </c>
      <c r="D1116" s="3">
        <f t="shared" si="35"/>
        <v>1</v>
      </c>
    </row>
    <row r="1117" spans="1:4" x14ac:dyDescent="0.35">
      <c r="A1117" t="s">
        <v>1525</v>
      </c>
      <c r="B1117">
        <v>2</v>
      </c>
      <c r="C1117" t="str">
        <f t="shared" si="34"/>
        <v>EMSG:For eligible contact Keith Sage credit score is null. Please make sure credit is orderedSTRACE:com.farmers.config.common.credit.CreditScoreHelper.populateRatingCreditDTO(CreditScoreHelper.gs:XXXSTRACERAW:-</v>
      </c>
      <c r="D1117" s="3">
        <f t="shared" si="35"/>
        <v>1</v>
      </c>
    </row>
    <row r="1118" spans="1:4" x14ac:dyDescent="0.35">
      <c r="A1118" t="s">
        <v>1526</v>
      </c>
      <c r="B1118">
        <v>2</v>
      </c>
      <c r="C1118" t="str">
        <f t="shared" si="34"/>
        <v>EMSG:For eligible contact Matthew Podolanko credit score is null. Please make sure credit is orderedSTRACE:com.farmers.config.common.credit.CreditScoreHelper.populateRatingCreditDTO(CreditScoreHelper.gs:XXXSTRACERAW:-</v>
      </c>
      <c r="D1118" s="3">
        <f t="shared" si="35"/>
        <v>1</v>
      </c>
    </row>
    <row r="1119" spans="1:4" x14ac:dyDescent="0.35">
      <c r="A1119" t="s">
        <v>1527</v>
      </c>
      <c r="B1119">
        <v>2</v>
      </c>
      <c r="C1119" t="str">
        <f t="shared" si="34"/>
        <v>EMSG:For eligible contact Mckenzie Andrus credit score is null. Please make sure credit is orderedSTRACE:com.farmers.config.common.credit.CreditScoreHelper.populateRatingCreditDTO(CreditScoreHelper.gs:XXXSTRACERAW:-</v>
      </c>
      <c r="D1119" s="3">
        <f t="shared" si="35"/>
        <v>1</v>
      </c>
    </row>
    <row r="1120" spans="1:4" x14ac:dyDescent="0.35">
      <c r="A1120" t="s">
        <v>1528</v>
      </c>
      <c r="B1120">
        <v>2</v>
      </c>
      <c r="C1120" t="str">
        <f t="shared" si="34"/>
        <v>EMSG:For eligible contact Melissa Mcloughlin credit score is null. Please make sure credit is orderedSTRACE:com.farmers.config.common.credit.CreditScoreHelper.populateRatingCreditDTO(CreditScoreHelper.gs:XXXSTRACERAW:-</v>
      </c>
      <c r="D1120" s="3">
        <f t="shared" si="35"/>
        <v>1</v>
      </c>
    </row>
    <row r="1121" spans="1:4" ht="43.5" x14ac:dyDescent="0.35">
      <c r="A1121" s="4" t="s">
        <v>1529</v>
      </c>
      <c r="B1121">
        <v>2</v>
      </c>
      <c r="C1121" t="str">
        <f t="shared" si="34"/>
        <v>EMSG:Found more than one target of the property XXXSTRACE:XXX Auburndale St, Corona, CA': ['HOConstructionDetails_Ext:pc:XXX - Dwelling Construction Details', 'HOConstructionDetails_Ext:pc:XXX - Dwelling Construction Details']. This could be due to a conc</v>
      </c>
      <c r="D1121" s="3">
        <f t="shared" si="35"/>
        <v>1</v>
      </c>
    </row>
    <row r="1122" spans="1:4" ht="43.5" x14ac:dyDescent="0.35">
      <c r="A1122" s="4" t="s">
        <v>1530</v>
      </c>
      <c r="B1122">
        <v>2</v>
      </c>
      <c r="C1122" t="str">
        <f t="shared" si="34"/>
        <v xml:space="preserve">EMSG:Found more than one target of the property XXXSTRACE:XXX Avenida Amistad, San Marcos, CA': ['HOConstructionDetails_Ext:pc:XXX - Dwelling Construction Details', 'HOConstructionDetails_Ext:pc:XXX - Dwelling Construction Details']. This could be due to </v>
      </c>
      <c r="D1122" s="3">
        <f t="shared" si="35"/>
        <v>1</v>
      </c>
    </row>
    <row r="1123" spans="1:4" ht="43.5" x14ac:dyDescent="0.35">
      <c r="A1123" s="4" t="s">
        <v>1531</v>
      </c>
      <c r="B1123">
        <v>2</v>
      </c>
      <c r="C1123" t="str">
        <f t="shared" si="34"/>
        <v>EMSG:Found more than one target of the property XXXSTRACE:XXX Burin Ave, Inglewood, CA': ['HOConstructionDetails_Ext:pc:XXX - Dwelling Construction Details', 'HOConstructionDetails_Ext:pc:XXX - Dwelling Construction Details']. This could be due to a concu</v>
      </c>
      <c r="D1123" s="3">
        <f t="shared" si="35"/>
        <v>1</v>
      </c>
    </row>
    <row r="1124" spans="1:4" ht="43.5" x14ac:dyDescent="0.35">
      <c r="A1124" s="4" t="s">
        <v>1532</v>
      </c>
      <c r="B1124">
        <v>2</v>
      </c>
      <c r="C1124" t="str">
        <f t="shared" si="34"/>
        <v>EMSG:Found more than one target of the property XXXSTRACE:XXX Cass Ave, Woodland Hills, CA': ['HOConstructionDetails_Ext:pc:XXX - Dwelling Construction Details', 'HOConstructionDetails_Ext:pc:XXX - Dwelling Construction Details']. This could be due to a c</v>
      </c>
      <c r="D1124" s="3">
        <f t="shared" si="35"/>
        <v>1</v>
      </c>
    </row>
    <row r="1125" spans="1:4" ht="43.5" x14ac:dyDescent="0.35">
      <c r="A1125" s="4" t="s">
        <v>1533</v>
      </c>
      <c r="B1125">
        <v>2</v>
      </c>
      <c r="C1125" t="str">
        <f t="shared" si="34"/>
        <v>EMSG:Found more than one target of the property XXXSTRACE:XXX Corte Maria, Carlsbad, CA': ['HOConstructionDetails_Ext:pc:XXX - Dwelling Construction Details', 'HOConstructionDetails_Ext:pc:XXX - Dwelling Construction Details']. This could be due to a conc</v>
      </c>
      <c r="D1125" s="3">
        <f t="shared" si="35"/>
        <v>1</v>
      </c>
    </row>
    <row r="1126" spans="1:4" ht="43.5" x14ac:dyDescent="0.35">
      <c r="A1126" s="4" t="s">
        <v>1534</v>
      </c>
      <c r="B1126">
        <v>2</v>
      </c>
      <c r="C1126" t="str">
        <f t="shared" si="34"/>
        <v>EMSG:Found more than one target of the property XXXSTRACE:XXX Daken Cir, Brownsville, CA': ['HOConstructionDetails_Ext:pc:XXX - Dwelling Construction Details', 'HOConstructionDetails_Ext:pc:XXX - Dwelling Construction Details']. This could be due to a con</v>
      </c>
      <c r="D1126" s="3">
        <f t="shared" si="35"/>
        <v>1</v>
      </c>
    </row>
    <row r="1127" spans="1:4" ht="43.5" x14ac:dyDescent="0.35">
      <c r="A1127" s="4" t="s">
        <v>1535</v>
      </c>
      <c r="B1127">
        <v>2</v>
      </c>
      <c r="C1127" t="str">
        <f t="shared" si="34"/>
        <v xml:space="preserve">EMSG:Found more than one target of the property XXXSTRACE:XXX Dobson Way, Pollock Pines, CA': ['HOConstructionDetails_Ext:pc:XXX - Dwelling Construction Details', 'HOConstructionDetails_Ext:pc:XXX - Dwelling Construction Details']. This could be due to a </v>
      </c>
      <c r="D1127" s="3">
        <f t="shared" si="35"/>
        <v>1</v>
      </c>
    </row>
    <row r="1128" spans="1:4" ht="43.5" x14ac:dyDescent="0.35">
      <c r="A1128" s="4" t="s">
        <v>1536</v>
      </c>
      <c r="B1128">
        <v>2</v>
      </c>
      <c r="C1128" t="str">
        <f t="shared" si="34"/>
        <v xml:space="preserve">EMSG:Found more than one target of the property XXXSTRACE:XXX E Donovan Rd, Santa Maria, CA': ['HOConstructionDetails_Ext:pc:XXX - Dwelling Construction Details', 'HOConstructionDetails_Ext:pc:XXX - Dwelling Construction Details']. This could be due to a </v>
      </c>
      <c r="D1128" s="3">
        <f t="shared" si="35"/>
        <v>1</v>
      </c>
    </row>
    <row r="1129" spans="1:4" ht="43.5" x14ac:dyDescent="0.35">
      <c r="A1129" s="4" t="s">
        <v>1537</v>
      </c>
      <c r="B1129">
        <v>2</v>
      </c>
      <c r="C1129" t="str">
        <f t="shared" si="34"/>
        <v>EMSG:Found more than one target of the property XXXSTRACE:XXX E XXXnd Pl, Los Angeles, CA': ['HOConstructionDetails_Ext:pc:XXX - Dwelling Construction Details', 'HOConstructionDetails_Ext:pc:XXX - Dwelling Construction Details']. This could be due to a co</v>
      </c>
      <c r="D1129" s="3">
        <f t="shared" si="35"/>
        <v>1</v>
      </c>
    </row>
    <row r="1130" spans="1:4" ht="43.5" x14ac:dyDescent="0.35">
      <c r="A1130" s="4" t="s">
        <v>1538</v>
      </c>
      <c r="B1130">
        <v>2</v>
      </c>
      <c r="C1130" t="str">
        <f t="shared" si="34"/>
        <v>EMSG:Found more than one target of the property XXXSTRACE:XXX Eagle Glen St, San Bernardino, CA': ['HOConstructionDetails_Ext:pc:XXX - Dwelling Construction Details', 'HOConstructionDetails_Ext:pc:XXX - Dwelling Construction Details']. This could be due t</v>
      </c>
      <c r="D1130" s="3">
        <f t="shared" si="35"/>
        <v>1</v>
      </c>
    </row>
    <row r="1131" spans="1:4" ht="43.5" x14ac:dyDescent="0.35">
      <c r="A1131" s="4" t="s">
        <v>1539</v>
      </c>
      <c r="B1131">
        <v>2</v>
      </c>
      <c r="C1131" t="str">
        <f t="shared" si="34"/>
        <v>EMSG:Found more than one target of the property XXXSTRACE:XXX Encinal Ave, Roseville, CA': ['HOConstructionDetails_Ext:pc:XXX - Dwelling Construction Details', 'HOConstructionDetails_Ext:pc:XXX - Dwelling Construction Details']. This could be due to a con</v>
      </c>
      <c r="D1131" s="3">
        <f t="shared" si="35"/>
        <v>1</v>
      </c>
    </row>
    <row r="1132" spans="1:4" ht="43.5" x14ac:dyDescent="0.35">
      <c r="A1132" s="4" t="s">
        <v>1540</v>
      </c>
      <c r="B1132">
        <v>2</v>
      </c>
      <c r="C1132" t="str">
        <f t="shared" si="34"/>
        <v>EMSG:Found more than one target of the property XXXSTRACE:XXX GREENHORN RD, YREKA, CA': ['HOConstructionDetails_Ext:pc:XXX - Dwelling Construction Details', 'HOConstructionDetails_Ext:pc:XXX - Dwelling Construction Details']. This could be due to a concur</v>
      </c>
      <c r="D1132" s="3">
        <f t="shared" si="35"/>
        <v>1</v>
      </c>
    </row>
    <row r="1133" spans="1:4" ht="43.5" x14ac:dyDescent="0.35">
      <c r="A1133" s="4" t="s">
        <v>1541</v>
      </c>
      <c r="B1133">
        <v>2</v>
      </c>
      <c r="C1133" t="str">
        <f t="shared" si="34"/>
        <v>EMSG:Found more than one target of the property XXXSTRACE:XXX Harrier Ln, Chico, CA': ['HOConstructionDetails_Ext:pc:XXX - Dwelling Construction Details', 'HOConstructionDetails_Ext:pc:XXX - Dwelling Construction Details']. This could be due to a concurre</v>
      </c>
      <c r="D1133" s="3">
        <f t="shared" si="35"/>
        <v>1</v>
      </c>
    </row>
    <row r="1134" spans="1:4" ht="43.5" x14ac:dyDescent="0.35">
      <c r="A1134" s="4" t="s">
        <v>1542</v>
      </c>
      <c r="B1134">
        <v>2</v>
      </c>
      <c r="C1134" t="str">
        <f t="shared" si="34"/>
        <v>EMSG:Found more than one target of the property XXXSTRACE:XXX Little Fuller Rd, Twain Harte, CA': ['HOConstructionDetails_Ext:pc:XXX - Dwelling Construction Details', 'HOConstructionDetails_Ext:pc:XXX - Dwelling Construction Details']. This could be due t</v>
      </c>
      <c r="D1134" s="3">
        <f t="shared" si="35"/>
        <v>1</v>
      </c>
    </row>
    <row r="1135" spans="1:4" ht="43.5" x14ac:dyDescent="0.35">
      <c r="A1135" s="4" t="s">
        <v>1543</v>
      </c>
      <c r="B1135">
        <v>2</v>
      </c>
      <c r="C1135" t="str">
        <f t="shared" si="34"/>
        <v>EMSG:Found more than one target of the property XXXSTRACE:XXX Los Banos Dr, Sonoma, CA': ['HOConstructionDetails_Ext:pc:XXX - Dwelling Construction Details', 'HOConstructionDetails_Ext:pc:XXX - Dwelling Construction Details']. This could be due to a concu</v>
      </c>
      <c r="D1135" s="3">
        <f t="shared" si="35"/>
        <v>1</v>
      </c>
    </row>
    <row r="1136" spans="1:4" ht="43.5" x14ac:dyDescent="0.35">
      <c r="A1136" s="4" t="s">
        <v>1544</v>
      </c>
      <c r="B1136">
        <v>2</v>
      </c>
      <c r="C1136" t="str">
        <f t="shared" si="34"/>
        <v>EMSG:Found more than one target of the property XXXSTRACE:XXX Luna Vista Dr, Pacific Palisades, CA': ['HOConstructionDetails_Ext:pc:XXX - Dwelling Construction Details', 'HOConstructionDetails_Ext:pc:XXX - Dwelling Construction Details']. This could be du</v>
      </c>
      <c r="D1136" s="3">
        <f t="shared" si="35"/>
        <v>1</v>
      </c>
    </row>
    <row r="1137" spans="1:4" ht="43.5" x14ac:dyDescent="0.35">
      <c r="A1137" s="4" t="s">
        <v>1545</v>
      </c>
      <c r="B1137">
        <v>2</v>
      </c>
      <c r="C1137" t="str">
        <f t="shared" si="34"/>
        <v>EMSG:Found more than one target of the property XXXSTRACE:XXX Main Dr, San Rafael, CA': ['HOConstructionDetails_Ext:pc:XXX - Dwelling Construction Details', 'HOConstructionDetails_Ext:pc:XXX - Dwelling Construction Details']. This could be due to a concur</v>
      </c>
      <c r="D1137" s="3">
        <f t="shared" si="35"/>
        <v>1</v>
      </c>
    </row>
    <row r="1138" spans="1:4" ht="43.5" x14ac:dyDescent="0.35">
      <c r="A1138" s="4" t="s">
        <v>1546</v>
      </c>
      <c r="B1138">
        <v>2</v>
      </c>
      <c r="C1138" t="str">
        <f t="shared" si="34"/>
        <v>EMSG:Found more than one target of the property XXXSTRACE:XXX Mines Rd, Livermore, CA': ['HOConstructionDetails_Ext:pc:XXX - Dwelling Construction Details', 'HOConstructionDetails_Ext:pc:XXX - Dwelling Construction Details']. This could be due to a concur</v>
      </c>
      <c r="D1138" s="3">
        <f t="shared" si="35"/>
        <v>1</v>
      </c>
    </row>
    <row r="1139" spans="1:4" ht="43.5" x14ac:dyDescent="0.35">
      <c r="A1139" s="4" t="s">
        <v>1547</v>
      </c>
      <c r="B1139">
        <v>2</v>
      </c>
      <c r="C1139" t="str">
        <f t="shared" si="34"/>
        <v>EMSG:Found more than one target of the property XXXSTRACE:XXX Miramar St, Upland, CA': ['HOConstructionDetails_Ext:pc:XXX - Dwelling Construction Details', 'HOConstructionDetails_Ext:pc:XXX - Dwelling Construction Details']. This could be due to a concurr</v>
      </c>
      <c r="D1139" s="3">
        <f t="shared" si="35"/>
        <v>1</v>
      </c>
    </row>
    <row r="1140" spans="1:4" ht="43.5" x14ac:dyDescent="0.35">
      <c r="A1140" s="4" t="s">
        <v>1548</v>
      </c>
      <c r="B1140">
        <v>2</v>
      </c>
      <c r="C1140" t="str">
        <f t="shared" si="34"/>
        <v>EMSG:Found more than one target of the property XXXSTRACE:XXX Mollie Ln, Santee, CA': ['HOConstructionDetails_Ext:pc:XXX - Dwelling Construction Details', 'HOConstructionDetails_Ext:pc:XXX - Dwelling Construction Details']. This could be due to a concurre</v>
      </c>
      <c r="D1140" s="3">
        <f t="shared" si="35"/>
        <v>1</v>
      </c>
    </row>
    <row r="1141" spans="1:4" ht="43.5" x14ac:dyDescent="0.35">
      <c r="A1141" s="4" t="s">
        <v>1549</v>
      </c>
      <c r="B1141">
        <v>2</v>
      </c>
      <c r="C1141" t="str">
        <f t="shared" si="34"/>
        <v>EMSG:Found more than one target of the property XXXSTRACE:XXX Mother Lode Dr, Shingle Springs, CA': ['HOConstructionDetails_Ext:pc:XXX - Dwelling Construction Details', 'HOConstructionDetails_Ext:pc:XXX - Dwelling Construction Details']. This could be due</v>
      </c>
      <c r="D1141" s="3">
        <f t="shared" si="35"/>
        <v>1</v>
      </c>
    </row>
    <row r="1142" spans="1:4" ht="43.5" x14ac:dyDescent="0.35">
      <c r="A1142" s="4" t="s">
        <v>1550</v>
      </c>
      <c r="B1142">
        <v>2</v>
      </c>
      <c r="C1142" t="str">
        <f t="shared" si="34"/>
        <v>EMSG:Found more than one target of the property XXXSTRACE:XXX Mount Gunnison Ct, Rancho Cucamonga, CA': ['HOConstructionDetails_Ext:pc:XXX - Dwelling Construction Details', 'HOConstructionDetails_Ext:pc:XXX - Dwelling Construction Details']. This could be</v>
      </c>
      <c r="D1142" s="3">
        <f t="shared" si="35"/>
        <v>1</v>
      </c>
    </row>
    <row r="1143" spans="1:4" ht="43.5" x14ac:dyDescent="0.35">
      <c r="A1143" s="4" t="s">
        <v>1551</v>
      </c>
      <c r="B1143">
        <v>2</v>
      </c>
      <c r="C1143" t="str">
        <f t="shared" si="34"/>
        <v>EMSG:Found more than one target of the property XXXSTRACE:XXX N Marty Ave, Fresno, CA': ['HOConstructionDetails_Ext:pc:XXX - Dwelling Construction Details', 'HOConstructionDetails_Ext:pc:XXX - Dwelling Construction Details']. This could be due to a concur</v>
      </c>
      <c r="D1143" s="3">
        <f t="shared" si="35"/>
        <v>1</v>
      </c>
    </row>
    <row r="1144" spans="1:4" ht="43.5" x14ac:dyDescent="0.35">
      <c r="A1144" s="4" t="s">
        <v>1552</v>
      </c>
      <c r="B1144">
        <v>2</v>
      </c>
      <c r="C1144" t="str">
        <f t="shared" si="34"/>
        <v>EMSG:Found more than one target of the property XXXSTRACE:XXX Pettigrew Dr, San Jose, CA': ['HOConstructionDetails_Ext:pc:XXX - Dwelling Construction Details', 'HOConstructionDetails_Ext:pc:XXX - Dwelling Construction Details']. This could be due to a con</v>
      </c>
      <c r="D1144" s="3">
        <f t="shared" si="35"/>
        <v>1</v>
      </c>
    </row>
    <row r="1145" spans="1:4" ht="43.5" x14ac:dyDescent="0.35">
      <c r="A1145" s="4" t="s">
        <v>1553</v>
      </c>
      <c r="B1145">
        <v>2</v>
      </c>
      <c r="C1145" t="str">
        <f t="shared" si="34"/>
        <v>EMSG:Found more than one target of the property XXXSTRACE:XXX Philippine St, Taft, CA': ['HOConstructionDetails_Ext:pc:XXX - Dwelling Construction Details', 'HOConstructionDetails_Ext:pc:XXX - Dwelling Construction Details']. This could be due to a concur</v>
      </c>
      <c r="D1145" s="3">
        <f t="shared" si="35"/>
        <v>1</v>
      </c>
    </row>
    <row r="1146" spans="1:4" ht="43.5" x14ac:dyDescent="0.35">
      <c r="A1146" s="4" t="s">
        <v>1554</v>
      </c>
      <c r="B1146">
        <v>2</v>
      </c>
      <c r="C1146" t="str">
        <f t="shared" si="34"/>
        <v>EMSG:Found more than one target of the property XXXSTRACE:XXX Pikake St, San Diego, CA': ['HOConstructionDetails_Ext:pc:XXX - Dwelling Construction Details', 'HOConstructionDetails_Ext:pc:XXX - Dwelling Construction Details']. This could be due to a concu</v>
      </c>
      <c r="D1146" s="3">
        <f t="shared" si="35"/>
        <v>1</v>
      </c>
    </row>
    <row r="1147" spans="1:4" ht="43.5" x14ac:dyDescent="0.35">
      <c r="A1147" s="4" t="s">
        <v>1555</v>
      </c>
      <c r="B1147">
        <v>2</v>
      </c>
      <c r="C1147" t="str">
        <f t="shared" si="34"/>
        <v>EMSG:Found more than one target of the property XXXSTRACE:XXX Powers Rd, Poway, CA': ['HOConstructionDetails_Ext:pc:XXX - Dwelling Construction Details', 'HOConstructionDetails_Ext:pc:XXX - Dwelling Construction Details']. This could be due to a concurren</v>
      </c>
      <c r="D1147" s="3">
        <f t="shared" si="35"/>
        <v>1</v>
      </c>
    </row>
    <row r="1148" spans="1:4" ht="43.5" x14ac:dyDescent="0.35">
      <c r="A1148" s="4" t="s">
        <v>1556</v>
      </c>
      <c r="B1148">
        <v>2</v>
      </c>
      <c r="C1148" t="str">
        <f t="shared" si="34"/>
        <v xml:space="preserve">EMSG:Found more than one target of the property XXXSTRACE:XXX Puerto Nuevo, Lake Forest, CA': ['HOConstructionDetails_Ext:pc:XXX - Dwelling Construction Details', 'HOConstructionDetails_Ext:pc:XXX - Dwelling Construction Details']. This could be due to a </v>
      </c>
      <c r="D1148" s="3">
        <f t="shared" si="35"/>
        <v>1</v>
      </c>
    </row>
    <row r="1149" spans="1:4" ht="43.5" x14ac:dyDescent="0.35">
      <c r="A1149" s="4" t="s">
        <v>1557</v>
      </c>
      <c r="B1149">
        <v>2</v>
      </c>
      <c r="C1149" t="str">
        <f t="shared" si="34"/>
        <v>EMSG:Found more than one target of the property XXXSTRACE:XXX S Marion St, Tulare, CA': ['HOConstructionDetails_Ext:pc:XXX - Dwelling Construction Details', 'HOConstructionDetails_Ext:pc:XXX - Dwelling Construction Details']. This could be due to a concur</v>
      </c>
      <c r="D1149" s="3">
        <f t="shared" si="35"/>
        <v>1</v>
      </c>
    </row>
    <row r="1150" spans="1:4" ht="43.5" x14ac:dyDescent="0.35">
      <c r="A1150" s="4" t="s">
        <v>1558</v>
      </c>
      <c r="B1150">
        <v>2</v>
      </c>
      <c r="C1150" t="str">
        <f t="shared" si="34"/>
        <v>EMSG:Found more than one target of the property XXXSTRACE:XXX S Virmargo St, Visalia, CA': ['HOConstructionDetails_Ext:pc:XXX - Dwelling Construction Details', 'HOConstructionDetails_Ext:pc:XXX - Dwelling Construction Details']. This could be due to a con</v>
      </c>
      <c r="D1150" s="3">
        <f t="shared" si="35"/>
        <v>1</v>
      </c>
    </row>
    <row r="1151" spans="1:4" ht="43.5" x14ac:dyDescent="0.35">
      <c r="A1151" s="4" t="s">
        <v>1559</v>
      </c>
      <c r="B1151">
        <v>2</v>
      </c>
      <c r="C1151" t="str">
        <f t="shared" si="34"/>
        <v xml:space="preserve">EMSG:Found more than one target of the property XXXSTRACE:XXX San Antonio Dr, King City, CA': ['HOConstructionDetails_Ext:pc:XXX - Dwelling Construction Details', 'HOConstructionDetails_Ext:pc:XXX - Dwelling Construction Details']. This could be due to a </v>
      </c>
      <c r="D1151" s="3">
        <f t="shared" si="35"/>
        <v>1</v>
      </c>
    </row>
    <row r="1152" spans="1:4" ht="43.5" x14ac:dyDescent="0.35">
      <c r="A1152" s="4" t="s">
        <v>1560</v>
      </c>
      <c r="B1152">
        <v>2</v>
      </c>
      <c r="C1152" t="str">
        <f t="shared" si="34"/>
        <v>EMSG:Found more than one target of the property XXXSTRACE:XXX Sanford Dr, San Jose, CA': ['HOConstructionDetails_Ext:pc:XXX - Dwelling Construction Details', 'HOConstructionDetails_Ext:pc:XXX - Dwelling Construction Details']. This could be due to a concu</v>
      </c>
      <c r="D1152" s="3">
        <f t="shared" si="35"/>
        <v>1</v>
      </c>
    </row>
    <row r="1153" spans="1:4" ht="43.5" x14ac:dyDescent="0.35">
      <c r="A1153" s="4" t="s">
        <v>1561</v>
      </c>
      <c r="B1153">
        <v>2</v>
      </c>
      <c r="C1153" t="str">
        <f t="shared" si="34"/>
        <v>EMSG:Found more than one target of the property XXXSTRACE:XXX Stratton Cir, Walnut Creek, CA': ['HOConstructionDetails_Ext:pc:XXX - Dwelling Construction Details', 'HOConstructionDetails_Ext:pc:XXX - Dwelling Construction Details']. This could be due to a</v>
      </c>
      <c r="D1153" s="3">
        <f t="shared" si="35"/>
        <v>1</v>
      </c>
    </row>
    <row r="1154" spans="1:4" ht="43.5" x14ac:dyDescent="0.35">
      <c r="A1154" s="4" t="s">
        <v>1562</v>
      </c>
      <c r="B1154">
        <v>2</v>
      </c>
      <c r="C1154" t="str">
        <f t="shared" ref="C1154:C1217" si="36">LEFT(A1154,255)</f>
        <v>EMSG:Found more than one target of the property XXXSTRACE:XXX Sunset View Rd, Apple Valley, CA': ['HOConstructionDetails_Ext:pc:XXX - Dwelling Construction Details', 'HOConstructionDetails_Ext:pc:XXX - Dwelling Construction Details']. This could be due to</v>
      </c>
      <c r="D1154" s="3">
        <f t="shared" ref="D1154:D1217" si="37">IF(AND((B1154/10)&lt;1,(B1154/10)&gt;0),1,(B1154/10)*130%)</f>
        <v>1</v>
      </c>
    </row>
    <row r="1155" spans="1:4" ht="43.5" x14ac:dyDescent="0.35">
      <c r="A1155" s="4" t="s">
        <v>1563</v>
      </c>
      <c r="B1155">
        <v>2</v>
      </c>
      <c r="C1155" t="str">
        <f t="shared" si="36"/>
        <v>EMSG:Found more than one target of the property XXXSTRACE:XXX W ALMOND AVE, ORANGE, CA': ['HOConstructionDetails_Ext:pc:XXX - Dwelling Construction Details', 'HOConstructionDetails_Ext:pc:XXX - Dwelling Construction Details']. This could be due to a concu</v>
      </c>
      <c r="D1155" s="3">
        <f t="shared" si="37"/>
        <v>1</v>
      </c>
    </row>
    <row r="1156" spans="1:4" ht="43.5" x14ac:dyDescent="0.35">
      <c r="A1156" s="4" t="s">
        <v>1564</v>
      </c>
      <c r="B1156">
        <v>2</v>
      </c>
      <c r="C1156" t="str">
        <f t="shared" si="36"/>
        <v>EMSG:Found more than one target of the property XXXSTRACE:XXX W Walnut St, Lodi, CA': ['HOConstructionDetails_Ext:pc:XXX - Dwelling Construction Details', 'HOConstructionDetails_Ext:pc:XXX - Dwelling Construction Details']. This could be due to a concurre</v>
      </c>
      <c r="D1156" s="3">
        <f t="shared" si="37"/>
        <v>1</v>
      </c>
    </row>
    <row r="1157" spans="1:4" ht="43.5" x14ac:dyDescent="0.35">
      <c r="A1157" s="4" t="s">
        <v>1565</v>
      </c>
      <c r="B1157">
        <v>2</v>
      </c>
      <c r="C1157" t="str">
        <f t="shared" si="36"/>
        <v>EMSG:Found more than one target of the property XXXSTRACE:XXX W XXXTH ST, LAWNDALE, CA': ['HOConstructionDetails_Ext:pc:XXX - Dwelling Construction Details', 'HOConstructionDetails_Ext:pc:XXX - Dwelling Construction Details']. This could be due to a concu</v>
      </c>
      <c r="D1157" s="3">
        <f t="shared" si="37"/>
        <v>1</v>
      </c>
    </row>
    <row r="1158" spans="1:4" x14ac:dyDescent="0.35">
      <c r="A1158" t="s">
        <v>127</v>
      </c>
      <c r="B1158">
        <v>2</v>
      </c>
      <c r="C1158" t="str">
        <f t="shared" si="36"/>
        <v>EMSG:Given policy is inactive more than XXX monthsSTRACE:com.farmers.integ.distribution.opra.batch.helper.OpraRecordHandler.validateRecords(OpraRecordHandler.gs:XXXSTRACERAW:-</v>
      </c>
      <c r="D1158" s="3">
        <f t="shared" si="37"/>
        <v>1</v>
      </c>
    </row>
    <row r="1159" spans="1:4" x14ac:dyDescent="0.35">
      <c r="A1159" t="s">
        <v>1171</v>
      </c>
      <c r="B1159">
        <v>2</v>
      </c>
      <c r="C1159" t="str">
        <f t="shared" si="36"/>
        <v>EMSG:HODwellingAnswer_Ext:XXX deleted from databaseSTRACE:deployment.pc.war//com.guidewire.pl.system.database.entitywriter.DatabaseEntityWriterImpl.writeSingleBeanUpdate(DatabaseEntityWriterImpl.java:XXXSTRACERAW:-</v>
      </c>
      <c r="D1159" s="3">
        <f t="shared" si="37"/>
        <v>1</v>
      </c>
    </row>
    <row r="1160" spans="1:4" x14ac:dyDescent="0.35">
      <c r="A1160" t="s">
        <v>1566</v>
      </c>
      <c r="B1160">
        <v>2</v>
      </c>
      <c r="C1160" t="str">
        <f t="shared" si="36"/>
        <v>EMSG:Helen AriasSTRACE:com.farmers.config.pa.validator.BrightlineValidator.validateQuoteBrightlineRules(BrightlineValidator.gs:XXXSTRACERAW:-</v>
      </c>
      <c r="D1160" s="3">
        <f t="shared" si="37"/>
        <v>1</v>
      </c>
    </row>
    <row r="1161" spans="1:4" x14ac:dyDescent="0.35">
      <c r="A1161" t="s">
        <v>1567</v>
      </c>
      <c r="B1161">
        <v>2</v>
      </c>
      <c r="C1161" t="str">
        <f t="shared" si="36"/>
        <v>EMSG:HomeownersLine_HOE with FixedID:XXX and window XXXSTRACE:deployment.pc.war//com.guidewire.pl.system.entity.proxy.EffDatedVersionListImpl.lambda$isNonOverlapping$XXX(EffDatedVersionListImpl.java:XXXSTRACERAW:-</v>
      </c>
      <c r="D1161" s="3">
        <f t="shared" si="37"/>
        <v>1</v>
      </c>
    </row>
    <row r="1162" spans="1:4" x14ac:dyDescent="0.35">
      <c r="A1162" t="s">
        <v>799</v>
      </c>
      <c r="B1162">
        <v>2</v>
      </c>
      <c r="C1162" t="str">
        <f t="shared" si="36"/>
        <v>EMSG:Increase Split Water deductible. Split Water deductible must be greater than the All Perils deductible.STRACE:edge.capabilities.quote.submission.quoting.util.SubmissionUnderwritingIssuesUtil.checkSideBySideProcessExceptions(SubmissionUnderwritingIssu</v>
      </c>
      <c r="D1162" s="3">
        <f t="shared" si="37"/>
        <v>1</v>
      </c>
    </row>
    <row r="1163" spans="1:4" ht="29" x14ac:dyDescent="0.35">
      <c r="A1163" s="4" t="s">
        <v>1568</v>
      </c>
      <c r="B1163">
        <v>2</v>
      </c>
      <c r="C1163" t="str">
        <f t="shared" si="36"/>
        <v>EMSG:Increase the Bodily Injury limits to at least $XXXSTRACE:least $XXX,XXX/$XXX,XXX and Property Damage limit to at least $XXX,XXX. This policy is associated with an Umbrella policy.
	at edge.capabilities.quote.submission.quoting.util.SubmissionUnderwri</v>
      </c>
      <c r="D1163" s="3">
        <f t="shared" si="37"/>
        <v>1</v>
      </c>
    </row>
    <row r="1164" spans="1:4" x14ac:dyDescent="0.35">
      <c r="A1164" t="s">
        <v>410</v>
      </c>
      <c r="B1164">
        <v>2</v>
      </c>
      <c r="C1164" t="str">
        <f t="shared" si="36"/>
        <v>EMSG:Ineligible for PD limits. A risk with excessive accidents and/or violations is not eligible for Property Damage limits greater than XXXSTRACE:com.farmers.config.pa.validator.BrightlineValidator.validateQuoteBrightlineRules(BrightlineValidator.gs:XXXS</v>
      </c>
      <c r="D1164" s="3">
        <f t="shared" si="37"/>
        <v>1</v>
      </c>
    </row>
    <row r="1165" spans="1:4" x14ac:dyDescent="0.35">
      <c r="A1165" t="s">
        <v>1014</v>
      </c>
      <c r="B1165">
        <v>2</v>
      </c>
      <c r="C1165" t="str">
        <f t="shared" si="36"/>
        <v>EMSG:Internal error: bean entity.AccountLocation:XXX was not staged for edit.STRACE:deployment.pc.war//com.guidewire.pl.system.bundle.EntityBundleImpl.handleBeanChange(EntityBundleImpl.java:XXXSTRACERAW:-</v>
      </c>
      <c r="D1165" s="3">
        <f t="shared" si="37"/>
        <v>1</v>
      </c>
    </row>
    <row r="1166" spans="1:4" x14ac:dyDescent="0.35">
      <c r="A1166" t="s">
        <v>1569</v>
      </c>
      <c r="B1166">
        <v>2</v>
      </c>
      <c r="C1166" t="str">
        <f t="shared" si="36"/>
        <v>EMSG:Internal error: bean entity.DiscountDetail_Ext:XXX was not staged for edit.STRACE:deployment.pc.war//com.guidewire.pl.system.bundle.EntityBundleImpl.handleBeanChange(EntityBundleImpl.java:XXXSTRACERAW:-</v>
      </c>
      <c r="D1166" s="3">
        <f t="shared" si="37"/>
        <v>1</v>
      </c>
    </row>
    <row r="1167" spans="1:4" x14ac:dyDescent="0.35">
      <c r="A1167" t="s">
        <v>800</v>
      </c>
      <c r="B1167">
        <v>2</v>
      </c>
      <c r="C1167" t="str">
        <f t="shared" si="36"/>
        <v>EMSG:Internal error: bean entity.HOLocation_HOE:XXX was not staged for edit.STRACE:deployment.pc.war//com.guidewire.pl.system.bundle.EntityBundleImpl.handleBeanChange(EntityBundleImpl.java:XXXSTRACERAW:-</v>
      </c>
      <c r="D1167" s="3">
        <f t="shared" si="37"/>
        <v>1</v>
      </c>
    </row>
    <row r="1168" spans="1:4" x14ac:dyDescent="0.35">
      <c r="A1168" t="s">
        <v>1570</v>
      </c>
      <c r="B1168">
        <v>2</v>
      </c>
      <c r="C1168" t="str">
        <f t="shared" si="36"/>
        <v>EMSG:James ReynoldsSTRACE:com.farmers.config.pa.validator.BrightlineValidator.validateQuoteBrightlineRules(BrightlineValidator.gs:XXXSTRACERAW:-</v>
      </c>
      <c r="D1168" s="3">
        <f t="shared" si="37"/>
        <v>1</v>
      </c>
    </row>
    <row r="1169" spans="1:4" x14ac:dyDescent="0.35">
      <c r="A1169" t="s">
        <v>1250</v>
      </c>
      <c r="B1169">
        <v>2</v>
      </c>
      <c r="C1169" t="str">
        <f t="shared" si="36"/>
        <v>EMSG:Karen MEDRANOMACIASSTRACE:com.farmers.config.pa.validator.BrightlineValidator.validateQuoteBrightlineRules(BrightlineValidator.gs:XXXSTRACERAW:-</v>
      </c>
      <c r="D1169" s="3">
        <f t="shared" si="37"/>
        <v>1</v>
      </c>
    </row>
    <row r="1170" spans="1:4" x14ac:dyDescent="0.35">
      <c r="A1170" t="s">
        <v>1230</v>
      </c>
      <c r="B1170">
        <v>2</v>
      </c>
      <c r="C1170" t="str">
        <f t="shared" si="36"/>
        <v>EMSG:Karen MedranoSTRACE:com.farmers.config.pa.validator.BrightlineValidator.validateQuoteBrightlineRules(BrightlineValidator.gs:XXXSTRACERAW:-</v>
      </c>
      <c r="D1170" s="3">
        <f t="shared" si="37"/>
        <v>1</v>
      </c>
    </row>
    <row r="1171" spans="1:4" x14ac:dyDescent="0.35">
      <c r="A1171" t="s">
        <v>1571</v>
      </c>
      <c r="B1171">
        <v>2</v>
      </c>
      <c r="C1171" t="str">
        <f t="shared" si="36"/>
        <v>EMSG:LEILA MUSSONESTRACE:com.farmers.config.pa.validator.BrightlineValidator.validateQuoteBrightlineRules(BrightlineValidator.gs:XXXSTRACERAW:-</v>
      </c>
      <c r="D1171" s="3">
        <f t="shared" si="37"/>
        <v>1</v>
      </c>
    </row>
    <row r="1172" spans="1:4" x14ac:dyDescent="0.35">
      <c r="A1172" t="s">
        <v>457</v>
      </c>
      <c r="B1172">
        <v>2</v>
      </c>
      <c r="C1172" t="str">
        <f t="shared" si="36"/>
        <v>EMSG:LHPI Ordering Failed! - [Runtime Error]STRACE:java.base/jdk.internal.reflect.NativeConstructorAccessorImpl.newInstanceXXX(Native MethodSTRACERAW:-</v>
      </c>
      <c r="D1172" s="3">
        <f t="shared" si="37"/>
        <v>1</v>
      </c>
    </row>
    <row r="1173" spans="1:4" x14ac:dyDescent="0.35">
      <c r="A1173" t="s">
        <v>1572</v>
      </c>
      <c r="B1173">
        <v>2</v>
      </c>
      <c r="C1173" t="str">
        <f t="shared" si="36"/>
        <v>EMSG:LORI CASTANEDASTRACE:com.farmers.config.pa.validator.BrightlineValidator.validateQuoteBrightlineRules(BrightlineValidator.gs:XXXSTRACERAW:-</v>
      </c>
      <c r="D1173" s="3">
        <f t="shared" si="37"/>
        <v>1</v>
      </c>
    </row>
    <row r="1174" spans="1:4" x14ac:dyDescent="0.35">
      <c r="A1174" t="s">
        <v>1573</v>
      </c>
      <c r="B1174">
        <v>2</v>
      </c>
      <c r="C1174" t="str">
        <f t="shared" si="36"/>
        <v>EMSG:LUIS MARCIAL GUZMANSTRACE:com.farmers.config.pa.validator.BrightlineValidator.validateQuoteBrightlineRules(BrightlineValidator.gs:XXXSTRACERAW:-</v>
      </c>
      <c r="D1174" s="3">
        <f t="shared" si="37"/>
        <v>1</v>
      </c>
    </row>
    <row r="1175" spans="1:4" x14ac:dyDescent="0.35">
      <c r="A1175" t="s">
        <v>1574</v>
      </c>
      <c r="B1175">
        <v>2</v>
      </c>
      <c r="C1175" t="str">
        <f t="shared" si="36"/>
        <v>EMSG:LUW Policy Change Job XXX: Failed to close the connectionSTRACE:gw.acc.luw.LUWExceptionHelper.processException(LUWExceptionHelper.gs:XXXSTRACERAW:-</v>
      </c>
      <c r="D1175" s="3">
        <f t="shared" si="37"/>
        <v>1</v>
      </c>
    </row>
    <row r="1176" spans="1:4" ht="43.5" x14ac:dyDescent="0.35">
      <c r="A1176" s="4" t="s">
        <v>1575</v>
      </c>
      <c r="B1176">
        <v>2</v>
      </c>
      <c r="C1176" t="str">
        <f t="shared" si="36"/>
        <v>EMSG:LUW Policy Change Job XXX: The object you are trying to update was XXXSTRACE:XXX/XXX/XXX XXX:XXX AM. Please cancel and retry your change.
The object you are trying to update was 'Policy:pc:XXX - pc:XXX', and it was changed by Gabe Cudd at XXX/XXX/XXX</v>
      </c>
      <c r="D1176" s="3">
        <f t="shared" si="37"/>
        <v>1</v>
      </c>
    </row>
    <row r="1177" spans="1:4" ht="43.5" x14ac:dyDescent="0.35">
      <c r="A1177" s="4" t="s">
        <v>1576</v>
      </c>
      <c r="B1177">
        <v>2</v>
      </c>
      <c r="C1177" t="str">
        <f t="shared" si="36"/>
        <v>EMSG:LUW Policy Change Job XXX: The object you are trying to update was XXXSTRACE:XXX/XXX/XXX XXX:XXX PM. Please cancel and retry your change.
The object you are trying to update was 'Policy:pc:XXX - pc:XXX', and it was changed by LUW u at XXX/XXX/XXX XXX</v>
      </c>
      <c r="D1177" s="3">
        <f t="shared" si="37"/>
        <v>1</v>
      </c>
    </row>
    <row r="1178" spans="1:4" ht="43.5" x14ac:dyDescent="0.35">
      <c r="A1178" s="4" t="s">
        <v>647</v>
      </c>
      <c r="B1178">
        <v>2</v>
      </c>
      <c r="C1178" t="str">
        <f t="shared" si="36"/>
        <v>EMSG:LUW Policy Change Job XXX: The object you are trying to update was XXXSTRACE:XXX/XXX/XXX XXX:XXX PM. Please cancel and retry your change.
The object you are trying to update was 'Policy:pc:XXX - pc:XXX', and it was changed by System at XXX/XXX/XXX XX</v>
      </c>
      <c r="D1178" s="3">
        <f t="shared" si="37"/>
        <v>1</v>
      </c>
    </row>
    <row r="1179" spans="1:4" x14ac:dyDescent="0.35">
      <c r="A1179" t="s">
        <v>928</v>
      </c>
      <c r="B1179">
        <v>2</v>
      </c>
      <c r="C1179" t="str">
        <f t="shared" si="36"/>
        <v>EMSG:MQJCAXXX: An exception occurred in the IBM MQ layer. See the linked exception for details.STRACE:deployment.wmq.jmsra.rar//com.ibm.mq.connector.services.JCAExceptionBuilder.buildException(JCAExceptionBuilder.java:XXXSTRACERAW:-</v>
      </c>
      <c r="D1179" s="3">
        <f t="shared" si="37"/>
        <v>1</v>
      </c>
    </row>
    <row r="1180" spans="1:4" x14ac:dyDescent="0.35">
      <c r="A1180" t="s">
        <v>1577</v>
      </c>
      <c r="B1180">
        <v>2</v>
      </c>
      <c r="C1180" t="str">
        <f t="shared" si="36"/>
        <v>EMSG:MVR APP ERROR: ID-LEXISNEXIS REJECT:LAST NAME INVALID OR MISSING for unit WXXXIDSTRACE:com.farmers.config.common.mvr.MVRProcess.createCacheFromResponse(MVRProcess.gs:XXXSTRACERAW:-</v>
      </c>
      <c r="D1180" s="3">
        <f t="shared" si="37"/>
        <v>1</v>
      </c>
    </row>
    <row r="1181" spans="1:4" ht="43.5" x14ac:dyDescent="0.35">
      <c r="A1181" s="4" t="s">
        <v>664</v>
      </c>
      <c r="B1181">
        <v>2</v>
      </c>
      <c r="C1181" t="str">
        <f t="shared" si="36"/>
        <v>EMSG:MVR Ordering Failed! - [gw.xml.XmlException: 'Unable to parse XML from xml string using schemas [com.farmers.integ.erti.riskanalysis.wsc.autoriskanalysiswsc.autoriskanalysis_vXXXSTRACE:line XXX column XXX']
	at com.farmers.config.common.mvr.MVRProces</v>
      </c>
      <c r="D1181" s="3">
        <f t="shared" si="37"/>
        <v>1</v>
      </c>
    </row>
    <row r="1182" spans="1:4" x14ac:dyDescent="0.35">
      <c r="A1182" t="s">
        <v>1578</v>
      </c>
      <c r="B1182">
        <v>2</v>
      </c>
      <c r="C1182" t="str">
        <f t="shared" si="36"/>
        <v>EMSG:Marco RodriguezSTRACE:com.farmers.config.pa.validator.BrightlineValidator.validateQuoteBrightlineRules(BrightlineValidator.gs:XXXSTRACERAW:-</v>
      </c>
      <c r="D1182" s="3">
        <f t="shared" si="37"/>
        <v>1</v>
      </c>
    </row>
    <row r="1183" spans="1:4" x14ac:dyDescent="0.35">
      <c r="A1183" t="s">
        <v>1579</v>
      </c>
      <c r="B1183">
        <v>2</v>
      </c>
      <c r="C1183" t="str">
        <f t="shared" si="36"/>
        <v>EMSG:Marco RodriguezSTRACE:gw.job.QuoteProcess.requestQuote(QuoteProcess.gs:XXXSTRACERAW:-</v>
      </c>
      <c r="D1183" s="3">
        <f t="shared" si="37"/>
        <v>1</v>
      </c>
    </row>
    <row r="1184" spans="1:4" x14ac:dyDescent="0.35">
      <c r="A1184" t="s">
        <v>1580</v>
      </c>
      <c r="B1184">
        <v>2</v>
      </c>
      <c r="C1184" t="str">
        <f t="shared" si="36"/>
        <v>EMSG:Merlin HouseSTRACE:com.farmers.config.pa.validator.BrightlineValidator.validateQuoteBrightlineRules(BrightlineValidator.gs:XXXSTRACERAW:-</v>
      </c>
      <c r="D1184" s="3">
        <f t="shared" si="37"/>
        <v>1</v>
      </c>
    </row>
    <row r="1185" spans="1:4" x14ac:dyDescent="0.35">
      <c r="A1185" t="s">
        <v>1581</v>
      </c>
      <c r="B1185">
        <v>2</v>
      </c>
      <c r="C1185" t="str">
        <f t="shared" si="36"/>
        <v>EMSG:Merlin HouseSTRACE:gw.job.QuoteProcess.requestQuote(QuoteProcess.gs:XXXSTRACERAW:-</v>
      </c>
      <c r="D1185" s="3">
        <f t="shared" si="37"/>
        <v>1</v>
      </c>
    </row>
    <row r="1186" spans="1:4" x14ac:dyDescent="0.35">
      <c r="A1186" t="s">
        <v>1582</v>
      </c>
      <c r="B1186">
        <v>2</v>
      </c>
      <c r="C1186" t="str">
        <f t="shared" si="36"/>
        <v>EMSG:Michael MazzaSTRACE:com.farmers.config.pa.validator.BrightlineValidator.validateQuoteBrightlineRules(BrightlineValidator.gs:XXXSTRACERAW:-</v>
      </c>
      <c r="D1186" s="3">
        <f t="shared" si="37"/>
        <v>1</v>
      </c>
    </row>
    <row r="1187" spans="1:4" x14ac:dyDescent="0.35">
      <c r="A1187" t="s">
        <v>1583</v>
      </c>
      <c r="B1187">
        <v>2</v>
      </c>
      <c r="C1187" t="str">
        <f t="shared" si="36"/>
        <v>EMSG:Morgan NicoliaSTRACE:com.farmers.config.pa.validator.BrightlineValidator.validateQuoteBrightlineRules(BrightlineValidator.gs:XXXSTRACERAW:-</v>
      </c>
      <c r="D1187" s="3">
        <f t="shared" si="37"/>
        <v>1</v>
      </c>
    </row>
    <row r="1188" spans="1:4" x14ac:dyDescent="0.35">
      <c r="A1188" t="s">
        <v>1584</v>
      </c>
      <c r="B1188">
        <v>2</v>
      </c>
      <c r="C1188" t="str">
        <f t="shared" si="36"/>
        <v>EMSG:Morgan NicoliaSTRACE:gw.job.QuoteProcess.requestQuote(QuoteProcess.gs:XXXSTRACERAW:-</v>
      </c>
      <c r="D1188" s="3">
        <f t="shared" si="37"/>
        <v>1</v>
      </c>
    </row>
    <row r="1189" spans="1:4" x14ac:dyDescent="0.35">
      <c r="A1189" t="s">
        <v>486</v>
      </c>
      <c r="B1189">
        <v>2</v>
      </c>
      <c r="C1189" t="str">
        <f t="shared" si="36"/>
        <v>EMSG:Multiple agent prior insurance reports foundSTRACE:com.farmers.tier.pa.pitier.impl.PITierInputMapperImpl.selectReport(PITierInputMapperImpl.gs:XXXSTRACERAW:-</v>
      </c>
      <c r="D1189" s="3">
        <f t="shared" si="37"/>
        <v>1</v>
      </c>
    </row>
    <row r="1190" spans="1:4" x14ac:dyDescent="0.35">
      <c r="A1190" t="s">
        <v>1585</v>
      </c>
      <c r="B1190">
        <v>2</v>
      </c>
      <c r="C1190" t="str">
        <f t="shared" si="36"/>
        <v>EMSG:Multiple entries with same key: loggedOnUserID=&lt;?xml version="XXX.XXX" encoding="UTFXXX"?&gt;&lt;loggedOnUserID xmlns="http://zsoa.zurichna.com/enterpriseservices/ZSOA"&gt;campXXXu&lt;/loggedOnUserID&gt; and loggedOnUserID=&lt;?xml version="XXX.XXX" encoding="UTFXXX"?</v>
      </c>
      <c r="D1190" s="3">
        <f t="shared" si="37"/>
        <v>1</v>
      </c>
    </row>
    <row r="1191" spans="1:4" x14ac:dyDescent="0.35">
      <c r="A1191" t="s">
        <v>1586</v>
      </c>
      <c r="B1191">
        <v>2</v>
      </c>
      <c r="C1191" t="str">
        <f t="shared" si="36"/>
        <v>EMSG:NAYELLI MENDOZASTRACE:com.farmers.config.pa.validator.BrightlineValidator.validateQuoteBrightlineRules(BrightlineValidator.gs:XXXSTRACERAW:-</v>
      </c>
      <c r="D1191" s="3">
        <f t="shared" si="37"/>
        <v>1</v>
      </c>
    </row>
    <row r="1192" spans="1:4" x14ac:dyDescent="0.35">
      <c r="A1192" t="s">
        <v>1587</v>
      </c>
      <c r="B1192">
        <v>2</v>
      </c>
      <c r="C1192" t="str">
        <f t="shared" si="36"/>
        <v>EMSG:NAYELLI MENDOZASTRACE:gw.job.QuoteProcess.requestQuote(QuoteProcess.gs:XXXSTRACERAW:-</v>
      </c>
      <c r="D1192" s="3">
        <f t="shared" si="37"/>
        <v>1</v>
      </c>
    </row>
    <row r="1193" spans="1:4" x14ac:dyDescent="0.35">
      <c r="A1193" t="s">
        <v>1588</v>
      </c>
      <c r="B1193">
        <v>2</v>
      </c>
      <c r="C1193" t="str">
        <f t="shared" si="36"/>
        <v>EMSG:Nicole MarquezSTRACE:com.farmers.config.pa.validator.BrightlineValidator.validateQuoteBrightlineRules(BrightlineValidator.gs:XXXSTRACERAW:-</v>
      </c>
      <c r="D1193" s="3">
        <f t="shared" si="37"/>
        <v>1</v>
      </c>
    </row>
    <row r="1194" spans="1:4" x14ac:dyDescent="0.35">
      <c r="A1194" t="s">
        <v>1589</v>
      </c>
      <c r="B1194">
        <v>2</v>
      </c>
      <c r="C1194" t="str">
        <f t="shared" si="36"/>
        <v>EMSG:Nicole MarquezSTRACE:gw.job.QuoteProcess.requestQuote(QuoteProcess.gs:XXXSTRACERAW:-</v>
      </c>
      <c r="D1194" s="3">
        <f t="shared" si="37"/>
        <v>1</v>
      </c>
    </row>
    <row r="1195" spans="1:4" x14ac:dyDescent="0.35">
      <c r="A1195" t="s">
        <v>1125</v>
      </c>
      <c r="B1195">
        <v>2</v>
      </c>
      <c r="C1195" t="str">
        <f t="shared" si="36"/>
        <v>EMSG:No Updates RequiredSTRACE:com.farmers.integ.batch.lienholder.util.AutoLienBatchWrapper.processChngCrctnAcqstnForBlankLSType(AutoLienBatchWrapper.gs:XXXSTRACERAW:-</v>
      </c>
      <c r="D1195" s="3">
        <f t="shared" si="37"/>
        <v>1</v>
      </c>
    </row>
    <row r="1196" spans="1:4" x14ac:dyDescent="0.35">
      <c r="A1196" t="s">
        <v>511</v>
      </c>
      <c r="B1196">
        <v>2</v>
      </c>
      <c r="C1196" t="str">
        <f t="shared" si="36"/>
        <v>EMSG:No Vehicle found with the given SubjectOfInsuranceId XXXSTRACE:edge.capabilities.policychange.lob.personalauto.coverables.DefaultPaCoverablePlugin$block_XXX_.invoke(DefaultPaCoverablePlugin.gs:XXXSTRACERAW:-</v>
      </c>
      <c r="D1196" s="3">
        <f t="shared" si="37"/>
        <v>1</v>
      </c>
    </row>
    <row r="1197" spans="1:4" x14ac:dyDescent="0.35">
      <c r="A1197" t="s">
        <v>878</v>
      </c>
      <c r="B1197">
        <v>2</v>
      </c>
      <c r="C1197" t="str">
        <f t="shared" si="36"/>
        <v>EMSG:No driver points found for incident nullSTRACE:com.farmers.chargeability.pa.driverpoints.PADriverPointsCalculatorVXXX$block_XXX_$block_XXX_.invoke(PADriverPointsCalculatorVXXX.gs:XXXSTRACERAW:-</v>
      </c>
      <c r="D1197" s="3">
        <f t="shared" si="37"/>
        <v>1</v>
      </c>
    </row>
    <row r="1198" spans="1:4" x14ac:dyDescent="0.35">
      <c r="A1198" t="s">
        <v>1590</v>
      </c>
      <c r="B1198">
        <v>2</v>
      </c>
      <c r="C1198" t="str">
        <f t="shared" si="36"/>
        <v>EMSG:One or more null constraint violations detected for CreditTieringResult_ExtSTRACE:deployment.pc.war//com.guidewire.pl.system.database.entitywriter.DatabaseEntityWriterImpl.checkForNullConstraintViolation(DatabaseEntityWriterImpl.java:XXXSTRACERAW:-</v>
      </c>
      <c r="D1198" s="3">
        <f t="shared" si="37"/>
        <v>1</v>
      </c>
    </row>
    <row r="1199" spans="1:4" x14ac:dyDescent="0.35">
      <c r="A1199" t="s">
        <v>1153</v>
      </c>
      <c r="B1199">
        <v>2</v>
      </c>
      <c r="C1199" t="str">
        <f t="shared" si="36"/>
        <v>EMSG:One or more null constraint violations detected for HistorySTRACE:deployment.pc.war//com.guidewire.pl.system.database.entitywriter.DatabaseEntityWriterImpl.checkForNullConstraintViolation(DatabaseEntityWriterImpl.java:XXXSTRACERAW:-</v>
      </c>
      <c r="D1199" s="3">
        <f t="shared" si="37"/>
        <v>1</v>
      </c>
    </row>
    <row r="1200" spans="1:4" x14ac:dyDescent="0.35">
      <c r="A1200" t="s">
        <v>1591</v>
      </c>
      <c r="B1200">
        <v>2</v>
      </c>
      <c r="C1200" t="str">
        <f t="shared" si="36"/>
        <v>EMSG:Owen CorwinSTRACE:com.farmers.config.pa.validator.BrightlineValidator.validateQuoteBrightlineRules(BrightlineValidator.gs:XXXSTRACERAW:-</v>
      </c>
      <c r="D1200" s="3">
        <f t="shared" si="37"/>
        <v>1</v>
      </c>
    </row>
    <row r="1201" spans="1:4" x14ac:dyDescent="0.35">
      <c r="A1201" t="s">
        <v>1018</v>
      </c>
      <c r="B1201">
        <v>2</v>
      </c>
      <c r="C1201" t="str">
        <f t="shared" si="36"/>
        <v>EMSG:PAPriorLoss_Ext:XXX deleted from databaseSTRACE:deployment.pc.war//com.guidewire.pl.system.database.entitywriter.DatabaseEntityWriterImpl.writeSingleBeanUpdate(DatabaseEntityWriterImpl.java:XXXSTRACERAW:-</v>
      </c>
      <c r="D1201" s="3">
        <f t="shared" si="37"/>
        <v>1</v>
      </c>
    </row>
    <row r="1202" spans="1:4" x14ac:dyDescent="0.35">
      <c r="A1202" t="s">
        <v>1173</v>
      </c>
      <c r="B1202">
        <v>2</v>
      </c>
      <c r="C1202" t="str">
        <f t="shared" si="36"/>
        <v>EMSG:Personal Umbrella Line:XXX deleted from databaseSTRACE:deployment.pc.war//com.guidewire.pl.system.database.entitywriter.DatabaseEntityWriterImpl.writeSingleBeanUpdate(DatabaseEntityWriterImpl.java:XXXSTRACERAW:-</v>
      </c>
      <c r="D1202" s="3">
        <f t="shared" si="37"/>
        <v>1</v>
      </c>
    </row>
    <row r="1203" spans="1:4" x14ac:dyDescent="0.35">
      <c r="A1203" t="s">
        <v>1127</v>
      </c>
      <c r="B1203">
        <v>2</v>
      </c>
      <c r="C1203" t="str">
        <f t="shared" si="36"/>
        <v>EMSG:Personal Vehicle:XXX deleted from databaseSTRACE:deployment.pc.war//com.guidewire.pl.system.database.entitywriter.DatabaseEntityWriterImpl.writeSingleBeanUpdate(DatabaseEntityWriterImpl.java:XXXSTRACERAW:-</v>
      </c>
      <c r="D1203" s="3">
        <f t="shared" si="37"/>
        <v>1</v>
      </c>
    </row>
    <row r="1204" spans="1:4" x14ac:dyDescent="0.35">
      <c r="A1204" t="s">
        <v>857</v>
      </c>
      <c r="B1204">
        <v>2</v>
      </c>
      <c r="C1204" t="str">
        <f t="shared" si="36"/>
        <v>EMSG:Policy Effective Date must be on or after XXX/XXX/XXX. Please change the Policy Effective Date to proceed further.STRACE:edge.capabilities.quote.submission.quoting.util.SubmissionUnderwritingIssuesUtil.checkSideBySideProcessExceptions(SubmissionUnder</v>
      </c>
      <c r="D1204" s="3">
        <f t="shared" si="37"/>
        <v>1</v>
      </c>
    </row>
    <row r="1205" spans="1:4" x14ac:dyDescent="0.35">
      <c r="A1205" t="s">
        <v>901</v>
      </c>
      <c r="B1205">
        <v>2</v>
      </c>
      <c r="C1205" t="str">
        <f t="shared" si="36"/>
        <v>EMSG:Policy is not eligible for new Auto Product as  driver(s) did not receive a valid Motor Vehicle Record.STRACE:gw.job.QuoteProcess.requestQuote(QuoteProcess.gs:XXXSTRACERAW:-</v>
      </c>
      <c r="D1205" s="3">
        <f t="shared" si="37"/>
        <v>1</v>
      </c>
    </row>
    <row r="1206" spans="1:4" x14ac:dyDescent="0.35">
      <c r="A1206" t="s">
        <v>944</v>
      </c>
      <c r="B1206">
        <v>2</v>
      </c>
      <c r="C1206" t="str">
        <f t="shared" si="36"/>
        <v>EMSG:Primary driver must be enrolled before enrolling other drivers.STRACE:edge.capabilities.policychange.lob.personalauto.coverables.util.DriverUtil.fill(DriverUtil.gs:XXXSTRACERAW:-</v>
      </c>
      <c r="D1206" s="3">
        <f t="shared" si="37"/>
        <v>1</v>
      </c>
    </row>
    <row r="1207" spans="1:4" x14ac:dyDescent="0.35">
      <c r="A1207" t="s">
        <v>1592</v>
      </c>
      <c r="B1207">
        <v>2</v>
      </c>
      <c r="C1207" t="str">
        <f t="shared" si="36"/>
        <v>EMSG:REBEKA BEGUMSTRACE:com.farmers.config.pa.validator.BrightlineValidator.validateQuoteBrightlineRules(BrightlineValidator.gs:XXXSTRACERAW:-</v>
      </c>
      <c r="D1207" s="3">
        <f t="shared" si="37"/>
        <v>1</v>
      </c>
    </row>
    <row r="1208" spans="1:4" x14ac:dyDescent="0.35">
      <c r="A1208" t="s">
        <v>1593</v>
      </c>
      <c r="B1208">
        <v>2</v>
      </c>
      <c r="C1208" t="str">
        <f t="shared" si="36"/>
        <v>EMSG:REBEKA BEGUMSTRACE:gw.job.QuoteProcess.requestQuote(QuoteProcess.gs:XXXSTRACERAW:-</v>
      </c>
      <c r="D1208" s="3">
        <f t="shared" si="37"/>
        <v>1</v>
      </c>
    </row>
    <row r="1209" spans="1:4" x14ac:dyDescent="0.35">
      <c r="A1209" t="s">
        <v>1594</v>
      </c>
      <c r="B1209">
        <v>2</v>
      </c>
      <c r="C1209" t="str">
        <f t="shared" si="36"/>
        <v>EMSG:Re-enter "License #". Duplicate License Number entered for the following Drivers JOSEPH RoundySTRACE:edge.capabilities.quote.submission.quoting.util.SubmissionUnderwritingIssuesUtil.checkVerifyRateExceptions(SubmissionUnderwritingIssuesUtil.gs:XXXSTR</v>
      </c>
      <c r="D1209" s="3">
        <f t="shared" si="37"/>
        <v>1</v>
      </c>
    </row>
    <row r="1210" spans="1:4" x14ac:dyDescent="0.35">
      <c r="A1210" t="s">
        <v>1595</v>
      </c>
      <c r="B1210">
        <v>2</v>
      </c>
      <c r="C1210" t="str">
        <f t="shared" si="36"/>
        <v>EMSG:Re-enter "License #". Duplicate License Number entered for the following Drivers MATTHEW ChangSTRACE:edge.capabilities.quote.submission.quoting.util.SubmissionUnderwritingIssuesUtil.checkVerifyRateExceptions(SubmissionUnderwritingIssuesUtil.gs:XXXSTR</v>
      </c>
      <c r="D1210" s="3">
        <f t="shared" si="37"/>
        <v>1</v>
      </c>
    </row>
    <row r="1211" spans="1:4" x14ac:dyDescent="0.35">
      <c r="A1211" t="s">
        <v>1596</v>
      </c>
      <c r="B1211">
        <v>2</v>
      </c>
      <c r="C1211" t="str">
        <f t="shared" si="36"/>
        <v>EMSG:Re-enter "License #". Duplicate License Number entered for the following Drivers OANH NGUYENSTRACE:edge.capabilities.quote.submission.quoting.util.SubmissionUnderwritingIssuesUtil.checkVerifyRateExceptions(SubmissionUnderwritingIssuesUtil.gs:XXXSTRAC</v>
      </c>
      <c r="D1211" s="3">
        <f t="shared" si="37"/>
        <v>1</v>
      </c>
    </row>
    <row r="1212" spans="1:4" x14ac:dyDescent="0.35">
      <c r="A1212" t="s">
        <v>1597</v>
      </c>
      <c r="B1212">
        <v>2</v>
      </c>
      <c r="C1212" t="str">
        <f t="shared" si="36"/>
        <v>EMSG:Re-enter "License #". Duplicate License Number entered for the following Drivers SAMMI JO CALCATERRASTRACE:edge.capabilities.quote.submission.quoting.util.SubmissionUnderwritingIssuesUtil.checkVerifyRateExceptions(SubmissionUnderwritingIssuesUtil.gs:</v>
      </c>
      <c r="D1212" s="3">
        <f t="shared" si="37"/>
        <v>1</v>
      </c>
    </row>
    <row r="1213" spans="1:4" x14ac:dyDescent="0.35">
      <c r="A1213" t="s">
        <v>491</v>
      </c>
      <c r="B1213">
        <v>2</v>
      </c>
      <c r="C1213" t="str">
        <f t="shared" si="36"/>
        <v>EMSG:Reduce Personal Liability coverage limits. Personal Liability coverage limit of $XXX million or higher is not allowed on the policy when Additional Insured or Additional Interest has contact type as company.;STRACE:edge.capabilities.quote.submission.</v>
      </c>
      <c r="D1213" s="3">
        <f t="shared" si="37"/>
        <v>1</v>
      </c>
    </row>
    <row r="1214" spans="1:4" x14ac:dyDescent="0.35">
      <c r="A1214" t="s">
        <v>1598</v>
      </c>
      <c r="B1214">
        <v>2</v>
      </c>
      <c r="C1214" t="str">
        <f t="shared" si="36"/>
        <v>EMSG:Remove Iris Jeanneth Aguirre Salguero in order to add the contact as a driverSTRACE:edge.capabilities.policychange.lob.personalauto.coverables.DefaultPaCoverablePlugin.updateCoverables(DefaultPaCoverablePlugin.gs:XXXSTRACERAW:-</v>
      </c>
      <c r="D1214" s="3">
        <f t="shared" si="37"/>
        <v>1</v>
      </c>
    </row>
    <row r="1215" spans="1:4" x14ac:dyDescent="0.35">
      <c r="A1215" t="s">
        <v>1599</v>
      </c>
      <c r="B1215">
        <v>2</v>
      </c>
      <c r="C1215" t="str">
        <f t="shared" si="36"/>
        <v>EMSG:Remove Roy Granada in order to add the contact as a driverSTRACE:edge.capabilities.policychange.lob.personalauto.coverables.DefaultPaCoverablePlugin.updateCoverables(DefaultPaCoverablePlugin.gs:XXXSTRACERAW:-</v>
      </c>
      <c r="D1215" s="3">
        <f t="shared" si="37"/>
        <v>1</v>
      </c>
    </row>
    <row r="1216" spans="1:4" x14ac:dyDescent="0.35">
      <c r="A1216" t="s">
        <v>1600</v>
      </c>
      <c r="B1216">
        <v>2</v>
      </c>
      <c r="C1216" t="str">
        <f t="shared" si="36"/>
        <v>EMSG:Remove Stephanie Yalung in order to add the contact as a driverSTRACE:edge.capabilities.policychange.lob.personalauto.coverables.DefaultPaCoverablePlugin.updateCoverables(DefaultPaCoverablePlugin.gs:XXXSTRACERAW:-</v>
      </c>
      <c r="D1216" s="3">
        <f t="shared" si="37"/>
        <v>1</v>
      </c>
    </row>
    <row r="1217" spans="1:4" x14ac:dyDescent="0.35">
      <c r="A1217" t="s">
        <v>1601</v>
      </c>
      <c r="B1217">
        <v>2</v>
      </c>
      <c r="C1217" t="str">
        <f t="shared" si="36"/>
        <v>EMSG:Remove duplicate driver Phong Andrew Phan. Two or more non-drivers with the same information exist.STRACE:edge.capabilities.policychange.lob.personalauto.coverables.DefaultPaCoverablePlugin.updateCoverables(DefaultPaCoverablePlugin.gs:XXXSTRACERAW:-</v>
      </c>
      <c r="D1217" s="3">
        <f t="shared" si="37"/>
        <v>1</v>
      </c>
    </row>
    <row r="1218" spans="1:4" x14ac:dyDescent="0.35">
      <c r="A1218" t="s">
        <v>1602</v>
      </c>
      <c r="B1218">
        <v>2</v>
      </c>
      <c r="C1218" t="str">
        <f t="shared" ref="C1218:C1281" si="38">LEFT(A1218,255)</f>
        <v>EMSG:Remove duplicate driver Saurav Rao. Two or more non-drivers with the same information exist.STRACE:edge.capabilities.policychange.lob.personalauto.coverables.DefaultPaCoverablePlugin.updateCoverables(DefaultPaCoverablePlugin.gs:XXXSTRACERAW:-</v>
      </c>
      <c r="D1218" s="3">
        <f t="shared" ref="D1218:D1281" si="39">IF(AND((B1218/10)&lt;1,(B1218/10)&gt;0),1,(B1218/10)*130%)</f>
        <v>1</v>
      </c>
    </row>
    <row r="1219" spans="1:4" x14ac:dyDescent="0.35">
      <c r="A1219" t="s">
        <v>1603</v>
      </c>
      <c r="B1219">
        <v>2</v>
      </c>
      <c r="C1219" t="str">
        <f t="shared" si="38"/>
        <v>EMSG:Remove duplicate driver Tanvi Damle. Two or more non-drivers with the same information exist.STRACE:edge.capabilities.policychange.lob.personalauto.coverables.DefaultPaCoverablePlugin.updateCoverables(DefaultPaCoverablePlugin.gs:XXXSTRACERAW:-</v>
      </c>
      <c r="D1219" s="3">
        <f t="shared" si="39"/>
        <v>1</v>
      </c>
    </row>
    <row r="1220" spans="1:4" x14ac:dyDescent="0.35">
      <c r="A1220" t="s">
        <v>1604</v>
      </c>
      <c r="B1220">
        <v>2</v>
      </c>
      <c r="C1220" t="str">
        <f t="shared" si="38"/>
        <v>EMSG:Rental Alternative: The coverage term 'Coverage is' is required. Enter a value.;STRACE:edge.capabilities.quote.submission.quoting.util.SubmissionUnderwritingIssuesUtil.checkVerifyRateExceptions(SubmissionUnderwritingIssuesUtil.gs:XXXSTRACERAW:-</v>
      </c>
      <c r="D1220" s="3">
        <f t="shared" si="39"/>
        <v>1</v>
      </c>
    </row>
    <row r="1221" spans="1:4" ht="29" x14ac:dyDescent="0.35">
      <c r="A1221" s="4" t="s">
        <v>1605</v>
      </c>
      <c r="B1221">
        <v>2</v>
      </c>
      <c r="C1221" t="str">
        <f t="shared" si="38"/>
        <v>EMSG:Slice date XXX outside of range XXX for XXX XXX bean of type TerritoryCodeSTRACE:Feb XXX XXX:XXX:XXX PST XXX] for bean of type TerritoryCode
	at deployment.pc.war//com.guidewire.pl.system.entity.proxy.EffDatedBaseProxy.getSliceUntyped(EffDatedBasePro</v>
      </c>
      <c r="D1221" s="3">
        <f t="shared" si="39"/>
        <v>1</v>
      </c>
    </row>
    <row r="1222" spans="1:4" ht="29" x14ac:dyDescent="0.35">
      <c r="A1222" s="4" t="s">
        <v>1606</v>
      </c>
      <c r="B1222">
        <v>2</v>
      </c>
      <c r="C1222" t="str">
        <f t="shared" si="38"/>
        <v>EMSG:Slice date XXX outside of range XXX for XXX XXX bean of type TerritoryCodeSTRACE:Jan XXX XXX:XXX:XXX PST XXX - Fri Jul XXX XXX:XXX:XXX PDT XXX] for bean of type TerritoryCode
	at deployment.pc.war//com.guidewire.pl.system.entity.proxy.EffDatedBasePro</v>
      </c>
      <c r="D1222" s="3">
        <f t="shared" si="39"/>
        <v>1</v>
      </c>
    </row>
    <row r="1223" spans="1:4" ht="43.5" x14ac:dyDescent="0.35">
      <c r="A1223" s="4" t="s">
        <v>1607</v>
      </c>
      <c r="B1223">
        <v>2</v>
      </c>
      <c r="C1223" t="str">
        <f t="shared" si="38"/>
        <v>EMSG:Slice date XXX outside of range XXX for XXX XXX bean of type ULPolicy_PUESTRACE:Nov XXX XXX:XXX:XXX PST XXX outside of range [Thu Oct XXX XXX:XXX:XXX PDT XXX - Sat Nov XXX XXX:XXX:XXX PST XXX] for bean of type ULPolicy_PUE
	at deployment.pc.war//com.</v>
      </c>
      <c r="D1223" s="3">
        <f t="shared" si="39"/>
        <v>1</v>
      </c>
    </row>
    <row r="1224" spans="1:4" x14ac:dyDescent="0.35">
      <c r="A1224" t="s">
        <v>934</v>
      </c>
      <c r="B1224">
        <v>2</v>
      </c>
      <c r="C1224" t="str">
        <f t="shared" si="38"/>
        <v>EMSG:Stale Days is not defined in the system tables for state - OtherSTRACE:com.farmers.config.pa.mvr.dao.MotorVehicleRecordDAO.getCorrespondingMVRRecordWithStale(MotorVehicleRecordDAO.gs:XXXSTRACERAW:-</v>
      </c>
      <c r="D1224" s="3">
        <f t="shared" si="39"/>
        <v>1</v>
      </c>
    </row>
    <row r="1225" spans="1:4" x14ac:dyDescent="0.35">
      <c r="A1225" t="s">
        <v>1175</v>
      </c>
      <c r="B1225">
        <v>2</v>
      </c>
      <c r="C1225" t="str">
        <f t="shared" si="38"/>
        <v>EMSG:Stale Days is not defined in the system tables for state - OtherSTRACE:gw.job.QuoteProcess.requestQuote(QuoteProcess.gs:XXXSTRACERAW:-</v>
      </c>
      <c r="D1225" s="3">
        <f t="shared" si="39"/>
        <v>1</v>
      </c>
    </row>
    <row r="1226" spans="1:4" x14ac:dyDescent="0.35">
      <c r="A1226" t="s">
        <v>1198</v>
      </c>
      <c r="B1226">
        <v>2</v>
      </c>
      <c r="C1226" t="str">
        <f t="shared" si="38"/>
        <v>EMSG:Submission not foundSTRACE:edge.capabilities.policychange.GatewayPolicyChangeHandler.policyBind(GatewayPolicyChangeHandler.gs:XXXSTRACERAW:-</v>
      </c>
      <c r="D1226" s="3">
        <f t="shared" si="39"/>
        <v>1</v>
      </c>
    </row>
    <row r="1227" spans="1:4" x14ac:dyDescent="0.35">
      <c r="A1227" t="s">
        <v>535</v>
      </c>
      <c r="B1227">
        <v>2</v>
      </c>
      <c r="C1227" t="str">
        <f t="shared" si="38"/>
        <v>EMSG:The client is ineligible for an umbrella policy because the number of allowable vehicles has been exceeded and/or the allowable ratio of drivers to vehicles has been exceeded.STRACE:gw.pcf.job.QuoteUIHelper.validateFlexLiabLimits(QuoteUIHelper.gs:XXX</v>
      </c>
      <c r="D1227" s="3">
        <f t="shared" si="39"/>
        <v>1</v>
      </c>
    </row>
    <row r="1228" spans="1:4" x14ac:dyDescent="0.35">
      <c r="A1228" t="s">
        <v>1065</v>
      </c>
      <c r="B1228">
        <v>2</v>
      </c>
      <c r="C1228" t="str">
        <f t="shared" si="38"/>
        <v>EMSG:The number of value names doesn't match the number of values foundSTRACE:gw.acc.batch.inbound.InboundBatchUtils.getPayloadValueMapDelimiter(InboundBatchUtils.gs:XXXSTRACERAW:-</v>
      </c>
      <c r="D1228" s="3">
        <f t="shared" si="39"/>
        <v>1</v>
      </c>
    </row>
    <row r="1229" spans="1:4" x14ac:dyDescent="0.35">
      <c r="A1229" t="s">
        <v>865</v>
      </c>
      <c r="B1229">
        <v>2</v>
      </c>
      <c r="C1229" t="str">
        <f t="shared" si="38"/>
        <v>EMSG:The policy is already canceled as of this dateSTRACE:edge.capabilities.gateway.job.cancellation.CancellationHandler.createCancellation(CancellationHandler.gs:XXXSTRACERAW:-</v>
      </c>
      <c r="D1229" s="3">
        <f t="shared" si="39"/>
        <v>1</v>
      </c>
    </row>
    <row r="1230" spans="1:4" x14ac:dyDescent="0.35">
      <c r="A1230" t="s">
        <v>1035</v>
      </c>
      <c r="B1230">
        <v>2</v>
      </c>
      <c r="C1230" t="str">
        <f t="shared" si="38"/>
        <v>EMSG:The risk is not eligible for a Farmers policy due to a driver with a financial responsibility filing.STRACE:com.farmers.config.pa.validator.BrightlineValidator.validateQuoteBrightlineRules(BrightlineValidator.gs:XXXSTRACERAW:-</v>
      </c>
      <c r="D1230" s="3">
        <f t="shared" si="39"/>
        <v>1</v>
      </c>
    </row>
    <row r="1231" spans="1:4" x14ac:dyDescent="0.35">
      <c r="A1231" t="s">
        <v>1608</v>
      </c>
      <c r="B1231">
        <v>2</v>
      </c>
      <c r="C1231" t="str">
        <f t="shared" si="38"/>
        <v>EMSG:The value "ANA ISABEL COBAR RIVASSTRACE:deployment.pc.war//gw.datatype.impl.StringConstraintsHandlerBase.validateStringLength(StringConstraintsHandlerBase.java:XXXSTRACERAW:-</v>
      </c>
      <c r="D1231" s="3">
        <f t="shared" si="39"/>
        <v>1</v>
      </c>
    </row>
    <row r="1232" spans="1:4" x14ac:dyDescent="0.35">
      <c r="A1232" t="s">
        <v>1609</v>
      </c>
      <c r="B1232">
        <v>2</v>
      </c>
      <c r="C1232" t="str">
        <f t="shared" si="38"/>
        <v>EMSG:The value "KATHLEEN K BUTLERSTRACE:deployment.pc.war//gw.datatype.impl.StringConstraintsHandlerBase.validateStringLength(StringConstraintsHandlerBase.java:XXXSTRACERAW:-</v>
      </c>
      <c r="D1232" s="3">
        <f t="shared" si="39"/>
        <v>1</v>
      </c>
    </row>
    <row r="1233" spans="1:4" x14ac:dyDescent="0.35">
      <c r="A1233" t="s">
        <v>1610</v>
      </c>
      <c r="B1233">
        <v>2</v>
      </c>
      <c r="C1233" t="str">
        <f t="shared" si="38"/>
        <v>EMSG:The value "LUKE D JONES AND MARY J. JONESSTRACE:deployment.pc.war//gw.datatype.impl.StringConstraintsHandlerBase.validateStringLength(StringConstraintsHandlerBase.java:XXXSTRACERAW:-</v>
      </c>
      <c r="D1233" s="3">
        <f t="shared" si="39"/>
        <v>1</v>
      </c>
    </row>
    <row r="1234" spans="1:4" x14ac:dyDescent="0.35">
      <c r="A1234" t="s">
        <v>1611</v>
      </c>
      <c r="B1234">
        <v>2</v>
      </c>
      <c r="C1234" t="str">
        <f t="shared" si="38"/>
        <v>EMSG:The value "MARGARET LAMSTRACE:deployment.pc.war//gw.datatype.impl.StringConstraintsHandlerBase.validateStringLength(StringConstraintsHandlerBase.java:XXXSTRACERAW:-</v>
      </c>
      <c r="D1234" s="3">
        <f t="shared" si="39"/>
        <v>1</v>
      </c>
    </row>
    <row r="1235" spans="1:4" x14ac:dyDescent="0.35">
      <c r="A1235" t="s">
        <v>1612</v>
      </c>
      <c r="B1235">
        <v>2</v>
      </c>
      <c r="C1235" t="str">
        <f t="shared" si="38"/>
        <v>EMSG:The value "REVOCABLE LIVING TRUST OF SURENDRA C SHAH AND NILA S SHAH AUGUST XXXSTRACE:deployment.pc.war//gw.datatype.impl.StringConstraintsHandlerBase.validateStringLength(StringConstraintsHandlerBase.java:XXXSTRACERAW:-</v>
      </c>
      <c r="D1235" s="3">
        <f t="shared" si="39"/>
        <v>1</v>
      </c>
    </row>
    <row r="1236" spans="1:4" x14ac:dyDescent="0.35">
      <c r="A1236" t="s">
        <v>1613</v>
      </c>
      <c r="B1236">
        <v>2</v>
      </c>
      <c r="C1236" t="str">
        <f t="shared" si="38"/>
        <v>EMSG:The value "ROGER ERIC CASTONGIASTRACE:deployment.pc.war//gw.datatype.impl.StringConstraintsHandlerBase.validateStringLength(StringConstraintsHandlerBase.java:XXXSTRACERAW:-</v>
      </c>
      <c r="D1236" s="3">
        <f t="shared" si="39"/>
        <v>1</v>
      </c>
    </row>
    <row r="1237" spans="1:4" x14ac:dyDescent="0.35">
      <c r="A1237" t="s">
        <v>1614</v>
      </c>
      <c r="B1237">
        <v>2</v>
      </c>
      <c r="C1237" t="str">
        <f t="shared" si="38"/>
        <v>EMSG:The value "STEPHEN JOHSZ AND LYNN ELLEN JOHSZSTRACE:deployment.pc.war//gw.datatype.impl.StringConstraintsHandlerBase.validateStringLength(StringConstraintsHandlerBase.java:XXXSTRACERAW:-</v>
      </c>
      <c r="D1237" s="3">
        <f t="shared" si="39"/>
        <v>1</v>
      </c>
    </row>
    <row r="1238" spans="1:4" x14ac:dyDescent="0.35">
      <c r="A1238" t="s">
        <v>1615</v>
      </c>
      <c r="B1238">
        <v>2</v>
      </c>
      <c r="C1238" t="str">
        <f t="shared" si="38"/>
        <v>EMSG:The value "THE HUNG-CHI HSU AND YUAN LIN LIVING TRUSTSTRACE:deployment.pc.war//gw.datatype.impl.StringConstraintsHandlerBase.validateStringLength(StringConstraintsHandlerBase.java:XXXSTRACERAW:-</v>
      </c>
      <c r="D1238" s="3">
        <f t="shared" si="39"/>
        <v>1</v>
      </c>
    </row>
    <row r="1239" spans="1:4" x14ac:dyDescent="0.35">
      <c r="A1239" t="s">
        <v>1255</v>
      </c>
      <c r="B1239">
        <v>2</v>
      </c>
      <c r="C1239" t="str">
        <f t="shared" si="38"/>
        <v>EMSG:The value "THE WILSON K. LAU AND STELLA LAM LAU RE TRUST DATED MAY XXXSTRACE:deployment.pc.war//gw.datatype.impl.StringConstraintsHandlerBase.validateStringLength(StringConstraintsHandlerBase.java:XXXSTRACERAW:-</v>
      </c>
      <c r="D1239" s="3">
        <f t="shared" si="39"/>
        <v>1</v>
      </c>
    </row>
    <row r="1240" spans="1:4" x14ac:dyDescent="0.35">
      <c r="A1240" t="s">
        <v>1616</v>
      </c>
      <c r="B1240">
        <v>2</v>
      </c>
      <c r="C1240" t="str">
        <f t="shared" si="38"/>
        <v>EMSG:The value "VERA DOUGLASSTRACE:deployment.pc.war//gw.datatype.impl.StringConstraintsHandlerBase.validateStringLength(StringConstraintsHandlerBase.java:XXXSTRACERAW:-</v>
      </c>
      <c r="D1240" s="3">
        <f t="shared" si="39"/>
        <v>1</v>
      </c>
    </row>
    <row r="1241" spans="1:4" x14ac:dyDescent="0.35">
      <c r="A1241" t="s">
        <v>572</v>
      </c>
      <c r="B1241">
        <v>2</v>
      </c>
      <c r="C1241" t="str">
        <f t="shared" si="38"/>
        <v>EMSG:The value XXX is not formatted correctly for the field "AddressLineXXX": Exceeds the maximum length of XXX characters (XXX)STRACE:deployment.pc.war//gw.datatype.impl.StringConstraintsHandlerBase.validateStringLength(StringConstraintsHandlerBase.java:</v>
      </c>
      <c r="D1241" s="3">
        <f t="shared" si="39"/>
        <v>1</v>
      </c>
    </row>
    <row r="1242" spans="1:4" x14ac:dyDescent="0.35">
      <c r="A1242" t="s">
        <v>1019</v>
      </c>
      <c r="B1242">
        <v>2</v>
      </c>
      <c r="C1242" t="str">
        <f t="shared" si="38"/>
        <v>EMSG:The value XXX is not formatted correctly for the field "OneWayMiles_Ext": Adjust XXX-Way Miles. Value should be between XXX and XXX.STRACE:deployment.pc.war//com.guidewire.pl.metadata.datatypeXXX.fieldvalidator.FieldValidatorInfo.validateFormat(Field</v>
      </c>
      <c r="D1242" s="3">
        <f t="shared" si="39"/>
        <v>1</v>
      </c>
    </row>
    <row r="1243" spans="1:4" ht="43.5" x14ac:dyDescent="0.35">
      <c r="A1243" s="4" t="s">
        <v>1020</v>
      </c>
      <c r="B1243">
        <v>2</v>
      </c>
      <c r="C1243" t="str">
        <f t="shared" si="38"/>
        <v xml:space="preserve">EMSG:The value XXX is not formatted correctly for the field "TaxIDInternal": Correct the SSN for TaxIDInternal.  An invalid format has been entered.  The SSN must be XXX numeric digits. Ex. XXXSTRACE:has been entered.  The SSN must be XXX numeric digits. </v>
      </c>
      <c r="D1243" s="3">
        <f t="shared" si="39"/>
        <v>1</v>
      </c>
    </row>
    <row r="1244" spans="1:4" x14ac:dyDescent="0.35">
      <c r="A1244" t="s">
        <v>866</v>
      </c>
      <c r="B1244">
        <v>2</v>
      </c>
      <c r="C1244" t="str">
        <f t="shared" si="38"/>
        <v>EMSG:There is no bi code in the table 'pa_pi_no_prior_codes' for carrier group INNOCENTNOPRIORSTRACE:com.farmers.tier.pa.pitier.impl.PITierCodesCalculatorImpl.calculateBILimitCode(PITierCodesCalculatorImpl.gs:XXXSTRACERAW:-</v>
      </c>
      <c r="D1244" s="3">
        <f t="shared" si="39"/>
        <v>1</v>
      </c>
    </row>
    <row r="1245" spans="1:4" x14ac:dyDescent="0.35">
      <c r="A1245" t="s">
        <v>197</v>
      </c>
      <c r="B1245">
        <v>2</v>
      </c>
      <c r="C1245" t="str">
        <f t="shared" si="38"/>
        <v>EMSG:Try again later. Equifax credit reporting is unavailable.STRACE:com.farmers.config.common.credit.ho.HOCreditScoreProcess.createCreditReportData(HOCreditScoreProcess.gs:XXXSTRACERAW:-</v>
      </c>
      <c r="D1245" s="3">
        <f t="shared" si="39"/>
        <v>1</v>
      </c>
    </row>
    <row r="1246" spans="1:4" x14ac:dyDescent="0.35">
      <c r="A1246" t="s">
        <v>1617</v>
      </c>
      <c r="B1246">
        <v>2</v>
      </c>
      <c r="C1246" t="str">
        <f t="shared" si="38"/>
        <v>EMSG:Try again later. Equifax credit reporting is unavailable.STRACE:com.farmers.config.common.credit.pup.UMBCreditScoreProcess.invokeService(UMBCreditScoreProcess.gs:XXXSTRACERAW:-</v>
      </c>
      <c r="D1246" s="3">
        <f t="shared" si="39"/>
        <v>1</v>
      </c>
    </row>
    <row r="1247" spans="1:4" ht="29" x14ac:dyDescent="0.35">
      <c r="A1247" s="4" t="s">
        <v>930</v>
      </c>
      <c r="B1247">
        <v>2</v>
      </c>
      <c r="C1247" t="str">
        <f t="shared" si="38"/>
        <v>EMSG:Try again later. Installment amounts unavailable at this time due to billing service failure.STRACE:this time due to billing service failure.
	at gw.job.QuoteProcess.requestQuote(QuoteProcess.gs:XXXSTRACERAW:-</v>
      </c>
      <c r="D1247" s="3">
        <f t="shared" si="39"/>
        <v>1</v>
      </c>
    </row>
    <row r="1248" spans="1:4" x14ac:dyDescent="0.35">
      <c r="A1248" t="s">
        <v>1142</v>
      </c>
      <c r="B1248">
        <v>2</v>
      </c>
      <c r="C1248" t="str">
        <f t="shared" si="38"/>
        <v>EMSG:Unable to retrieve Mortgagee details for code - XXXNXXXJSTRACE:com.farmers.edge.capabilities.quote.mortgagee.MortgageePlugin$block_XXX_.invoke(MortgageePlugin.gs:XXXSTRACERAW:-</v>
      </c>
      <c r="D1248" s="3">
        <f t="shared" si="39"/>
        <v>1</v>
      </c>
    </row>
    <row r="1249" spans="1:4" x14ac:dyDescent="0.35">
      <c r="A1249" t="s">
        <v>1618</v>
      </c>
      <c r="B1249">
        <v>2</v>
      </c>
      <c r="C1249" t="str">
        <f t="shared" si="38"/>
        <v>EMSG:Unable to retrieve Mortgagee details for code - YXXXTPSTRACE:com.farmers.edge.capabilities.quote.mortgagee.MortgageePlugin$block_XXX_.invoke(MortgageePlugin.gs:XXXSTRACERAW:-</v>
      </c>
      <c r="D1249" s="3">
        <f t="shared" si="39"/>
        <v>1</v>
      </c>
    </row>
    <row r="1250" spans="1:4" x14ac:dyDescent="0.35">
      <c r="A1250" t="s">
        <v>860</v>
      </c>
      <c r="B1250">
        <v>2</v>
      </c>
      <c r="C1250" t="str">
        <f t="shared" si="38"/>
        <v>EMSG:Unable to set property '_BirthDt' of 'com.farmers.integ.distribution.lms.wsc.uploadcustomerwsc.ecms_quote_xsd.types.complex.PersonInfo_Type instance'STRACE:deployment.pc.war//gw.internal.xml.XmlSchemaProperty.setValue(XmlSchemaProperty.java:XXXSTRACE</v>
      </c>
      <c r="D1250" s="3">
        <f t="shared" si="39"/>
        <v>1</v>
      </c>
    </row>
    <row r="1251" spans="1:4" x14ac:dyDescent="0.35">
      <c r="A1251" t="s">
        <v>1202</v>
      </c>
      <c r="B1251">
        <v>2</v>
      </c>
      <c r="C1251" t="str">
        <f t="shared" si="38"/>
        <v>EMSG:Unacceptable Risk. Unable to complete the quote. Properties with NON-INCIDENTAL OFFICE (AUTO REPAIRSTRACE:edge.capabilities.quote.submission.quoting.util.SubmissionUnderwritingIssuesUtil.checkVerifyRateExceptions(SubmissionUnderwritingIssuesUtil.gs:X</v>
      </c>
      <c r="D1251" s="3">
        <f t="shared" si="39"/>
        <v>1</v>
      </c>
    </row>
    <row r="1252" spans="1:4" x14ac:dyDescent="0.35">
      <c r="A1252" t="s">
        <v>562</v>
      </c>
      <c r="B1252">
        <v>2</v>
      </c>
      <c r="C1252" t="str">
        <f t="shared" si="38"/>
        <v>EMSG:Unacceptable Risk. Unable to complete the quote. The property is isolated (not visible from the main road or neighbors).;STRACE:edge.capabilities.quote.submission.quoting.util.SubmissionUnderwritingIssuesUtil.checkVerifyRateExceptions(SubmissionUnder</v>
      </c>
      <c r="D1252" s="3">
        <f t="shared" si="39"/>
        <v>1</v>
      </c>
    </row>
    <row r="1253" spans="1:4" x14ac:dyDescent="0.35">
      <c r="A1253" t="s">
        <v>1619</v>
      </c>
      <c r="B1253">
        <v>2</v>
      </c>
      <c r="C1253" t="str">
        <f t="shared" si="38"/>
        <v>EMSG:Update Age Lic in US/CAN for Jagroop Singh. Age cannot be greater than current year minus Date of birth.STRACE:edge.capabilities.quote.submission.quoting.util.SubmissionUnderwritingIssuesUtil.checkSideBySideProcessExceptions(SubmissionUnderwritingIss</v>
      </c>
      <c r="D1253" s="3">
        <f t="shared" si="39"/>
        <v>1</v>
      </c>
    </row>
    <row r="1254" spans="1:4" x14ac:dyDescent="0.35">
      <c r="A1254" t="s">
        <v>1620</v>
      </c>
      <c r="B1254">
        <v>2</v>
      </c>
      <c r="C1254" t="str">
        <f t="shared" si="38"/>
        <v>EMSG:Update Age Lic in US/CAN for Zelu Luong. Age cannot be greater than current year minus Date of birth.STRACE:edge.capabilities.quote.submission.quoting.util.SubmissionUnderwritingIssuesUtil.checkSideBySideProcessExceptions(SubmissionUnderwritingIssues</v>
      </c>
      <c r="D1254" s="3">
        <f t="shared" si="39"/>
        <v>1</v>
      </c>
    </row>
    <row r="1255" spans="1:4" x14ac:dyDescent="0.35">
      <c r="A1255" t="s">
        <v>827</v>
      </c>
      <c r="B1255">
        <v>2</v>
      </c>
      <c r="C1255" t="str">
        <f t="shared" si="38"/>
        <v>EMSG:Update License Country or remove the value for Age Lic in US/CAN. Age licensed in US/CAN is invalid when the License Country is 'Other'.STRACE:edge.capabilities.quote.submission.quoting.util.SubmissionUnderwritingIssuesUtil.checkSideBySideProcessExce</v>
      </c>
      <c r="D1255" s="3">
        <f t="shared" si="39"/>
        <v>1</v>
      </c>
    </row>
    <row r="1256" spans="1:4" x14ac:dyDescent="0.35">
      <c r="A1256" t="s">
        <v>1621</v>
      </c>
      <c r="B1256">
        <v>2</v>
      </c>
      <c r="C1256" t="str">
        <f t="shared" si="38"/>
        <v>EMSG:Update Signal Phone number for KATHERINE Berger. Each driver enrolled in the Signal program needs a unique cell phone number.;Update Signal Phone number for Zachary Berger. Each driver enrolled in the Signal program needs a unique cell phone number.;</v>
      </c>
      <c r="D1256" s="3">
        <f t="shared" si="39"/>
        <v>1</v>
      </c>
    </row>
    <row r="1257" spans="1:4" x14ac:dyDescent="0.35">
      <c r="A1257" t="s">
        <v>1622</v>
      </c>
      <c r="B1257">
        <v>2</v>
      </c>
      <c r="C1257" t="str">
        <f t="shared" si="38"/>
        <v>EMSG:Update Signal Phone number for Zak Bertolino. Each driver enrolled in the Signal program needs a unique cell phone number.;Update Signal Phone number for Samantha Doti. Each driver enrolled in the Signal program needs a unique cell phone number.;STRA</v>
      </c>
      <c r="D1257" s="3">
        <f t="shared" si="39"/>
        <v>1</v>
      </c>
    </row>
    <row r="1258" spans="1:4" ht="29" x14ac:dyDescent="0.35">
      <c r="A1258" s="4" t="s">
        <v>1623</v>
      </c>
      <c r="B1258">
        <v>2</v>
      </c>
      <c r="C1258" t="str">
        <f t="shared" si="38"/>
        <v>EMSG:Update the First Foreign Licensed Date for Patsy Sater. The date must be at least XXX years or more from the Date of BirthSTRACE:least XXX years or more from the Date of Birth
	at edge.capabilities.quote.submission.quoting.util.SubmissionUnderwriting</v>
      </c>
      <c r="D1258" s="3">
        <f t="shared" si="39"/>
        <v>1</v>
      </c>
    </row>
    <row r="1259" spans="1:4" x14ac:dyDescent="0.35">
      <c r="A1259" t="s">
        <v>1069</v>
      </c>
      <c r="B1259">
        <v>2</v>
      </c>
      <c r="C1259" t="str">
        <f t="shared" si="38"/>
        <v>EMSG:Validate mortgagee information and retry.  Mortgagee code creation was not successful. STRACE:com.farmers.config.ho.thirdparty.process.HOMortgageeProcess.displayServiceException(HOMortgageeProcess.gs:XXXSTRACERAW:-</v>
      </c>
      <c r="D1259" s="3">
        <f t="shared" si="39"/>
        <v>1</v>
      </c>
    </row>
    <row r="1260" spans="1:4" x14ac:dyDescent="0.35">
      <c r="A1260" t="s">
        <v>1624</v>
      </c>
      <c r="B1260">
        <v>2</v>
      </c>
      <c r="C1260" t="str">
        <f t="shared" si="38"/>
        <v>EMSG:Veronica CruzSTRACE:com.farmers.config.pa.validator.BrightlineValidator.validateQuoteBrightlineRules(BrightlineValidator.gs:XXXSTRACERAW:-</v>
      </c>
      <c r="D1260" s="3">
        <f t="shared" si="39"/>
        <v>1</v>
      </c>
    </row>
    <row r="1261" spans="1:4" x14ac:dyDescent="0.35">
      <c r="A1261" t="s">
        <v>1625</v>
      </c>
      <c r="B1261">
        <v>2</v>
      </c>
      <c r="C1261" t="str">
        <f t="shared" si="38"/>
        <v>EMSG:XXX BMW XXXX M XXXD XXXWD in Colorado: Coverage is on Comprehensive is now available and its value must be verified by the user.; XXX BMW XXXX M XXXD XXXWD in Colorado: Coverage is on Collision is now available and its value must be verified by the u</v>
      </c>
      <c r="D1261" s="3">
        <f t="shared" si="39"/>
        <v>1</v>
      </c>
    </row>
    <row r="1262" spans="1:4" x14ac:dyDescent="0.35">
      <c r="A1262" t="s">
        <v>1626</v>
      </c>
      <c r="B1262">
        <v>2</v>
      </c>
      <c r="C1262" t="str">
        <f t="shared" si="38"/>
        <v>EMSG:XXX BUICK ENCORE GX XXXD XXXWD SELECT in Colorado: Coverage is on Comprehensive is now available and its value must be verified by the user.; XXX BUICK ENCORE GX XXXD XXXWD SELECT in Colorado: Coverage is on Collision is now available and its value m</v>
      </c>
      <c r="D1262" s="3">
        <f t="shared" si="39"/>
        <v>1</v>
      </c>
    </row>
    <row r="1263" spans="1:4" x14ac:dyDescent="0.35">
      <c r="A1263" t="s">
        <v>1627</v>
      </c>
      <c r="B1263">
        <v>2</v>
      </c>
      <c r="C1263" t="str">
        <f t="shared" si="38"/>
        <v>EMSG:XXX BUICK ENVISTA XXXD PREFERRED in Colorado: Coverage is on Comprehensive is now available and its value must be verified by the user.; XXX BUICK ENVISTA XXXD PREFERRED in Colorado: Coverage is on Collision is now available and its value must be ver</v>
      </c>
      <c r="D1263" s="3">
        <f t="shared" si="39"/>
        <v>1</v>
      </c>
    </row>
    <row r="1264" spans="1:4" x14ac:dyDescent="0.35">
      <c r="A1264" t="s">
        <v>1628</v>
      </c>
      <c r="B1264">
        <v>2</v>
      </c>
      <c r="C1264" t="str">
        <f t="shared" si="38"/>
        <v>EMSG:XXX GMC TRUCK CANYON CR PU XXXXXXX DENALI in Colorado: Coverage is on Comprehensive is now available and its value must be verified by the user.; XXX GMC TRUCK CANYON CR PU XXXXXXX DENALI in Colorado: Coverage is on Collision is now available and its</v>
      </c>
      <c r="D1264" s="3">
        <f t="shared" si="39"/>
        <v>1</v>
      </c>
    </row>
    <row r="1265" spans="1:4" x14ac:dyDescent="0.35">
      <c r="A1265" t="s">
        <v>1629</v>
      </c>
      <c r="B1265">
        <v>2</v>
      </c>
      <c r="C1265" t="str">
        <f t="shared" si="38"/>
        <v>EMSG:XXX HONDA CR-V XXXD XXXWD EX in Colorado: Coverage is on Comprehensive is now available and its value must be verified by the user.; XXX HONDA CR-V XXXD XXXWD EX in Colorado: Coverage is on Collision is now available and its value must be verified by</v>
      </c>
      <c r="D1265" s="3">
        <f t="shared" si="39"/>
        <v>1</v>
      </c>
    </row>
    <row r="1266" spans="1:4" x14ac:dyDescent="0.35">
      <c r="A1266" t="s">
        <v>1630</v>
      </c>
      <c r="B1266">
        <v>2</v>
      </c>
      <c r="C1266" t="str">
        <f t="shared" si="38"/>
        <v>EMSG:XXX LEXUS RX XXX XXXD XXXWD in Colorado: Coverage is on Comprehensive is now available and its value must be verified by the user.; XXX LEXUS RX XXX XXXD XXXWD in Colorado: Coverage is on Collision is now available and its value must be verified by t</v>
      </c>
      <c r="D1266" s="3">
        <f t="shared" si="39"/>
        <v>1</v>
      </c>
    </row>
    <row r="1267" spans="1:4" x14ac:dyDescent="0.35">
      <c r="A1267" t="s">
        <v>1631</v>
      </c>
      <c r="B1267">
        <v>2</v>
      </c>
      <c r="C1267" t="str">
        <f t="shared" si="38"/>
        <v>EMSG:XXX MAZDA XXX SW I TOURING in Colorado: Coverage is on Comprehensive is now available and its value must be verified by the user.; XXX MAZDA XXX SW I TOURING in Colorado: Coverage is on Collision is now available and its value must be verified by the</v>
      </c>
      <c r="D1267" s="3">
        <f t="shared" si="39"/>
        <v>1</v>
      </c>
    </row>
    <row r="1268" spans="1:4" x14ac:dyDescent="0.35">
      <c r="A1268" t="s">
        <v>1632</v>
      </c>
      <c r="B1268">
        <v>2</v>
      </c>
      <c r="C1268" t="str">
        <f t="shared" si="38"/>
        <v>EMSG:XXX NISSAN ROGUE XXXD XXXWD PLATINUM in Mississippi: Acquisition Expense is required and must be added. XXXSTRACE:gw.api.extension.PCExtensionInterfacesMapper$block_XXX_.invoke(PCExtensionInterfacesMapper.gs:XXXSTRACERAW:-</v>
      </c>
      <c r="D1268" s="3">
        <f t="shared" si="39"/>
        <v>1</v>
      </c>
    </row>
    <row r="1269" spans="1:4" x14ac:dyDescent="0.35">
      <c r="A1269" t="s">
        <v>1633</v>
      </c>
      <c r="B1269">
        <v>2</v>
      </c>
      <c r="C1269" t="str">
        <f t="shared" si="38"/>
        <v>EMSG:XXX RIVIAN RXXXT EV CREW CAB XXXXXXX ADVENTURE in Colorado: Coverage is on Comprehensive is now available and its value must be verified by the user.; XXX RIVIAN RXXXT EV CREW CAB XXXXXXX ADVENTURE in Colorado: Coverage is on Collision is now availab</v>
      </c>
      <c r="D1269" s="3">
        <f t="shared" si="39"/>
        <v>1</v>
      </c>
    </row>
    <row r="1270" spans="1:4" x14ac:dyDescent="0.35">
      <c r="A1270" t="s">
        <v>1634</v>
      </c>
      <c r="B1270">
        <v>2</v>
      </c>
      <c r="C1270" t="str">
        <f t="shared" si="38"/>
        <v>EMSG:XXX TOYOTA XXXRUNNER XXXD XXXXXXX TRD OFFRD PREM in Colorado: Coverage is on Comprehensive is now available and its value must be verified by the user.; XXX TOYOTA XXXRUNNER XXXD XXXXXXX TRD OFFRD PREM in Colorado: Coverage is on Collision is now ava</v>
      </c>
      <c r="D1270" s="3">
        <f t="shared" si="39"/>
        <v>1</v>
      </c>
    </row>
    <row r="1271" spans="1:4" x14ac:dyDescent="0.35">
      <c r="A1271" t="s">
        <v>1635</v>
      </c>
      <c r="B1271">
        <v>2</v>
      </c>
      <c r="C1271" t="str">
        <f t="shared" si="38"/>
        <v>EMSG:XXX TOYOTA XXXRUNNER XXXD XXXXXXX TRD PRO in Colorado: Coverage is on Comprehensive is now available and its value must be verified by the user.; XXX TOYOTA XXXRUNNER XXXD XXXXXXX TRD PRO in Colorado: Coverage is on Collision is now available and its</v>
      </c>
      <c r="D1271" s="3">
        <f t="shared" si="39"/>
        <v>1</v>
      </c>
    </row>
    <row r="1272" spans="1:4" x14ac:dyDescent="0.35">
      <c r="A1272" t="s">
        <v>1636</v>
      </c>
      <c r="B1272">
        <v>2</v>
      </c>
      <c r="C1272" t="str">
        <f t="shared" si="38"/>
        <v>EMSG:XXX TOYOTA XXXRUNNER XXXD XXXXXXX in Colorado: Coverage is on Comprehensive is now available and its value must be verified by the user.; XXX TOYOTA XXXRUNNER XXXD XXXXXXX in Colorado: Coverage is on Collision is now available and its value must be v</v>
      </c>
      <c r="D1272" s="3">
        <f t="shared" si="39"/>
        <v>1</v>
      </c>
    </row>
    <row r="1273" spans="1:4" ht="43.5" x14ac:dyDescent="0.35">
      <c r="A1273" s="4" t="s">
        <v>1637</v>
      </c>
      <c r="B1273">
        <v>2</v>
      </c>
      <c r="C1273" t="str">
        <f t="shared" si="38"/>
        <v>EMSG:XXX has exceeded the accident and/or violation threshold for eligibility in this program.STRACE:Haque has exceeded the accident and/or violation threshold for eligibility in this program.
	at com.farmers.config.pa.validator.BrightlineValidator.valida</v>
      </c>
      <c r="D1273" s="3">
        <f t="shared" si="39"/>
        <v>1</v>
      </c>
    </row>
    <row r="1274" spans="1:4" ht="43.5" x14ac:dyDescent="0.35">
      <c r="A1274" s="4" t="s">
        <v>1638</v>
      </c>
      <c r="B1274">
        <v>2</v>
      </c>
      <c r="C1274" t="str">
        <f t="shared" si="38"/>
        <v>EMSG:XXX has exceeded the accident and/or violation threshold for eligibility in this program.STRACE:Kanchwala has exceeded the accident and/or violation threshold for eligibility in this program.
	at com.farmers.config.pa.validator.BrightlineValidator.va</v>
      </c>
      <c r="D1274" s="3">
        <f t="shared" si="39"/>
        <v>1</v>
      </c>
    </row>
    <row r="1275" spans="1:4" ht="43.5" x14ac:dyDescent="0.35">
      <c r="A1275" s="4" t="s">
        <v>1639</v>
      </c>
      <c r="B1275">
        <v>2</v>
      </c>
      <c r="C1275" t="str">
        <f t="shared" si="38"/>
        <v>EMSG:XXX has exceeded the accident and/or violation threshold for eligibility in this program.STRACE:Kanchwala has exceeded the accident and/or violation threshold for eligibility in this program.
	at gw.job.QuoteProcess.requestQuote(QuoteProcess.gs:XXXST</v>
      </c>
      <c r="D1275" s="3">
        <f t="shared" si="39"/>
        <v>1</v>
      </c>
    </row>
    <row r="1276" spans="1:4" x14ac:dyDescent="0.35">
      <c r="A1276" t="s">
        <v>1640</v>
      </c>
      <c r="B1276">
        <v>2</v>
      </c>
      <c r="C1276" t="str">
        <f t="shared" si="38"/>
        <v>EMSG:ZOE SMILEYSTRACE:com.farmers.config.pa.validator.BrightlineValidator.validateQuoteBrightlineRules(BrightlineValidator.gs:XXXSTRACERAW:-</v>
      </c>
      <c r="D1276" s="3">
        <f t="shared" si="39"/>
        <v>1</v>
      </c>
    </row>
    <row r="1277" spans="1:4" x14ac:dyDescent="0.35">
      <c r="A1277" t="s">
        <v>828</v>
      </c>
      <c r="B1277">
        <v>2</v>
      </c>
      <c r="C1277" t="str">
        <f t="shared" si="38"/>
        <v>EMSG:[XXX] Cannot load a temporary id from the backing entity source: Policy:XXXSTRACE:deployment.pc.war//com.guidewire.pl.system.bundle.EntityBundleImpl.loadBean(EntityBundleImpl.java:XXXSTRACERAW:-</v>
      </c>
      <c r="D1277" s="3">
        <f t="shared" si="39"/>
        <v>1</v>
      </c>
    </row>
    <row r="1278" spans="1:4" x14ac:dyDescent="0.35">
      <c r="A1278" t="s">
        <v>1641</v>
      </c>
      <c r="B1278">
        <v>2</v>
      </c>
      <c r="C1278" t="str">
        <f t="shared" si="38"/>
        <v>EMSG:class com.guidewire.pl.system.entity.proxy.EffDatedVersionListOverlapException cannot be cast to class edge.validation.EdgeValidationException (com.guidewire.pl.system.entity.proxy.EffDatedVersionListOverlapException is in unnamed module of loader 'd</v>
      </c>
      <c r="D1278" s="3">
        <f t="shared" si="39"/>
        <v>1</v>
      </c>
    </row>
    <row r="1279" spans="1:4" x14ac:dyDescent="0.35">
      <c r="A1279" t="s">
        <v>1642</v>
      </c>
      <c r="B1279">
        <v>2</v>
      </c>
      <c r="C1279" t="str">
        <f t="shared" si="38"/>
        <v>EMSG:class com.guidewire.pl.system.gosu.entity.impl.ScriptParameterCacheImpl: Cannot use cache unless it has been startedSTRACE:deployment.pc.war//com.guidewire.pl.system.cache.RarelyChangingBeanDataCache.ensureIsStarted(RarelyChangingBeanDataCache.java:X</v>
      </c>
      <c r="D1279" s="3">
        <f t="shared" si="39"/>
        <v>1</v>
      </c>
    </row>
    <row r="1280" spans="1:4" x14ac:dyDescent="0.35">
      <c r="A1280" t="s">
        <v>1643</v>
      </c>
      <c r="B1280">
        <v>2</v>
      </c>
      <c r="C1280" t="str">
        <f t="shared" si="38"/>
        <v xml:space="preserve">EMSG:class gw.lang.parser.EvaluationException cannot be cast to class edge.validation.EdgeValidationException (gw.lang.parser.EvaluationException is in unnamed module of loader 'deployment.pc.war' @XXXadXXXb; edge.validation.EdgeValidationException is in </v>
      </c>
      <c r="D1280" s="3">
        <f t="shared" si="39"/>
        <v>1</v>
      </c>
    </row>
    <row r="1281" spans="1:4" x14ac:dyDescent="0.35">
      <c r="A1281" t="s">
        <v>1644</v>
      </c>
      <c r="B1281">
        <v>2</v>
      </c>
      <c r="C1281" t="str">
        <f t="shared" si="38"/>
        <v>EMSG:class gw.lang.parser.EvaluationException cannot be cast to class edge.validation.EdgeValidationException (gw.lang.parser.EvaluationException is in unnamed module of loader 'deployment.pc.war' @XXXbXXXcbXXXd; edge.validation.EdgeValidationException is</v>
      </c>
      <c r="D1281" s="3">
        <f t="shared" si="39"/>
        <v>1</v>
      </c>
    </row>
    <row r="1282" spans="1:4" x14ac:dyDescent="0.35">
      <c r="A1282" t="s">
        <v>1645</v>
      </c>
      <c r="B1282">
        <v>2</v>
      </c>
      <c r="C1282" t="str">
        <f t="shared" ref="C1282:C1345" si="40">LEFT(A1282,255)</f>
        <v>EMSG:class gw.xml.XmlElement cannot be cast to class com.farmers.integ.erti.hldi.wsc.physicalobjectmanager_vXXX.elements.RetrieveVehicleCharacteristicsResponse (gw.xml.XmlElement and com.farmers.integ.erti.hldi.wsc.physicalobjectmanager_vXXX.elements.Retr</v>
      </c>
      <c r="D1282" s="3">
        <f t="shared" ref="D1282:D1345" si="41">IF(AND((B1282/10)&lt;1,(B1282/10)&gt;0),1,(B1282/10)*130%)</f>
        <v>1</v>
      </c>
    </row>
    <row r="1283" spans="1:4" x14ac:dyDescent="0.35">
      <c r="A1283" t="s">
        <v>1143</v>
      </c>
      <c r="B1283">
        <v>2</v>
      </c>
      <c r="C1283" t="str">
        <f t="shared" si="40"/>
        <v>EMSG:com.guidewire.pl.system.entity.proxy.EffDatedVersionListOverlapException: HomeownersLine_HOE with FixedID:XXX and window XXXSTRACE:com.farmers.integ.framework.service.rest.RestServiceAdapter.invokeService(RestServiceAdapter.gs:XXXSTRACERAW:-</v>
      </c>
      <c r="D1283" s="3">
        <f t="shared" si="41"/>
        <v>1</v>
      </c>
    </row>
    <row r="1284" spans="1:4" x14ac:dyDescent="0.35">
      <c r="A1284" t="s">
        <v>1646</v>
      </c>
      <c r="B1284">
        <v>2</v>
      </c>
      <c r="C1284" t="str">
        <f t="shared" si="40"/>
        <v>EMSG:com.guidewire.pl.system.entity.proxy.EffDatedVersionListOverlapException: PersonalVehicleCovCost with FixedID:XXX and window XXXSTRACE:com.farmers.integ.documentmgmt.ondemand.api.transformer.GetPolicyDetailsRestRequestTransformer.transform(GetPolicyD</v>
      </c>
      <c r="D1284" s="3">
        <f t="shared" si="41"/>
        <v>1</v>
      </c>
    </row>
    <row r="1285" spans="1:4" ht="29" x14ac:dyDescent="0.35">
      <c r="A1285" s="4" t="s">
        <v>626</v>
      </c>
      <c r="B1285">
        <v>2</v>
      </c>
      <c r="C1285" t="str">
        <f t="shared" si="40"/>
        <v>EMSG:error:entity.xxxUI-ValidationERRORMessagexxxSTRACE:of XXX-XXX-XXXX
	at deployment.pc.war//gw.api.validation.ValidationExceptionUtil.throwDisplayableValidationExceptionIfNecessary(ValidationExceptionUtil.java:XXXSTRACERAW:-</v>
      </c>
      <c r="D1285" s="3">
        <f t="shared" si="41"/>
        <v>1</v>
      </c>
    </row>
    <row r="1286" spans="1:4" ht="43.5" x14ac:dyDescent="0.35">
      <c r="A1286" s="4" t="s">
        <v>650</v>
      </c>
      <c r="B1286">
        <v>2</v>
      </c>
      <c r="C1286" t="str">
        <f t="shared" si="40"/>
        <v>EMSG:gw.xml.XmlException: 'Unable to parse XML from xml string using schemas [com.farmers.integ.iwa.mdm.wsc.mdmretrievecustomersbycontractwsc.mdmcustomerinformationmanagement_vXXXSTRACE:line XXX column XXX'
	at deployment.pc.war//gw.internal.xml.ws.WsdlPo</v>
      </c>
      <c r="D1286" s="3">
        <f t="shared" si="41"/>
        <v>1</v>
      </c>
    </row>
    <row r="1287" spans="1:4" x14ac:dyDescent="0.35">
      <c r="A1287" t="s">
        <v>537</v>
      </c>
      <c r="B1287">
        <v>2</v>
      </c>
      <c r="C1287" t="str">
        <f t="shared" si="40"/>
        <v>EMSG:in Michigan: MCCA Assessment Recoupment is required and must be added. XXXSTRACE:gw.api.extension.PCExtensionInterfacesMapper$block_XXX_.invoke(PCExtensionInterfacesMapper.gs:XXXSTRACERAW:-</v>
      </c>
      <c r="D1287" s="3">
        <f t="shared" si="41"/>
        <v>1</v>
      </c>
    </row>
    <row r="1288" spans="1:4" x14ac:dyDescent="0.35">
      <c r="A1288" t="s">
        <v>1647</v>
      </c>
      <c r="B1288">
        <v>2</v>
      </c>
      <c r="C1288" t="str">
        <f t="shared" si="40"/>
        <v>EMSG:java.lang.ArrayIndexOutOfBoundsException: Index XXX out of bounds for length XXXSTRACE:com.farmers.integ.documentmgmt.ondemand.api.transformer.GetPolicyDetailsRestRequestTransformer.transform(GetPolicyDetailsRestRequestTransformer.gs:XXXSTRACERAW:-</v>
      </c>
      <c r="D1288" s="3">
        <f t="shared" si="41"/>
        <v>1</v>
      </c>
    </row>
    <row r="1289" spans="1:4" x14ac:dyDescent="0.35">
      <c r="A1289" t="s">
        <v>1021</v>
      </c>
      <c r="B1289">
        <v>2</v>
      </c>
      <c r="C1289" t="str">
        <f t="shared" si="40"/>
        <v>EMSG:java.lang.IllegalArgumentException: Can't use null slice dateSTRACE:com.farmers.integ.documentmgmt.vipdocument.multilobformgen.transformer.VIPFormGenRequestTransformer.transform(VIPFormGenRequestTransformer.gs:XXXSTRACERAW:-</v>
      </c>
      <c r="D1289" s="3">
        <f t="shared" si="41"/>
        <v>1</v>
      </c>
    </row>
    <row r="1290" spans="1:4" x14ac:dyDescent="0.35">
      <c r="A1290" t="s">
        <v>1648</v>
      </c>
      <c r="B1290">
        <v>2</v>
      </c>
      <c r="C1290" t="str">
        <f t="shared" si="40"/>
        <v>EMSG:java.lang.IllegalArgumentException: UTFXXX Codepoint XXXxXXXd is not valid for XML contentSTRACE:deployment.pc.war//gw.internal.xml.ws.WsdlPortImpl.invoke(WsdlPortImpl.java:XXXSTRACERAW:-</v>
      </c>
      <c r="D1290" s="3">
        <f t="shared" si="41"/>
        <v>1</v>
      </c>
    </row>
    <row r="1291" spans="1:4" x14ac:dyDescent="0.35">
      <c r="A1291" t="s">
        <v>1122</v>
      </c>
      <c r="B1291">
        <v>2</v>
      </c>
      <c r="C1291" t="str">
        <f t="shared" si="40"/>
        <v>EMSG:java.lang.IllegalStateException: Attempt to access bean of type "Contingency" id=XXX with a null bundleSTRACE:deployment.pc.war//com.guidewire.pl.web.widget.Widget.getVisibleValue(Widget.java:XXXSTRACERAW:-</v>
      </c>
      <c r="D1291" s="3">
        <f t="shared" si="41"/>
        <v>1</v>
      </c>
    </row>
    <row r="1292" spans="1:4" x14ac:dyDescent="0.35">
      <c r="A1292" t="s">
        <v>1649</v>
      </c>
      <c r="B1292">
        <v>2</v>
      </c>
      <c r="C1292" t="str">
        <f t="shared" si="40"/>
        <v>EMSG:java.lang.IllegalStateException: Attempt to access bean of type "HOTransaction_HOE" id=XXX with a null bundleSTRACE:com.farmers.integ.framework.service.rest.RestServiceAdapter.invokeService(RestServiceAdapter.gs:XXXSTRACERAW:-</v>
      </c>
      <c r="D1292" s="3">
        <f t="shared" si="41"/>
        <v>1</v>
      </c>
    </row>
    <row r="1293" spans="1:4" ht="29" x14ac:dyDescent="0.35">
      <c r="A1293" s="4" t="s">
        <v>630</v>
      </c>
      <c r="B1293">
        <v>2</v>
      </c>
      <c r="C1293" t="str">
        <f t="shared" si="40"/>
        <v>EMSG:java.lang.IllegalStateException: Cannot modify a bean of type PUPHouseholdMember_PUE that is in a readonly bundleSTRACE:is in a readonly bundle
	at com.farmers.integ.documentmgmt.vipdocument.multilobformgen.transformer.VIPFormGenRequestTransformer.tr</v>
      </c>
      <c r="D1293" s="3">
        <f t="shared" si="41"/>
        <v>1</v>
      </c>
    </row>
    <row r="1294" spans="1:4" x14ac:dyDescent="0.35">
      <c r="A1294" t="s">
        <v>1650</v>
      </c>
      <c r="B1294">
        <v>2</v>
      </c>
      <c r="C1294" t="str">
        <f t="shared" si="40"/>
        <v>EMSG:java.lang.NullPointerExceptionSTRACE:com.farmers.edge.capabilities.quote.submission.lob.homeowners.locationReport.plugin.LocationReportPlugin.addOrUpdatePolicyLocation(LocationReportPlugin.gs:XXXSTRACERAW:-</v>
      </c>
      <c r="D1294" s="3">
        <f t="shared" si="41"/>
        <v>1</v>
      </c>
    </row>
    <row r="1295" spans="1:4" x14ac:dyDescent="0.35">
      <c r="A1295" t="s">
        <v>1651</v>
      </c>
      <c r="B1295">
        <v>2</v>
      </c>
      <c r="C1295" t="str">
        <f t="shared" si="40"/>
        <v>EMSG:java.lang.NullPointerExceptionSTRACE:deployment.pc.war//gw.internal.xml.ws.WsdlPortImpl.invoke(WsdlPortImpl.java:XXXSTRACERAW:-</v>
      </c>
      <c r="D1295" s="3">
        <f t="shared" si="41"/>
        <v>1</v>
      </c>
    </row>
    <row r="1296" spans="1:4" x14ac:dyDescent="0.35">
      <c r="A1296" t="s">
        <v>1652</v>
      </c>
      <c r="B1296">
        <v>2</v>
      </c>
      <c r="C1296" t="str">
        <f t="shared" si="40"/>
        <v>EMSG:warning:entity.xxxUI-ValidationWARNMessagexxxSTRACE:gw.acc.luw.perf.JobQuoter.processQuoteIssues(JobQuoter.gs:XXXSTRACERAW:-</v>
      </c>
      <c r="D1296" s="3">
        <f t="shared" si="41"/>
        <v>1</v>
      </c>
    </row>
    <row r="1297" spans="1:4" x14ac:dyDescent="0.35">
      <c r="A1297" t="s">
        <v>1653</v>
      </c>
      <c r="B1297">
        <v>1</v>
      </c>
      <c r="C1297" t="str">
        <f t="shared" si="40"/>
        <v>EMSG:, AOR=XXXSTRACE:com.farmers.chargeability.ho.mindeductible.MinimumDeductibleCalculatorImplVXXX$block_XXX_.invoke(MinimumDeductibleCalculatorImplVXXX.gs:XXXSTRACERAW:-</v>
      </c>
      <c r="D1297" s="3">
        <f t="shared" si="41"/>
        <v>1</v>
      </c>
    </row>
    <row r="1298" spans="1:4" x14ac:dyDescent="0.35">
      <c r="A1298" t="s">
        <v>1654</v>
      </c>
      <c r="B1298">
        <v>1</v>
      </c>
      <c r="C1298" t="str">
        <f t="shared" si="40"/>
        <v>EMSG:, AOR=XXXSTRACE:com.farmers.config.common.caching.helper.CachingHelper.populateMaillingLocations(CachingHelper.gs:XXXSTRACERAW:-</v>
      </c>
      <c r="D1298" s="3">
        <f t="shared" si="41"/>
        <v>1</v>
      </c>
    </row>
    <row r="1299" spans="1:4" x14ac:dyDescent="0.35">
      <c r="A1299" t="s">
        <v>1218</v>
      </c>
      <c r="B1299">
        <v>1</v>
      </c>
      <c r="C1299" t="str">
        <f t="shared" si="40"/>
        <v>EMSG:, AOR=XXXSTRACE:com.farmers.config.common.helper.PremiumChangeHelper$block_XXX_$block_XXX_.invoke(PremiumChangeHelper.gs:XXXSTRACERAW:-</v>
      </c>
      <c r="D1299" s="3">
        <f t="shared" si="41"/>
        <v>1</v>
      </c>
    </row>
    <row r="1300" spans="1:4" x14ac:dyDescent="0.35">
      <c r="A1300" t="s">
        <v>1655</v>
      </c>
      <c r="B1300">
        <v>1</v>
      </c>
      <c r="C1300" t="str">
        <f t="shared" si="40"/>
        <v>EMSG:, AOR=XXXSTRACE:com.farmers.config.common.mvr.MVRProcess.buildInfractions(MVRProcess.gs:XXXSTRACERAW:-</v>
      </c>
      <c r="D1300" s="3">
        <f t="shared" si="41"/>
        <v>1</v>
      </c>
    </row>
    <row r="1301" spans="1:4" x14ac:dyDescent="0.35">
      <c r="A1301" t="s">
        <v>1235</v>
      </c>
      <c r="B1301">
        <v>1</v>
      </c>
      <c r="C1301" t="str">
        <f t="shared" si="40"/>
        <v>EMSG:, AOR=XXXSTRACE:com.farmers.config.pa.embeddedquote.process.EmbeddedQuoteProcess.createSubmission(EmbeddedQuoteProcess.gs:XXXSTRACERAW:-</v>
      </c>
      <c r="D1301" s="3">
        <f t="shared" si="41"/>
        <v>1</v>
      </c>
    </row>
    <row r="1302" spans="1:4" x14ac:dyDescent="0.35">
      <c r="A1302" t="s">
        <v>1656</v>
      </c>
      <c r="B1302">
        <v>1</v>
      </c>
      <c r="C1302" t="str">
        <f t="shared" si="40"/>
        <v>EMSG:, AOR=XXXSTRACE:com.farmers.integ.productrewrite.prefill.HHInquiryHelper.updatePIForRating(HHInquiryHelper.gs:XXXSTRACERAW:-</v>
      </c>
      <c r="D1302" s="3">
        <f t="shared" si="41"/>
        <v>1</v>
      </c>
    </row>
    <row r="1303" spans="1:4" x14ac:dyDescent="0.35">
      <c r="A1303" t="s">
        <v>893</v>
      </c>
      <c r="B1303">
        <v>1</v>
      </c>
      <c r="C1303" t="str">
        <f t="shared" si="40"/>
        <v>EMSG:, AOR=XXXSTRACE:deployment.pc.war//com.guidewire.pc.domain.policy.period.impl.PolicyPeriodImpl.getPrimaryLocation(PolicyPeriodImpl.java:XXXSTRACERAW:-</v>
      </c>
      <c r="D1303" s="3">
        <f t="shared" si="41"/>
        <v>1</v>
      </c>
    </row>
    <row r="1304" spans="1:4" x14ac:dyDescent="0.35">
      <c r="A1304" t="s">
        <v>1657</v>
      </c>
      <c r="B1304">
        <v>1</v>
      </c>
      <c r="C1304" t="str">
        <f t="shared" si="40"/>
        <v>EMSG:, AOR=XXXSTRACE:deployment.pc.war//com.guidewire.pl.system.bundle.BundleChanges.addParentOwners(BundleChanges.java:XXXSTRACERAW:-</v>
      </c>
      <c r="D1304" s="3">
        <f t="shared" si="41"/>
        <v>1</v>
      </c>
    </row>
    <row r="1305" spans="1:4" x14ac:dyDescent="0.35">
      <c r="A1305" t="s">
        <v>1658</v>
      </c>
      <c r="B1305">
        <v>1</v>
      </c>
      <c r="C1305" t="str">
        <f t="shared" si="40"/>
        <v>EMSG:, AOR=XXXSTRACE:deployment.pc.war//com.guidewire.pl.system.bundle.BundleWriter.beforeRules(BundleWriter.java:XXXSTRACERAW:-</v>
      </c>
      <c r="D1305" s="3">
        <f t="shared" si="41"/>
        <v>1</v>
      </c>
    </row>
    <row r="1306" spans="1:4" x14ac:dyDescent="0.35">
      <c r="A1306" t="s">
        <v>1659</v>
      </c>
      <c r="B1306">
        <v>1</v>
      </c>
      <c r="C1306" t="str">
        <f t="shared" si="40"/>
        <v>EMSG:, AOR=XXXSTRACE:deployment.pc.war//com.guidewire.pl.system.bundle.BundleWriter.filterNonPersistentBeans(BundleWriter.java:XXXSTRACERAW:-</v>
      </c>
      <c r="D1306" s="3">
        <f t="shared" si="41"/>
        <v>1</v>
      </c>
    </row>
    <row r="1307" spans="1:4" x14ac:dyDescent="0.35">
      <c r="A1307" t="s">
        <v>570</v>
      </c>
      <c r="B1307">
        <v>1</v>
      </c>
      <c r="C1307" t="str">
        <f t="shared" si="40"/>
        <v>EMSG:, AOR=XXXSTRACE:deployment.pc.war//com.guidewire.pl.system.bundle.BundleWriter.filterRuleVisibleBeans(BundleWriter.java:XXXSTRACERAW:-</v>
      </c>
      <c r="D1307" s="3">
        <f t="shared" si="41"/>
        <v>1</v>
      </c>
    </row>
    <row r="1308" spans="1:4" x14ac:dyDescent="0.35">
      <c r="A1308" t="s">
        <v>1660</v>
      </c>
      <c r="B1308">
        <v>1</v>
      </c>
      <c r="C1308" t="str">
        <f t="shared" si="40"/>
        <v>EMSG:, AOR=XXXSTRACE:deployment.pc.war//com.guidewire.pl.system.bundle.validation.RootValidatableBeansFinderImpl$XXX.evaluate(RootValidatableBeansFinderImpl.java:XXXSTRACERAW:-</v>
      </c>
      <c r="D1308" s="3">
        <f t="shared" si="41"/>
        <v>1</v>
      </c>
    </row>
    <row r="1309" spans="1:4" x14ac:dyDescent="0.35">
      <c r="A1309" t="s">
        <v>680</v>
      </c>
      <c r="B1309">
        <v>1</v>
      </c>
      <c r="C1309" t="str">
        <f t="shared" si="40"/>
        <v>EMSG:, AOR=XXXSTRACE:deployment.pc.war//com.guidewire.pl.system.entity.proxy.EffectiveDateFinder.getFromBundle(EffectiveDateFinder.java:XXXSTRACERAW:-</v>
      </c>
      <c r="D1309" s="3">
        <f t="shared" si="41"/>
        <v>1</v>
      </c>
    </row>
    <row r="1310" spans="1:4" x14ac:dyDescent="0.35">
      <c r="A1310" t="s">
        <v>1661</v>
      </c>
      <c r="B1310">
        <v>1</v>
      </c>
      <c r="C1310" t="str">
        <f t="shared" si="40"/>
        <v>EMSG:, AOR=XXXSTRACE:deployment.pc.war//com.guidewire.pl.system.typelist.TypeCodeAliasMap.buildKey(TypeCodeAliasMap.java:XXXSTRACERAW:-</v>
      </c>
      <c r="D1310" s="3">
        <f t="shared" si="41"/>
        <v>1</v>
      </c>
    </row>
    <row r="1311" spans="1:4" x14ac:dyDescent="0.35">
      <c r="A1311" t="s">
        <v>1180</v>
      </c>
      <c r="B1311">
        <v>1</v>
      </c>
      <c r="C1311" t="str">
        <f t="shared" si="40"/>
        <v>EMSG:, AOR=XXXSTRACE:deployment.pc.war//gw.pl.currency.MonetaryAmount.add(MonetaryAmount.java:XXXSTRACERAW:-</v>
      </c>
      <c r="D1311" s="3">
        <f t="shared" si="41"/>
        <v>1</v>
      </c>
    </row>
    <row r="1312" spans="1:4" x14ac:dyDescent="0.35">
      <c r="A1312" t="s">
        <v>781</v>
      </c>
      <c r="B1312">
        <v>1</v>
      </c>
      <c r="C1312" t="str">
        <f t="shared" si="40"/>
        <v>EMSG:, AOR=XXXSTRACE:gw.acc.luw.rules.LUWCEADetailsSyncProcessor.getTerritoryValue(LUWCEADetailsSyncProcessor.gs:XXXSTRACERAW:-</v>
      </c>
      <c r="D1312" s="3">
        <f t="shared" si="41"/>
        <v>1</v>
      </c>
    </row>
    <row r="1313" spans="1:4" x14ac:dyDescent="0.35">
      <c r="A1313" t="s">
        <v>1662</v>
      </c>
      <c r="B1313">
        <v>1</v>
      </c>
      <c r="C1313" t="str">
        <f t="shared" si="40"/>
        <v>EMSG:, AOR=XXXSTRACE:gw.policyaddress.PolicyAddressEnhancement.createMailingAddress(PolicyAddressEnhancement.gsx:XXXSTRACERAW:-</v>
      </c>
      <c r="D1313" s="3">
        <f t="shared" si="41"/>
        <v>1</v>
      </c>
    </row>
    <row r="1314" spans="1:4" ht="29" x14ac:dyDescent="0.35">
      <c r="A1314" s="4" t="s">
        <v>1663</v>
      </c>
      <c r="B1314">
        <v>1</v>
      </c>
      <c r="C1314" t="str">
        <f t="shared" si="40"/>
        <v>EMSG:, AOR=XXXSTRACE:has been shut down: java:jboss/datasources/pcDataSource
	at deployment.pc.war//gw.pl.util.ExceptionUtil.convertToRuntimeException(ExceptionUtil.java:XXXSTRACERAW:-</v>
      </c>
      <c r="D1314" s="3">
        <f t="shared" si="41"/>
        <v>1</v>
      </c>
    </row>
    <row r="1315" spans="1:4" x14ac:dyDescent="0.35">
      <c r="A1315" t="s">
        <v>518</v>
      </c>
      <c r="B1315">
        <v>1</v>
      </c>
      <c r="C1315" t="str">
        <f t="shared" si="40"/>
        <v>EMSG:, AOR=XXXSTRACE:java.base/java.util.AbstractCollection.addAll(AbstractCollection.java:XXXSTRACERAW:-</v>
      </c>
      <c r="D1315" s="3">
        <f t="shared" si="41"/>
        <v>1</v>
      </c>
    </row>
    <row r="1316" spans="1:4" x14ac:dyDescent="0.35">
      <c r="A1316" t="s">
        <v>1219</v>
      </c>
      <c r="B1316">
        <v>1</v>
      </c>
      <c r="C1316" t="str">
        <f t="shared" si="40"/>
        <v>EMSG:, AOR=XXXSTRACE:java.base/java.util.Objects.requireNonNull(Objects.java:XXXSTRACERAW:-</v>
      </c>
      <c r="D1316" s="3">
        <f t="shared" si="41"/>
        <v>1</v>
      </c>
    </row>
    <row r="1317" spans="1:4" x14ac:dyDescent="0.35">
      <c r="A1317" t="s">
        <v>1664</v>
      </c>
      <c r="B1317">
        <v>1</v>
      </c>
      <c r="C1317" t="str">
        <f t="shared" si="40"/>
        <v>EMSG:-STRACE:-STRACERAW:Dec XXX XXX:XXX:XXX PST XXX, FileName_Ext=FL_CA_ADD_XXX.TXT, FireLineOverrideDate=null, Fixed=XXX, FrozenSet=null, Fuel=FXXX - No Fuel (outside of intermix/interface area</v>
      </c>
      <c r="D1317" s="3">
        <f t="shared" si="41"/>
        <v>1</v>
      </c>
    </row>
    <row r="1318" spans="1:4" x14ac:dyDescent="0.35">
      <c r="A1318" t="s">
        <v>1665</v>
      </c>
      <c r="B1318">
        <v>1</v>
      </c>
      <c r="C1318" t="str">
        <f t="shared" si="40"/>
        <v>EMSG:-STRACE:-STRACERAW:Dec XXX XXX:XXX:XXX PST XXX, OrphanIncident=null, PerilType=Theft Off Premises (From Auto</v>
      </c>
      <c r="D1318" s="3">
        <f t="shared" si="41"/>
        <v>1</v>
      </c>
    </row>
    <row r="1319" spans="1:4" x14ac:dyDescent="0.35">
      <c r="A1319" t="s">
        <v>1666</v>
      </c>
      <c r="B1319">
        <v>1</v>
      </c>
      <c r="C1319" t="str">
        <f t="shared" si="40"/>
        <v>EMSG:-STRACE:-STRACERAW:Jan XXX XXX:XXX:XXX PST XXX (attempted merging values Personal Auto Line and Personal Auto Line</v>
      </c>
      <c r="D1319" s="3">
        <f t="shared" si="41"/>
        <v>1</v>
      </c>
    </row>
    <row r="1320" spans="1:4" x14ac:dyDescent="0.35">
      <c r="A1320" t="s">
        <v>1667</v>
      </c>
      <c r="B1320">
        <v>1</v>
      </c>
      <c r="C1320" t="str">
        <f t="shared" si="40"/>
        <v>EMSG:-STRACE:-STRACERAW:Jan XXX XXX:XXX:XXX PST XXX, MSG=DownstreamSmallMessageRequest.beforeSend(</v>
      </c>
      <c r="D1320" s="3">
        <f t="shared" si="41"/>
        <v>1</v>
      </c>
    </row>
    <row r="1321" spans="1:4" x14ac:dyDescent="0.35">
      <c r="A1321" t="s">
        <v>1668</v>
      </c>
      <c r="B1321">
        <v>1</v>
      </c>
      <c r="C1321" t="str">
        <f t="shared" si="40"/>
        <v>EMSG:-STRACE:-STRACERAW:Jan XXX XXX:XXX:XXX PST XXX, MSG=Transaction Failed. Failed to parse response : Unrecognized token 'Server': was expecting (JSON String, Number, Array, Object or token 'null', 'true' or 'false'</v>
      </c>
      <c r="D1321" s="3">
        <f t="shared" si="41"/>
        <v>1</v>
      </c>
    </row>
    <row r="1322" spans="1:4" x14ac:dyDescent="0.35">
      <c r="A1322" t="s">
        <v>1669</v>
      </c>
      <c r="B1322">
        <v>1</v>
      </c>
      <c r="C1322" t="str">
        <f t="shared" si="40"/>
        <v>EMSG:-STRACE:-STRACERAW:com.farmers.chargeability.ho.mindeductible.MinimumDeductibleCalculatorImplVXXX$block_XXX_.invoke(MinimumDeductibleCalculatorImplVXXX.gs:XXX</v>
      </c>
      <c r="D1322" s="3">
        <f t="shared" si="41"/>
        <v>1</v>
      </c>
    </row>
    <row r="1323" spans="1:4" x14ac:dyDescent="0.35">
      <c r="A1323" t="s">
        <v>1076</v>
      </c>
      <c r="B1323">
        <v>1</v>
      </c>
      <c r="C1323" t="str">
        <f t="shared" si="40"/>
        <v>EMSG:-STRACE:-STRACERAW:com.farmers.config.common.credit.pa.PACreditScoreProcess.invokeService(PACreditScoreProcess.gs:XXX</v>
      </c>
      <c r="D1323" s="3">
        <f t="shared" si="41"/>
        <v>1</v>
      </c>
    </row>
    <row r="1324" spans="1:4" x14ac:dyDescent="0.35">
      <c r="A1324" t="s">
        <v>1220</v>
      </c>
      <c r="B1324">
        <v>1</v>
      </c>
      <c r="C1324" t="str">
        <f t="shared" si="40"/>
        <v>EMSG:-STRACE:-STRACERAW:com.farmers.config.common.helper.PremiumChangeHelper$block_XXX_$block_XXX_.invoke(PremiumChangeHelper.gs:XXX</v>
      </c>
      <c r="D1324" s="3">
        <f t="shared" si="41"/>
        <v>1</v>
      </c>
    </row>
    <row r="1325" spans="1:4" x14ac:dyDescent="0.35">
      <c r="A1325" t="s">
        <v>573</v>
      </c>
      <c r="B1325">
        <v>1</v>
      </c>
      <c r="C1325" t="str">
        <f t="shared" si="40"/>
        <v>EMSG:-STRACE:-STRACERAW:com.farmers.config.decliningdeductible.PAFlexDecliningDeductibleHelper.validatePriorPolicyNumber(PAFlexDecliningDeductibleHelper.gs:XXX</v>
      </c>
      <c r="D1325" s="3">
        <f t="shared" si="41"/>
        <v>1</v>
      </c>
    </row>
    <row r="1326" spans="1:4" x14ac:dyDescent="0.35">
      <c r="A1326" t="s">
        <v>1670</v>
      </c>
      <c r="B1326">
        <v>1</v>
      </c>
      <c r="C1326" t="str">
        <f t="shared" si="40"/>
        <v>EMSG:-STRACE:-STRACERAW:com.farmers.config.ho.helper.HomeownersDwellingConstructionStepHelpe.onFirstEnter(HomeownersDwellingConstructionStepHelpe.gs:XXX</v>
      </c>
      <c r="D1326" s="3">
        <f t="shared" si="41"/>
        <v>1</v>
      </c>
    </row>
    <row r="1327" spans="1:4" x14ac:dyDescent="0.35">
      <c r="A1327" t="s">
        <v>1078</v>
      </c>
      <c r="B1327">
        <v>1</v>
      </c>
      <c r="C1327" t="str">
        <f t="shared" si="40"/>
        <v>EMSG:-STRACE:-STRACERAW:com.farmers.config.pa.helper.PAPriorCarrierHelper.updateMonthsBristolWest(PAPriorCarrierHelper.gs:XXX</v>
      </c>
      <c r="D1327" s="3">
        <f t="shared" si="41"/>
        <v>1</v>
      </c>
    </row>
    <row r="1328" spans="1:4" x14ac:dyDescent="0.35">
      <c r="A1328" t="s">
        <v>239</v>
      </c>
      <c r="B1328">
        <v>1</v>
      </c>
      <c r="C1328" t="str">
        <f t="shared" si="40"/>
        <v>EMSG:-STRACE:-STRACERAW:com.farmers.integ.batch.odsreconciliation.util.ODSReconciliationProcessor.processPolicyPeriod(ODSReconciliationProcessor.gs:XXX</v>
      </c>
      <c r="D1328" s="3">
        <f t="shared" si="41"/>
        <v>1</v>
      </c>
    </row>
    <row r="1329" spans="1:4" x14ac:dyDescent="0.35">
      <c r="A1329" t="s">
        <v>321</v>
      </c>
      <c r="B1329">
        <v>1</v>
      </c>
      <c r="C1329" t="str">
        <f t="shared" si="40"/>
        <v>EMSG:-STRACE:-STRACERAW:com.farmers.rating.ho.param.HOParameterAdapter.selectCreditTier(HOParameterAdapter.gs:XXX</v>
      </c>
      <c r="D1329" s="3">
        <f t="shared" si="41"/>
        <v>1</v>
      </c>
    </row>
    <row r="1330" spans="1:4" x14ac:dyDescent="0.35">
      <c r="A1330" t="s">
        <v>832</v>
      </c>
      <c r="B1330">
        <v>1</v>
      </c>
      <c r="C1330" t="str">
        <f t="shared" si="40"/>
        <v>EMSG:-STRACE:-STRACERAW:com.guidewire.pc.domain.job.impl.JobProducerCodePermissionHandler.getProducerCodesOfService(JobProducerCodePermissionHandler.java:XXX</v>
      </c>
      <c r="D1330" s="3">
        <f t="shared" si="41"/>
        <v>1</v>
      </c>
    </row>
    <row r="1331" spans="1:4" x14ac:dyDescent="0.35">
      <c r="A1331" t="s">
        <v>1221</v>
      </c>
      <c r="B1331">
        <v>1</v>
      </c>
      <c r="C1331" t="str">
        <f t="shared" si="40"/>
        <v>EMSG:-STRACE:-STRACERAW:com.guidewire.pc.system.lookuptables.LookupTableManagerImpl$LRUCache.get(LookupTableManagerImpl.java:XXX</v>
      </c>
      <c r="D1331" s="3">
        <f t="shared" si="41"/>
        <v>1</v>
      </c>
    </row>
    <row r="1332" spans="1:4" x14ac:dyDescent="0.35">
      <c r="A1332" t="s">
        <v>1671</v>
      </c>
      <c r="B1332">
        <v>1</v>
      </c>
      <c r="C1332" t="str">
        <f t="shared" si="40"/>
        <v>EMSG:-STRACE:-STRACERAW:com.guidewire.pl.system.batchprocessing.BatchProcessProfiler.maybeProfileBlock(BatchProcessProfiler.java:XXX</v>
      </c>
      <c r="D1332" s="3">
        <f t="shared" si="41"/>
        <v>1</v>
      </c>
    </row>
    <row r="1333" spans="1:4" x14ac:dyDescent="0.35">
      <c r="A1333" t="s">
        <v>1672</v>
      </c>
      <c r="B1333">
        <v>1</v>
      </c>
      <c r="C1333" t="str">
        <f t="shared" si="40"/>
        <v>EMSG:-STRACE:-STRACERAW:com.guidewire.pl.system.batchprocessing.BatchProcessStartupHelper.checkLeaseIsUpToDate(BatchProcessStartupHelper.java:XXX</v>
      </c>
      <c r="D1333" s="3">
        <f t="shared" si="41"/>
        <v>1</v>
      </c>
    </row>
    <row r="1334" spans="1:4" x14ac:dyDescent="0.35">
      <c r="A1334" t="s">
        <v>583</v>
      </c>
      <c r="B1334">
        <v>1</v>
      </c>
      <c r="C1334" t="str">
        <f t="shared" si="40"/>
        <v>EMSG:-STRACE:-STRACERAW:com.guidewire.pl.system.bundle.BundleWriter.filterRuleVisibleBeans(BundleWriter.java:XXX</v>
      </c>
      <c r="D1334" s="3">
        <f t="shared" si="41"/>
        <v>1</v>
      </c>
    </row>
    <row r="1335" spans="1:4" x14ac:dyDescent="0.35">
      <c r="A1335" t="s">
        <v>1239</v>
      </c>
      <c r="B1335">
        <v>1</v>
      </c>
      <c r="C1335" t="str">
        <f t="shared" si="40"/>
        <v>EMSG:-STRACE:-STRACERAW:com.guidewire.pl.system.entity.displayName.Entity.getDisplayNameFromBean(Entity.java:XXX</v>
      </c>
      <c r="D1335" s="3">
        <f t="shared" si="41"/>
        <v>1</v>
      </c>
    </row>
    <row r="1336" spans="1:4" x14ac:dyDescent="0.35">
      <c r="A1336" t="s">
        <v>1210</v>
      </c>
      <c r="B1336">
        <v>1</v>
      </c>
      <c r="C1336" t="str">
        <f t="shared" si="40"/>
        <v>EMSG:-STRACE:-STRACERAW:com.guidewire.pl.system.entity.proxy.BeanProxy.refreshDataObject(BeanProxy.java:XXX</v>
      </c>
      <c r="D1336" s="3">
        <f t="shared" si="41"/>
        <v>1</v>
      </c>
    </row>
    <row r="1337" spans="1:4" x14ac:dyDescent="0.35">
      <c r="A1337" t="s">
        <v>694</v>
      </c>
      <c r="B1337">
        <v>1</v>
      </c>
      <c r="C1337" t="str">
        <f t="shared" si="40"/>
        <v>EMSG:-STRACE:-STRACERAW:com.guidewire.pl.system.integration.messaging.dispatch.MessageWriter.checkLease(MessageWriter.java:XXX</v>
      </c>
      <c r="D1337" s="3">
        <f t="shared" si="41"/>
        <v>1</v>
      </c>
    </row>
    <row r="1338" spans="1:4" x14ac:dyDescent="0.35">
      <c r="A1338" t="s">
        <v>462</v>
      </c>
      <c r="B1338">
        <v>1</v>
      </c>
      <c r="C1338" t="str">
        <f t="shared" si="40"/>
        <v>EMSG:-STRACE:-STRACERAW:com.guidewire.pl.web.config.PCFElement.preCancel(PCFElement.java:XXX</v>
      </c>
      <c r="D1338" s="3">
        <f t="shared" si="41"/>
        <v>1</v>
      </c>
    </row>
    <row r="1339" spans="1:4" x14ac:dyDescent="0.35">
      <c r="A1339" t="s">
        <v>1083</v>
      </c>
      <c r="B1339">
        <v>1</v>
      </c>
      <c r="C1339" t="str">
        <f t="shared" si="40"/>
        <v>EMSG:-STRACE:-STRACERAW:com.guidewire.pl.web.navigation.screen.CenterPanelRenderer.&lt;init&gt;(CenterPanelRenderer.java:XXX</v>
      </c>
      <c r="D1339" s="3">
        <f t="shared" si="41"/>
        <v>1</v>
      </c>
    </row>
    <row r="1340" spans="1:4" x14ac:dyDescent="0.35">
      <c r="A1340" t="s">
        <v>1673</v>
      </c>
      <c r="B1340">
        <v>1</v>
      </c>
      <c r="C1340" t="str">
        <f t="shared" si="40"/>
        <v>EMSG:-STRACE:-STRACERAW:deployment.ojdbcXXXXXX.XXX.XXX.XXX.XXX.jar//oracle.jdbc.driver.TXXXCMAREngineNIO.prepareForUnmarshall(TXXXCMAREngineNIO.java:XXX</v>
      </c>
      <c r="D1340" s="3">
        <f t="shared" si="41"/>
        <v>1</v>
      </c>
    </row>
    <row r="1341" spans="1:4" x14ac:dyDescent="0.35">
      <c r="A1341" t="s">
        <v>1674</v>
      </c>
      <c r="B1341">
        <v>1</v>
      </c>
      <c r="C1341" t="str">
        <f t="shared" si="40"/>
        <v>EMSG:-STRACE:-STRACERAW:deployment.pc.war//com.guidewire.pl.system.bundle.EntityBundleImpl.loadBeans(EntityBundleImpl.java:XXX</v>
      </c>
      <c r="D1341" s="3">
        <f t="shared" si="41"/>
        <v>1</v>
      </c>
    </row>
    <row r="1342" spans="1:4" x14ac:dyDescent="0.35">
      <c r="A1342" t="s">
        <v>942</v>
      </c>
      <c r="B1342">
        <v>1</v>
      </c>
      <c r="C1342" t="str">
        <f t="shared" si="40"/>
        <v>EMSG:-STRACE:-STRACERAW:deployment.pc.war//com.guidewire.pl.system.entity.proxy.EffDatedBaseProxy.getSliceDate(EffDatedBaseProxy.java:XXX</v>
      </c>
      <c r="D1342" s="3">
        <f t="shared" si="41"/>
        <v>1</v>
      </c>
    </row>
    <row r="1343" spans="1:4" x14ac:dyDescent="0.35">
      <c r="A1343" t="s">
        <v>1675</v>
      </c>
      <c r="B1343">
        <v>1</v>
      </c>
      <c r="C1343" t="str">
        <f t="shared" si="40"/>
        <v>EMSG:-STRACE:-STRACERAW:deployment.pc.war//gw.api.webservice.exception.LoginException.InactiveUserException(LoginException.java:XXX</v>
      </c>
      <c r="D1343" s="3">
        <f t="shared" si="41"/>
        <v>1</v>
      </c>
    </row>
    <row r="1344" spans="1:4" x14ac:dyDescent="0.35">
      <c r="A1344" t="s">
        <v>1676</v>
      </c>
      <c r="B1344">
        <v>1</v>
      </c>
      <c r="C1344" t="str">
        <f t="shared" si="40"/>
        <v>EMSG:-STRACE:-STRACERAW:deployment.pc.war//gw.pl.util.ExceptionUtil.convertToRuntimeException(ExceptionUtil.java:XXX</v>
      </c>
      <c r="D1344" s="3">
        <f t="shared" si="41"/>
        <v>1</v>
      </c>
    </row>
    <row r="1345" spans="1:4" x14ac:dyDescent="0.35">
      <c r="A1345" t="s">
        <v>1184</v>
      </c>
      <c r="B1345">
        <v>1</v>
      </c>
      <c r="C1345" t="str">
        <f t="shared" si="40"/>
        <v>EMSG:-STRACE:-STRACERAW:gw.acc.agenttemplate.AgentTemplate_ExtEnhancement.getPolicyType(AgentTemplate_ExtEnhancement.gsx:XXX</v>
      </c>
      <c r="D1345" s="3">
        <f t="shared" si="41"/>
        <v>1</v>
      </c>
    </row>
    <row r="1346" spans="1:4" x14ac:dyDescent="0.35">
      <c r="A1346" t="s">
        <v>1677</v>
      </c>
      <c r="B1346">
        <v>1</v>
      </c>
      <c r="C1346" t="str">
        <f t="shared" ref="C1346:C1409" si="42">LEFT(A1346,255)</f>
        <v>EMSG:-STRACE:-STRACERAW:gw.account.AccountFileMLIUIController.inforcePolicies(AccountFileMLIUIController.gs:XXX</v>
      </c>
      <c r="D1346" s="3">
        <f t="shared" ref="D1346:D1409" si="43">IF(AND((B1346/10)&lt;1,(B1346/10)&gt;0),1,(B1346/10)*130%)</f>
        <v>1</v>
      </c>
    </row>
    <row r="1347" spans="1:4" x14ac:dyDescent="0.35">
      <c r="A1347" t="s">
        <v>1678</v>
      </c>
      <c r="B1347">
        <v>1</v>
      </c>
      <c r="C1347" t="str">
        <f t="shared" si="42"/>
        <v>EMSG:-STRACE:-STRACERAW:gw.api.tools.InternalToolsUtil.verifyInternalToolActionAllowed(InternalToolsUtil.java:XXX</v>
      </c>
      <c r="D1347" s="3">
        <f t="shared" si="43"/>
        <v>1</v>
      </c>
    </row>
    <row r="1348" spans="1:4" x14ac:dyDescent="0.35">
      <c r="A1348" t="s">
        <v>1025</v>
      </c>
      <c r="B1348">
        <v>1</v>
      </c>
      <c r="C1348" t="str">
        <f t="shared" si="42"/>
        <v>EMSG:-STRACE:-STRACERAW:gw.api.web.HtmlUtil.indent(HtmlUtil.java:XXX</v>
      </c>
      <c r="D1348" s="3">
        <f t="shared" si="43"/>
        <v>1</v>
      </c>
    </row>
    <row r="1349" spans="1:4" x14ac:dyDescent="0.35">
      <c r="A1349" t="s">
        <v>1679</v>
      </c>
      <c r="B1349">
        <v>1</v>
      </c>
      <c r="C1349" t="str">
        <f t="shared" si="42"/>
        <v>EMSG:-STRACE:-STRACERAW:gw.internal.gosu.ir.transform.expression.MemberAccessTransformer.autoCreateEntityInstance(MemberAccessTransformer.java:XXX</v>
      </c>
      <c r="D1349" s="3">
        <f t="shared" si="43"/>
        <v>1</v>
      </c>
    </row>
    <row r="1350" spans="1:4" x14ac:dyDescent="0.35">
      <c r="A1350" t="s">
        <v>1048</v>
      </c>
      <c r="B1350">
        <v>1</v>
      </c>
      <c r="C1350" t="str">
        <f t="shared" si="42"/>
        <v>EMSG:-STRACE:-STRACERAW:gw.internal.gosu.ir.transform.expression.TypeAsTransformer.coerceValue(TypeAsTransformer.java:XXX</v>
      </c>
      <c r="D1350" s="3">
        <f t="shared" si="43"/>
        <v>1</v>
      </c>
    </row>
    <row r="1351" spans="1:4" x14ac:dyDescent="0.35">
      <c r="A1351" t="s">
        <v>282</v>
      </c>
      <c r="B1351">
        <v>1</v>
      </c>
      <c r="C1351" t="str">
        <f t="shared" si="42"/>
        <v>EMSG:-STRACE:-STRACERAW:gw.lang.enhancements.CoreIterableEnhancement.single(CoreIterableEnhancement.gsx:XXX</v>
      </c>
      <c r="D1351" s="3">
        <f t="shared" si="43"/>
        <v>1</v>
      </c>
    </row>
    <row r="1352" spans="1:4" x14ac:dyDescent="0.35">
      <c r="A1352" t="s">
        <v>938</v>
      </c>
      <c r="B1352">
        <v>1</v>
      </c>
      <c r="C1352" t="str">
        <f t="shared" si="42"/>
        <v>EMSG:-STRACE:-STRACERAW:gw.lob.ho.HODwellingValidation_HOE.validateWaterSublimitRemovedForOptionalStates(HODwellingValidation_HOE.gs:XXX</v>
      </c>
      <c r="D1352" s="3">
        <f t="shared" si="43"/>
        <v>1</v>
      </c>
    </row>
    <row r="1353" spans="1:4" x14ac:dyDescent="0.35">
      <c r="A1353" t="s">
        <v>1680</v>
      </c>
      <c r="B1353">
        <v>1</v>
      </c>
      <c r="C1353" t="str">
        <f t="shared" si="42"/>
        <v>EMSG:-STRACE:-STRACERAW:gw.lob.pa.PALineStepsValidator.onEnterCoverageScreen_Ext(PALineStepsValidator.gs:XXX</v>
      </c>
      <c r="D1353" s="3">
        <f t="shared" si="43"/>
        <v>1</v>
      </c>
    </row>
    <row r="1354" spans="1:4" x14ac:dyDescent="0.35">
      <c r="A1354" t="s">
        <v>523</v>
      </c>
      <c r="B1354">
        <v>1</v>
      </c>
      <c r="C1354" t="str">
        <f t="shared" si="42"/>
        <v>EMSG:-STRACE:-STRACERAW:gw.pl.currency.MonetaryAmount.add(MonetaryAmount.java:XXX</v>
      </c>
      <c r="D1354" s="3">
        <f t="shared" si="43"/>
        <v>1</v>
      </c>
    </row>
    <row r="1355" spans="1:4" x14ac:dyDescent="0.35">
      <c r="A1355" t="s">
        <v>713</v>
      </c>
      <c r="B1355">
        <v>1</v>
      </c>
      <c r="C1355" t="str">
        <f t="shared" si="42"/>
        <v>EMSG:-STRACE:-STRACERAW:gw.rating.flow.domain.CalcRoutine.addErrorToContextOrThrow(CalcRoutine.gs:XXX</v>
      </c>
      <c r="D1355" s="3">
        <f t="shared" si="43"/>
        <v>1</v>
      </c>
    </row>
    <row r="1356" spans="1:4" x14ac:dyDescent="0.35">
      <c r="A1356" t="s">
        <v>1681</v>
      </c>
      <c r="B1356">
        <v>1</v>
      </c>
      <c r="C1356" t="str">
        <f t="shared" si="42"/>
        <v>EMSG:-STRACE:-STRACERAW:gw.web.job.common.PCFHelper_Ext.getNonDriverReason(PCFHelper_Ext.gs:XXX</v>
      </c>
      <c r="D1356" s="3">
        <f t="shared" si="43"/>
        <v>1</v>
      </c>
    </row>
    <row r="1357" spans="1:4" x14ac:dyDescent="0.35">
      <c r="A1357" t="s">
        <v>740</v>
      </c>
      <c r="B1357">
        <v>1</v>
      </c>
      <c r="C1357" t="str">
        <f t="shared" si="42"/>
        <v>EMSG:-STRACE:-STRACERAW:gwservices.pc.dm.api.DMAccountAPI$block_XXX_.invoke(DMAccountAPI.gs:XXX</v>
      </c>
      <c r="D1357" s="3">
        <f t="shared" si="43"/>
        <v>1</v>
      </c>
    </row>
    <row r="1358" spans="1:4" x14ac:dyDescent="0.35">
      <c r="A1358" t="s">
        <v>836</v>
      </c>
      <c r="B1358">
        <v>1</v>
      </c>
      <c r="C1358" t="str">
        <f t="shared" si="42"/>
        <v>EMSG:-STRACE:-STRACERAW:gwservices.pc.dm.gxmig.shared.location.AddressModelPopulator.findEntity(AddressModelPopulator.gs:XXX</v>
      </c>
      <c r="D1358" s="3">
        <f t="shared" si="43"/>
        <v>1</v>
      </c>
    </row>
    <row r="1359" spans="1:4" x14ac:dyDescent="0.35">
      <c r="A1359" t="s">
        <v>1682</v>
      </c>
      <c r="B1359">
        <v>1</v>
      </c>
      <c r="C1359" t="str">
        <f t="shared" si="42"/>
        <v>EMSG:-STRACE:-STRACERAW:gwservices.pc.dm.gxmig.shared.policy.EffectiveDatedFieldsPopulator.finish(EffectiveDatedFieldsPopulator.gs:XXX</v>
      </c>
      <c r="D1359" s="3">
        <f t="shared" si="43"/>
        <v>1</v>
      </c>
    </row>
    <row r="1360" spans="1:4" x14ac:dyDescent="0.35">
      <c r="A1360" t="s">
        <v>1683</v>
      </c>
      <c r="B1360">
        <v>1</v>
      </c>
      <c r="C1360" t="str">
        <f t="shared" si="42"/>
        <v>EMSG:-STRACE:-STRACERAW:java.base/java.io.FileInputStream.openXXX(Native Method</v>
      </c>
      <c r="D1360" s="3">
        <f t="shared" si="43"/>
        <v>1</v>
      </c>
    </row>
    <row r="1361" spans="1:4" x14ac:dyDescent="0.35">
      <c r="A1361" t="s">
        <v>1684</v>
      </c>
      <c r="B1361">
        <v>1</v>
      </c>
      <c r="C1361" t="str">
        <f t="shared" si="42"/>
        <v>EMSG:-STRACE:-STRACERAW:java.base/java.lang.String.contains(String.java:XXX</v>
      </c>
      <c r="D1361" s="3">
        <f t="shared" si="43"/>
        <v>1</v>
      </c>
    </row>
    <row r="1362" spans="1:4" x14ac:dyDescent="0.35">
      <c r="A1362" t="s">
        <v>1086</v>
      </c>
      <c r="B1362">
        <v>1</v>
      </c>
      <c r="C1362" t="str">
        <f t="shared" si="42"/>
        <v>EMSG:-STRACE:-STRACERAW:java.lang.Integer.compareTo(Integer.java:XXX</v>
      </c>
      <c r="D1362" s="3">
        <f t="shared" si="43"/>
        <v>1</v>
      </c>
    </row>
    <row r="1363" spans="1:4" x14ac:dyDescent="0.35">
      <c r="A1363" t="s">
        <v>1685</v>
      </c>
      <c r="B1363">
        <v>1</v>
      </c>
      <c r="C1363" t="str">
        <f t="shared" si="42"/>
        <v>EMSG:-STRACE:-STRACERAW:java.util.Date.getMillisOf(Date.java:XXX</v>
      </c>
      <c r="D1363" s="3">
        <f t="shared" si="43"/>
        <v>1</v>
      </c>
    </row>
    <row r="1364" spans="1:4" x14ac:dyDescent="0.35">
      <c r="A1364" t="s">
        <v>908</v>
      </c>
      <c r="B1364">
        <v>1</v>
      </c>
      <c r="C1364" t="str">
        <f t="shared" si="42"/>
        <v>EMSG:-STRACE:-STRACERAW:java.util.concurrent.ThreadPoolExecutor$AbortPolicy.rejectedExecution(ThreadPoolExecutor.java:XXX</v>
      </c>
      <c r="D1364" s="3">
        <f t="shared" si="43"/>
        <v>1</v>
      </c>
    </row>
    <row r="1365" spans="1:4" x14ac:dyDescent="0.35">
      <c r="A1365" t="s">
        <v>707</v>
      </c>
      <c r="B1365">
        <v>1</v>
      </c>
      <c r="C1365" t="str">
        <f t="shared" si="42"/>
        <v>EMSG:-STRACE:-STRACERAW:main (line: XXX, column: XXX</v>
      </c>
      <c r="D1365" s="3">
        <f t="shared" si="43"/>
        <v>1</v>
      </c>
    </row>
    <row r="1366" spans="1:4" x14ac:dyDescent="0.35">
      <c r="A1366" t="s">
        <v>1686</v>
      </c>
      <c r="B1366">
        <v>1</v>
      </c>
      <c r="C1366" t="str">
        <f t="shared" si="42"/>
        <v>EMSG:-STRACE:-STRACERAW:needs to be repaired/replaced. (Structure is eligible to be excluded</v>
      </c>
      <c r="D1366" s="3">
        <f t="shared" si="43"/>
        <v>1</v>
      </c>
    </row>
    <row r="1367" spans="1:4" x14ac:dyDescent="0.35">
      <c r="A1367" t="s">
        <v>1087</v>
      </c>
      <c r="B1367">
        <v>1</v>
      </c>
      <c r="C1367" t="str">
        <f t="shared" si="42"/>
        <v>EMSG:-STRACE:-STRACERAW:pcfc.expressions.PolicyFile_PricingExpressions$PolicyFile_PricingExpressionsImpl.visible_XXX(PolicyFile_PricingExpressions.gs:XXX</v>
      </c>
      <c r="D1367" s="3">
        <f t="shared" si="43"/>
        <v>1</v>
      </c>
    </row>
    <row r="1368" spans="1:4" x14ac:dyDescent="0.35">
      <c r="A1368" t="s">
        <v>1088</v>
      </c>
      <c r="B1368">
        <v>1</v>
      </c>
      <c r="C1368" t="str">
        <f t="shared" si="42"/>
        <v>EMSG:-STRACE:-STRACERAW:pcfc.expressions.RatingCumulDetailsPanelSet_PersonalAutoLineExpressions$RatingCumulDetailsPanelSetExpressionsImpl.value_XXX(RatingCumulDetailsPanelSet_PersonalAutoLineExpressions.gs:XXX</v>
      </c>
      <c r="D1368" s="3">
        <f t="shared" si="43"/>
        <v>1</v>
      </c>
    </row>
    <row r="1369" spans="1:4" x14ac:dyDescent="0.35">
      <c r="A1369" t="s">
        <v>1687</v>
      </c>
      <c r="B1369">
        <v>1</v>
      </c>
      <c r="C1369" t="str">
        <f t="shared" si="42"/>
        <v>EMSG:-STRACE:-STRACERAW:qRoot WHERE qRoot.BranchID IN (?,?,?,?,?,?,?,?,?,?,?,?,?,?,?,?,?,?,?,?,?,?,?,?,?,?,?,?,?,?,?,?,?</v>
      </c>
      <c r="D1369" s="3">
        <f t="shared" si="43"/>
        <v>1</v>
      </c>
    </row>
    <row r="1370" spans="1:4" x14ac:dyDescent="0.35">
      <c r="A1370" t="s">
        <v>1244</v>
      </c>
      <c r="B1370">
        <v>1</v>
      </c>
      <c r="C1370" t="str">
        <f t="shared" si="42"/>
        <v>EMSG:-STRACE:-STRACERAW:requires Wind and Hail Exlustion and WPIXXX or WPIXXX., failed to evaluate condition with gosu text "util.checkRiskAddressAndFoundationType(policyEvalContext</v>
      </c>
      <c r="D1370" s="3">
        <f t="shared" si="43"/>
        <v>1</v>
      </c>
    </row>
    <row r="1371" spans="1:4" x14ac:dyDescent="0.35">
      <c r="A1371" t="s">
        <v>1688</v>
      </c>
      <c r="B1371">
        <v>1</v>
      </c>
      <c r="C1371" t="str">
        <f t="shared" si="42"/>
        <v>EMSG:-STRACE:com.farmers.config.ho.enhancement.HOModifierEnhancement$block_XXX_.invoke(HOModifierEnhancement.gsx:XXXSTRACERAW:-</v>
      </c>
      <c r="D1371" s="3">
        <f t="shared" si="43"/>
        <v>1</v>
      </c>
    </row>
    <row r="1372" spans="1:4" x14ac:dyDescent="0.35">
      <c r="A1372" t="s">
        <v>1689</v>
      </c>
      <c r="B1372">
        <v>1</v>
      </c>
      <c r="C1372" t="str">
        <f t="shared" si="42"/>
        <v>EMSG:-STRACE:com.farmers.config.pa.adpf.ADPFReportHelper.startProcessing(ADPFReportHelper.gs:XXXSTRACERAW:-</v>
      </c>
      <c r="D1372" s="3">
        <f t="shared" si="43"/>
        <v>1</v>
      </c>
    </row>
    <row r="1373" spans="1:4" x14ac:dyDescent="0.35">
      <c r="A1373" t="s">
        <v>1090</v>
      </c>
      <c r="B1373">
        <v>1</v>
      </c>
      <c r="C1373" t="str">
        <f t="shared" si="42"/>
        <v>EMSG:-STRACE:com.farmers.integ.erti.iso.location.ISOLocationHelper.checkDistanceToFireStation(ISOLocationHelper.gs:XXXSTRACERAW:-</v>
      </c>
      <c r="D1373" s="3">
        <f t="shared" si="43"/>
        <v>1</v>
      </c>
    </row>
    <row r="1374" spans="1:4" x14ac:dyDescent="0.35">
      <c r="A1374" t="s">
        <v>550</v>
      </c>
      <c r="B1374">
        <v>1</v>
      </c>
      <c r="C1374" t="str">
        <f t="shared" si="42"/>
        <v>EMSG:-STRACE:com.farmers.integ.security.community.ace.agent.profile.processor.updator.UserDataUpdateProcessor.update(UserDataUpdateProcessor.gs:XXXSTRACERAW:-</v>
      </c>
      <c r="D1374" s="3">
        <f t="shared" si="43"/>
        <v>1</v>
      </c>
    </row>
    <row r="1375" spans="1:4" x14ac:dyDescent="0.35">
      <c r="A1375" t="s">
        <v>1690</v>
      </c>
      <c r="B1375">
        <v>1</v>
      </c>
      <c r="C1375" t="str">
        <f t="shared" si="42"/>
        <v>EMSG:-STRACE:deployment.pc.war//com.guidewire.pc.domain.community.impl.GroupCoreExtMethodsImpl.checkGroupNameUniqueWithinOrg(GroupCoreExtMethodsImpl.java:XXXSTRACERAW:-</v>
      </c>
      <c r="D1375" s="3">
        <f t="shared" si="43"/>
        <v>1</v>
      </c>
    </row>
    <row r="1376" spans="1:4" x14ac:dyDescent="0.35">
      <c r="A1376" t="s">
        <v>868</v>
      </c>
      <c r="B1376">
        <v>1</v>
      </c>
      <c r="C1376" t="str">
        <f t="shared" si="42"/>
        <v>EMSG:-STRACE:deployment.pc.war//com.guidewire.pl.system.database.DatabaseBundleWriter.executeBeanCallbacksAfterMessageGen(DatabaseBundleWriter.java:XXXSTRACERAW:-</v>
      </c>
      <c r="D1376" s="3">
        <f t="shared" si="43"/>
        <v>1</v>
      </c>
    </row>
    <row r="1377" spans="1:4" x14ac:dyDescent="0.35">
      <c r="A1377" t="s">
        <v>1691</v>
      </c>
      <c r="B1377">
        <v>1</v>
      </c>
      <c r="C1377" t="str">
        <f t="shared" si="42"/>
        <v>EMSG:-STRACE:deployment.pc.war//gw.api.rating.MultiFactorVariable.toString(MultiFactorVariable.java:XXXSTRACERAW:-</v>
      </c>
      <c r="D1377" s="3">
        <f t="shared" si="43"/>
        <v>1</v>
      </c>
    </row>
    <row r="1378" spans="1:4" x14ac:dyDescent="0.35">
      <c r="A1378" t="s">
        <v>677</v>
      </c>
      <c r="B1378">
        <v>1</v>
      </c>
      <c r="C1378" t="str">
        <f t="shared" si="42"/>
        <v>EMSG:-STRACE:deployment.pc.war//gw.api.util.LocationUtil.addRequestScopedMessage(LocationUtil.java:XXXSTRACERAW:-</v>
      </c>
      <c r="D1378" s="3">
        <f t="shared" si="43"/>
        <v>1</v>
      </c>
    </row>
    <row r="1379" spans="1:4" x14ac:dyDescent="0.35">
      <c r="A1379" t="s">
        <v>940</v>
      </c>
      <c r="B1379">
        <v>1</v>
      </c>
      <c r="C1379" t="str">
        <f t="shared" si="42"/>
        <v>EMSG:-STRACE:edge.capabilities.quote.submission.lob.personalauto.coverables.DefaultPaCoverablePlugin$block_XXX_.invoke(DefaultPaCoverablePlugin.gs:XXXSTRACERAW:-</v>
      </c>
      <c r="D1379" s="3">
        <f t="shared" si="43"/>
        <v>1</v>
      </c>
    </row>
    <row r="1380" spans="1:4" x14ac:dyDescent="0.35">
      <c r="A1380" t="s">
        <v>1692</v>
      </c>
      <c r="B1380">
        <v>1</v>
      </c>
      <c r="C1380" t="str">
        <f t="shared" si="42"/>
        <v>EMSG:-STRACE:gw.acc.luw.perf.JobManager$block_XXX_.invoke(JobManager.gs:XXXSTRACERAW:-</v>
      </c>
      <c r="D1380" s="3">
        <f t="shared" si="43"/>
        <v>1</v>
      </c>
    </row>
    <row r="1381" spans="1:4" ht="29" x14ac:dyDescent="0.35">
      <c r="A1381" s="4" t="s">
        <v>1693</v>
      </c>
      <c r="B1381">
        <v>1</v>
      </c>
      <c r="C1381" t="str">
        <f t="shared" si="42"/>
        <v>EMSG:-STRACE:has been shut down: java:jboss/datasources/pcDataSource
	at deployment.pc.war//gw.pl.util.ExceptionUtil.convertToRuntimeException(ExceptionUtil.java:XXXSTRACERAW:-</v>
      </c>
      <c r="D1381" s="3">
        <f t="shared" si="43"/>
        <v>1</v>
      </c>
    </row>
    <row r="1382" spans="1:4" x14ac:dyDescent="0.35">
      <c r="A1382" t="s">
        <v>1694</v>
      </c>
      <c r="B1382">
        <v>1</v>
      </c>
      <c r="C1382" t="str">
        <f t="shared" si="42"/>
        <v>EMSG:-STRACE:java.base/java.text.SimpleDateFormat.parse(SimpleDateFormat.java:XXXSTRACERAW:-</v>
      </c>
      <c r="D1382" s="3">
        <f t="shared" si="43"/>
        <v>1</v>
      </c>
    </row>
    <row r="1383" spans="1:4" x14ac:dyDescent="0.35">
      <c r="A1383" t="s">
        <v>1695</v>
      </c>
      <c r="B1383">
        <v>1</v>
      </c>
      <c r="C1383" t="str">
        <f t="shared" si="42"/>
        <v>EMSG:ANDREW NICKERSONSTRACE:com.farmers.config.pa.validator.BrightlineValidator.validateQuoteBrightlineRules(BrightlineValidator.gs:XXXSTRACERAW:-</v>
      </c>
      <c r="D1383" s="3">
        <f t="shared" si="43"/>
        <v>1</v>
      </c>
    </row>
    <row r="1384" spans="1:4" x14ac:dyDescent="0.35">
      <c r="A1384" t="s">
        <v>1696</v>
      </c>
      <c r="B1384">
        <v>1</v>
      </c>
      <c r="C1384" t="str">
        <f t="shared" si="42"/>
        <v>EMSG:ANGELA RANGELSTRACE:com.farmers.config.pa.validator.BrightlineValidator.validateQuoteBrightlineRules(BrightlineValidator.gs:XXXSTRACERAW:-</v>
      </c>
      <c r="D1384" s="3">
        <f t="shared" si="43"/>
        <v>1</v>
      </c>
    </row>
    <row r="1385" spans="1:4" x14ac:dyDescent="0.35">
      <c r="A1385" t="s">
        <v>1697</v>
      </c>
      <c r="B1385">
        <v>1</v>
      </c>
      <c r="C1385" t="str">
        <f t="shared" si="42"/>
        <v>EMSG:ANGELICA TREVINOSTRACE:com.farmers.config.pa.validator.BrightlineValidator.validateQuoteBrightlineRules(BrightlineValidator.gs:XXXSTRACERAW:-</v>
      </c>
      <c r="D1385" s="3">
        <f t="shared" si="43"/>
        <v>1</v>
      </c>
    </row>
    <row r="1386" spans="1:4" x14ac:dyDescent="0.35">
      <c r="A1386" t="s">
        <v>1698</v>
      </c>
      <c r="B1386">
        <v>1</v>
      </c>
      <c r="C1386" t="str">
        <f t="shared" si="42"/>
        <v>EMSG:ANGELICA TREVINOSTRACE:gw.job.QuoteProcess.requestQuote(QuoteProcess.gs:XXXSTRACERAW:-</v>
      </c>
      <c r="D1386" s="3">
        <f t="shared" si="43"/>
        <v>1</v>
      </c>
    </row>
    <row r="1387" spans="1:4" x14ac:dyDescent="0.35">
      <c r="A1387" t="s">
        <v>1699</v>
      </c>
      <c r="B1387">
        <v>1</v>
      </c>
      <c r="C1387" t="str">
        <f t="shared" si="42"/>
        <v>EMSG:ANTHONY MALINAKSTRACE:com.farmers.config.pa.validator.BrightlineValidator.validateQuoteBrightlineRules(BrightlineValidator.gs:XXXSTRACERAW:-</v>
      </c>
      <c r="D1387" s="3">
        <f t="shared" si="43"/>
        <v>1</v>
      </c>
    </row>
    <row r="1388" spans="1:4" x14ac:dyDescent="0.35">
      <c r="A1388" t="s">
        <v>1700</v>
      </c>
      <c r="B1388">
        <v>1</v>
      </c>
      <c r="C1388" t="str">
        <f t="shared" si="42"/>
        <v>EMSG:ANTHONY MALINAKSTRACE:gw.job.QuoteProcess.requestQuote(QuoteProcess.gs:XXXSTRACERAW:-</v>
      </c>
      <c r="D1388" s="3">
        <f t="shared" si="43"/>
        <v>1</v>
      </c>
    </row>
    <row r="1389" spans="1:4" x14ac:dyDescent="0.35">
      <c r="A1389" t="s">
        <v>1701</v>
      </c>
      <c r="B1389">
        <v>1</v>
      </c>
      <c r="C1389" t="str">
        <f t="shared" si="42"/>
        <v>EMSG:AURORA BANDASTRACE:com.farmers.config.pa.validator.BrightlineValidator.validateQuoteBrightlineRules(BrightlineValidator.gs:XXXSTRACERAW:-</v>
      </c>
      <c r="D1389" s="3">
        <f t="shared" si="43"/>
        <v>1</v>
      </c>
    </row>
    <row r="1390" spans="1:4" x14ac:dyDescent="0.35">
      <c r="A1390" t="s">
        <v>1702</v>
      </c>
      <c r="B1390">
        <v>1</v>
      </c>
      <c r="C1390" t="str">
        <f t="shared" si="42"/>
        <v>EMSG:AURORA BANDASTRACE:gw.job.QuoteProcess.requestQuote(QuoteProcess.gs:XXXSTRACERAW:-</v>
      </c>
      <c r="D1390" s="3">
        <f t="shared" si="43"/>
        <v>1</v>
      </c>
    </row>
    <row r="1391" spans="1:4" ht="29" x14ac:dyDescent="0.35">
      <c r="A1391" s="4" t="s">
        <v>1703</v>
      </c>
      <c r="B1391">
        <v>1</v>
      </c>
      <c r="C1391" t="str">
        <f t="shared" si="42"/>
        <v>EMSG:Access the quote again later and revalidate the policy. Driver Lori O'KeefeSTRACE:may take XXX days to retrieve.
	at com.farmers.config.pa.mvr.validator.MVRDriverValidator.validateOnlineState(MVRDriverValidator.gs:XXXSTRACERAW:-</v>
      </c>
      <c r="D1391" s="3">
        <f t="shared" si="43"/>
        <v>1</v>
      </c>
    </row>
    <row r="1392" spans="1:4" x14ac:dyDescent="0.35">
      <c r="A1392" t="s">
        <v>1192</v>
      </c>
      <c r="B1392">
        <v>1</v>
      </c>
      <c r="C1392" t="str">
        <f t="shared" si="42"/>
        <v>EMSG:Account Creation failed due to [Primary Contact Address AddressLineXXX] fields missingSTRACE:com.farmers.integ.distribution.ecms.deeplaunch.validation.QuoteNavigationValidator.validateApexQuotePrefillInfo(QuoteNavigationValidator.gs:XXXSTRACERAW:-</v>
      </c>
      <c r="D1392" s="3">
        <f t="shared" si="43"/>
        <v>1</v>
      </c>
    </row>
    <row r="1393" spans="1:4" x14ac:dyDescent="0.35">
      <c r="A1393" t="s">
        <v>1704</v>
      </c>
      <c r="B1393">
        <v>1</v>
      </c>
      <c r="C1393" t="str">
        <f t="shared" si="42"/>
        <v>EMSG:Add License State for GERALD HUGHESSTRACE:com.farmers.config.pa.mvr.validator.MVRDriverValidator.throwDisplayableExceptionIfNeeded(MVRDriverValidator.gs:XXXSTRACERAW:-</v>
      </c>
      <c r="D1393" s="3">
        <f t="shared" si="43"/>
        <v>1</v>
      </c>
    </row>
    <row r="1394" spans="1:4" x14ac:dyDescent="0.35">
      <c r="A1394" t="s">
        <v>1705</v>
      </c>
      <c r="B1394">
        <v>1</v>
      </c>
      <c r="C1394" t="str">
        <f t="shared" si="42"/>
        <v>EMSG:Add License State for GERALD HUGHESSTRACE:gw.job.QuoteProcess.requestQuote(QuoteProcess.gs:XXXSTRACERAW:-</v>
      </c>
      <c r="D1394" s="3">
        <f t="shared" si="43"/>
        <v>1</v>
      </c>
    </row>
    <row r="1395" spans="1:4" x14ac:dyDescent="0.35">
      <c r="A1395" t="s">
        <v>1706</v>
      </c>
      <c r="B1395">
        <v>1</v>
      </c>
      <c r="C1395" t="str">
        <f t="shared" si="42"/>
        <v>EMSG:Add License State for JACCILYN MORRISSTRACE:com.farmers.config.pa.mvr.validator.MVRDriverValidator.throwDisplayableExceptionIfNeeded(MVRDriverValidator.gs:XXXSTRACERAW:-</v>
      </c>
      <c r="D1395" s="3">
        <f t="shared" si="43"/>
        <v>1</v>
      </c>
    </row>
    <row r="1396" spans="1:4" x14ac:dyDescent="0.35">
      <c r="A1396" t="s">
        <v>1707</v>
      </c>
      <c r="B1396">
        <v>1</v>
      </c>
      <c r="C1396" t="str">
        <f t="shared" si="42"/>
        <v>EMSG:Add License State for TAMARA HUGHESSTRACE:com.farmers.config.pa.mvr.validator.MVRDriverValidator.throwDisplayableExceptionIfNeeded(MVRDriverValidator.gs:XXXSTRACERAW:-</v>
      </c>
      <c r="D1396" s="3">
        <f t="shared" si="43"/>
        <v>1</v>
      </c>
    </row>
    <row r="1397" spans="1:4" x14ac:dyDescent="0.35">
      <c r="A1397" t="s">
        <v>1708</v>
      </c>
      <c r="B1397">
        <v>1</v>
      </c>
      <c r="C1397" t="str">
        <f t="shared" si="42"/>
        <v>EMSG:Add License State for TAMARA HUGHESSTRACE:gw.job.QuoteProcess.requestQuote(QuoteProcess.gs:XXXSTRACERAW:-</v>
      </c>
      <c r="D1397" s="3">
        <f t="shared" si="43"/>
        <v>1</v>
      </c>
    </row>
    <row r="1398" spans="1:4" x14ac:dyDescent="0.35">
      <c r="A1398" t="s">
        <v>1091</v>
      </c>
      <c r="B1398">
        <v>1</v>
      </c>
      <c r="C1398" t="str">
        <f t="shared" si="42"/>
        <v>EMSG:Address Standardization service is down. Please try later.STRACE:com.farmers.config.ho.dwelling.location.process.HOLocationProcess.getLocationDetails(HOLocationProcess.gs:XXXSTRACERAW:-</v>
      </c>
      <c r="D1398" s="3">
        <f t="shared" si="43"/>
        <v>1</v>
      </c>
    </row>
    <row r="1399" spans="1:4" x14ac:dyDescent="0.35">
      <c r="A1399" t="s">
        <v>1709</v>
      </c>
      <c r="B1399">
        <v>1</v>
      </c>
      <c r="C1399" t="str">
        <f t="shared" si="42"/>
        <v>EMSG:Adriana EstradaSTRACE:com.farmers.config.pa.validator.BrightlineValidator.validateQuoteBrightlineRules(BrightlineValidator.gs:XXXSTRACERAW:-</v>
      </c>
      <c r="D1399" s="3">
        <f t="shared" si="43"/>
        <v>1</v>
      </c>
    </row>
    <row r="1400" spans="1:4" x14ac:dyDescent="0.35">
      <c r="A1400" t="s">
        <v>1710</v>
      </c>
      <c r="B1400">
        <v>1</v>
      </c>
      <c r="C1400" t="str">
        <f t="shared" si="42"/>
        <v>EMSG:Adriana EstradaSTRACE:gw.job.QuoteProcess.requestQuote(QuoteProcess.gs:XXXSTRACERAW:-</v>
      </c>
      <c r="D1400" s="3">
        <f t="shared" si="43"/>
        <v>1</v>
      </c>
    </row>
    <row r="1401" spans="1:4" x14ac:dyDescent="0.35">
      <c r="A1401" t="s">
        <v>1711</v>
      </c>
      <c r="B1401">
        <v>1</v>
      </c>
      <c r="C1401" t="str">
        <f t="shared" si="42"/>
        <v>EMSG:Angelica ArandaSTRACE:com.farmers.config.pa.validator.BrightlineValidator.validateQuoteBrightlineRules(BrightlineValidator.gs:XXXSTRACERAW:-</v>
      </c>
      <c r="D1401" s="3">
        <f t="shared" si="43"/>
        <v>1</v>
      </c>
    </row>
    <row r="1402" spans="1:4" x14ac:dyDescent="0.35">
      <c r="A1402" t="s">
        <v>1712</v>
      </c>
      <c r="B1402">
        <v>1</v>
      </c>
      <c r="C1402" t="str">
        <f t="shared" si="42"/>
        <v>EMSG:Angelica ArandaSTRACE:gw.job.QuoteProcess.requestQuote(QuoteProcess.gs:XXXSTRACERAW:-</v>
      </c>
      <c r="D1402" s="3">
        <f t="shared" si="43"/>
        <v>1</v>
      </c>
    </row>
    <row r="1403" spans="1:4" x14ac:dyDescent="0.35">
      <c r="A1403" t="s">
        <v>1713</v>
      </c>
      <c r="B1403">
        <v>1</v>
      </c>
      <c r="C1403" t="str">
        <f t="shared" si="42"/>
        <v>EMSG:Arthur NathanSTRACE:com.farmers.config.pa.validator.BrightlineValidator.validateQuoteBrightlineRules(BrightlineValidator.gs:XXXSTRACERAW:-</v>
      </c>
      <c r="D1403" s="3">
        <f t="shared" si="43"/>
        <v>1</v>
      </c>
    </row>
    <row r="1404" spans="1:4" x14ac:dyDescent="0.35">
      <c r="A1404" t="s">
        <v>1714</v>
      </c>
      <c r="B1404">
        <v>1</v>
      </c>
      <c r="C1404" t="str">
        <f t="shared" si="42"/>
        <v>EMSG:Attempt to access bean of type "CreditReasonImpact_Ext" id=XXX with a null bundleSTRACE:deployment.pc.war//com.guidewire.pl.system.entity.proxy.BeanProxy.checkIsInBundle(BeanProxy.java:XXXSTRACERAW:-</v>
      </c>
      <c r="D1404" s="3">
        <f t="shared" si="43"/>
        <v>1</v>
      </c>
    </row>
    <row r="1405" spans="1:4" x14ac:dyDescent="0.35">
      <c r="A1405" t="s">
        <v>1715</v>
      </c>
      <c r="B1405">
        <v>1</v>
      </c>
      <c r="C1405" t="str">
        <f t="shared" si="42"/>
        <v>EMSG:Attempt to access bean of type "CreditResultParams_Ext" id=XXX with a null bundleSTRACE:deployment.pc.war//com.guidewire.pl.system.entity.proxy.BeanProxy.checkIsInBundle(BeanProxy.java:XXXSTRACERAW:-</v>
      </c>
      <c r="D1405" s="3">
        <f t="shared" si="43"/>
        <v>1</v>
      </c>
    </row>
    <row r="1406" spans="1:4" x14ac:dyDescent="0.35">
      <c r="A1406" t="s">
        <v>1092</v>
      </c>
      <c r="B1406">
        <v>1</v>
      </c>
      <c r="C1406" t="str">
        <f t="shared" si="42"/>
        <v>EMSG:Attempt to access bean of type "EligiblePayPlans_Ext" id=XXX with a null bundleSTRACE:deployment.pc.war//com.guidewire.pl.system.entity.proxy.BeanProxy.checkIsInBundle(BeanProxy.java:XXXSTRACERAW:-</v>
      </c>
      <c r="D1406" s="3">
        <f t="shared" si="43"/>
        <v>1</v>
      </c>
    </row>
    <row r="1407" spans="1:4" x14ac:dyDescent="0.35">
      <c r="A1407" t="s">
        <v>1248</v>
      </c>
      <c r="B1407">
        <v>1</v>
      </c>
      <c r="C1407" t="str">
        <f t="shared" si="42"/>
        <v>EMSG:Attempt to access bean of type "HOGarage_Ext" id=XXX with a null bundleSTRACE:deployment.pc.war//com.guidewire.pl.system.entity.proxy.BeanProxy.checkIsInBundle(BeanProxy.java:XXXSTRACERAW:-</v>
      </c>
      <c r="D1407" s="3">
        <f t="shared" si="43"/>
        <v>1</v>
      </c>
    </row>
    <row r="1408" spans="1:4" x14ac:dyDescent="0.35">
      <c r="A1408" t="s">
        <v>894</v>
      </c>
      <c r="B1408">
        <v>1</v>
      </c>
      <c r="C1408" t="str">
        <f t="shared" si="42"/>
        <v>EMSG:Attempt to access bean of type "Message" id=XXX with a null bundleSTRACE:deployment.pc.war//com.guidewire.pl.system.entity.proxy.BeanProxy.checkIsInBundle(BeanProxy.java:XXXSTRACERAW:-</v>
      </c>
      <c r="D1408" s="3">
        <f t="shared" si="43"/>
        <v>1</v>
      </c>
    </row>
    <row r="1409" spans="1:4" x14ac:dyDescent="0.35">
      <c r="A1409" t="s">
        <v>1716</v>
      </c>
      <c r="B1409">
        <v>1</v>
      </c>
      <c r="C1409" t="str">
        <f t="shared" si="42"/>
        <v>EMSG:Attempt to access bean of type "PUPVehicleOper_PUE" id=XXX with a null bundleSTRACE:deployment.pc.war//com.guidewire.pl.system.entity.proxy.BeanProxy.checkIsInBundle(BeanProxy.java:XXXSTRACERAW:-</v>
      </c>
      <c r="D1409" s="3">
        <f t="shared" si="43"/>
        <v>1</v>
      </c>
    </row>
    <row r="1410" spans="1:4" x14ac:dyDescent="0.35">
      <c r="A1410" t="s">
        <v>1717</v>
      </c>
      <c r="B1410">
        <v>1</v>
      </c>
      <c r="C1410" t="str">
        <f t="shared" ref="C1410:C1473" si="44">LEFT(A1410,255)</f>
        <v>EMSG:Attempt to access bean of type "PUPWatercraft_PUE" id=XXX with a null bundleSTRACE:deployment.pc.war//com.guidewire.pl.system.entity.proxy.BeanProxy.checkIsInBundle(BeanProxy.java:XXXSTRACERAW:-</v>
      </c>
      <c r="D1410" s="3">
        <f t="shared" ref="D1410:D1473" si="45">IF(AND((B1410/10)&lt;1,(B1410/10)&gt;0),1,(B1410/10)*130%)</f>
        <v>1</v>
      </c>
    </row>
    <row r="1411" spans="1:4" x14ac:dyDescent="0.35">
      <c r="A1411" t="s">
        <v>1718</v>
      </c>
      <c r="B1411">
        <v>1</v>
      </c>
      <c r="C1411" t="str">
        <f t="shared" si="44"/>
        <v>EMSG:Attempt to access bean of type "PolicyAddress" id=XXX with a null bundleSTRACE:deployment.pc.war//com.guidewire.pl.system.entity.proxy.BeanProxy.checkIsInBundle(BeanProxy.java:XXXSTRACERAW:-</v>
      </c>
      <c r="D1411" s="3">
        <f t="shared" si="45"/>
        <v>1</v>
      </c>
    </row>
    <row r="1412" spans="1:4" x14ac:dyDescent="0.35">
      <c r="A1412" t="s">
        <v>1719</v>
      </c>
      <c r="B1412">
        <v>1</v>
      </c>
      <c r="C1412" t="str">
        <f t="shared" si="44"/>
        <v>EMSG:Attempt to access bean of type "PolicyLocation" id=XXX with a null bundleSTRACE:deployment.pc.war//com.guidewire.pl.system.entity.proxy.BeanProxy.checkIsInBundle(BeanProxy.java:XXXSTRACERAW:-</v>
      </c>
      <c r="D1412" s="3">
        <f t="shared" si="45"/>
        <v>1</v>
      </c>
    </row>
    <row r="1413" spans="1:4" x14ac:dyDescent="0.35">
      <c r="A1413" t="s">
        <v>1720</v>
      </c>
      <c r="B1413">
        <v>1</v>
      </c>
      <c r="C1413" t="str">
        <f t="shared" si="44"/>
        <v>EMSG:Attempt to access bean of type "PremiumComponent_Ext" id=XXX with a null bundleSTRACE:deployment.pc.war//com.guidewire.pl.system.entity.proxy.BeanProxy.checkIsInBundle(BeanProxy.java:XXXSTRACERAW:-</v>
      </c>
      <c r="D1413" s="3">
        <f t="shared" si="45"/>
        <v>1</v>
      </c>
    </row>
    <row r="1414" spans="1:4" x14ac:dyDescent="0.35">
      <c r="A1414" t="s">
        <v>1721</v>
      </c>
      <c r="B1414">
        <v>1</v>
      </c>
      <c r="C1414" t="str">
        <f t="shared" si="44"/>
        <v>EMSG:Attempt to access bean of type "ULPolicy_PUE" id=XXX with a null bundleSTRACE:deployment.pc.war//com.guidewire.pl.system.entity.proxy.BeanProxy.checkIsInBundle(BeanProxy.java:XXXSTRACERAW:-</v>
      </c>
      <c r="D1414" s="3">
        <f t="shared" si="45"/>
        <v>1</v>
      </c>
    </row>
    <row r="1415" spans="1:4" x14ac:dyDescent="0.35">
      <c r="A1415" t="s">
        <v>1722</v>
      </c>
      <c r="B1415">
        <v>1</v>
      </c>
      <c r="C1415" t="str">
        <f t="shared" si="44"/>
        <v>EMSG:BREANNA MILLERSTRACE:com.farmers.config.pa.validator.BrightlineValidator.validateQuoteBrightlineRules(BrightlineValidator.gs:XXXSTRACERAW:-</v>
      </c>
      <c r="D1415" s="3">
        <f t="shared" si="45"/>
        <v>1</v>
      </c>
    </row>
    <row r="1416" spans="1:4" x14ac:dyDescent="0.35">
      <c r="A1416" t="s">
        <v>1723</v>
      </c>
      <c r="B1416">
        <v>1</v>
      </c>
      <c r="C1416" t="str">
        <f t="shared" si="44"/>
        <v>EMSG:BRIAN COOPERSTRACE:com.farmers.config.pa.validator.BrightlineValidator.validateQuoteBrightlineRules(BrightlineValidator.gs:XXXSTRACERAW:-</v>
      </c>
      <c r="D1416" s="3">
        <f t="shared" si="45"/>
        <v>1</v>
      </c>
    </row>
    <row r="1417" spans="1:4" x14ac:dyDescent="0.35">
      <c r="A1417" t="s">
        <v>1724</v>
      </c>
      <c r="B1417">
        <v>1</v>
      </c>
      <c r="C1417" t="str">
        <f t="shared" si="44"/>
        <v>EMSG:BRUCE CORRELLSTRACE:com.farmers.config.pa.validator.BrightlineValidator.validateQuoteBrightlineRules(BrightlineValidator.gs:XXXSTRACERAW:-</v>
      </c>
      <c r="D1417" s="3">
        <f t="shared" si="45"/>
        <v>1</v>
      </c>
    </row>
    <row r="1418" spans="1:4" x14ac:dyDescent="0.35">
      <c r="A1418" t="s">
        <v>1725</v>
      </c>
      <c r="B1418">
        <v>1</v>
      </c>
      <c r="C1418" t="str">
        <f t="shared" si="44"/>
        <v>EMSG:BRYAN RUFNERSTRACE:com.farmers.config.pa.validator.BrightlineValidator.validateQuoteBrightlineRules(BrightlineValidator.gs:XXXSTRACERAW:-</v>
      </c>
      <c r="D1418" s="3">
        <f t="shared" si="45"/>
        <v>1</v>
      </c>
    </row>
    <row r="1419" spans="1:4" x14ac:dyDescent="0.35">
      <c r="A1419" t="s">
        <v>1726</v>
      </c>
      <c r="B1419">
        <v>1</v>
      </c>
      <c r="C1419" t="str">
        <f t="shared" si="44"/>
        <v>EMSG:Bean should already have its retired field set by the bundleSTRACE:deployment.pc.war//com.guidewire.pl.system.bundle.InternalFieldsCallback.beforeRemove(InternalFieldsCallback.java:XXXSTRACERAW:-</v>
      </c>
      <c r="D1419" s="3">
        <f t="shared" si="45"/>
        <v>1</v>
      </c>
    </row>
    <row r="1420" spans="1:4" x14ac:dyDescent="0.35">
      <c r="A1420" t="s">
        <v>1727</v>
      </c>
      <c r="B1420">
        <v>1</v>
      </c>
      <c r="C1420" t="str">
        <f t="shared" si="44"/>
        <v>EMSG:Brenda CampbellSTRACE:com.farmers.config.pa.validator.BrightlineValidator.validateQuoteBrightlineRules(BrightlineValidator.gs:XXXSTRACERAW:-</v>
      </c>
      <c r="D1420" s="3">
        <f t="shared" si="45"/>
        <v>1</v>
      </c>
    </row>
    <row r="1421" spans="1:4" x14ac:dyDescent="0.35">
      <c r="A1421" t="s">
        <v>1728</v>
      </c>
      <c r="B1421">
        <v>1</v>
      </c>
      <c r="C1421" t="str">
        <f t="shared" si="44"/>
        <v>EMSG:CLINTON JONESSTRACE:gw.job.QuoteProcess.requestQuote(QuoteProcess.gs:XXXSTRACERAW:-</v>
      </c>
      <c r="D1421" s="3">
        <f t="shared" si="45"/>
        <v>1</v>
      </c>
    </row>
    <row r="1422" spans="1:4" x14ac:dyDescent="0.35">
      <c r="A1422" t="s">
        <v>1729</v>
      </c>
      <c r="B1422">
        <v>1</v>
      </c>
      <c r="C1422" t="str">
        <f t="shared" si="44"/>
        <v>EMSG:COLLETTE WOMACKSTRACE:com.farmers.config.pa.validator.BrightlineValidator.validateQuoteBrightlineRules(BrightlineValidator.gs:XXXSTRACERAW:-</v>
      </c>
      <c r="D1422" s="3">
        <f t="shared" si="45"/>
        <v>1</v>
      </c>
    </row>
    <row r="1423" spans="1:4" x14ac:dyDescent="0.35">
      <c r="A1423" t="s">
        <v>1730</v>
      </c>
      <c r="B1423">
        <v>1</v>
      </c>
      <c r="C1423" t="str">
        <f t="shared" si="44"/>
        <v>EMSG:COLLETTE WOMACKSTRACE:gw.job.QuoteProcess.requestQuote(QuoteProcess.gs:XXXSTRACERAW:-</v>
      </c>
      <c r="D1423" s="3">
        <f t="shared" si="45"/>
        <v>1</v>
      </c>
    </row>
    <row r="1424" spans="1:4" x14ac:dyDescent="0.35">
      <c r="A1424" t="s">
        <v>1731</v>
      </c>
      <c r="B1424">
        <v>1</v>
      </c>
      <c r="C1424" t="str">
        <f t="shared" si="44"/>
        <v>EMSG:CORTENEY PETITSTRACE:com.farmers.config.pa.validator.BrightlineValidator.validateQuoteBrightlineRules(BrightlineValidator.gs:XXXSTRACERAW:-</v>
      </c>
      <c r="D1424" s="3">
        <f t="shared" si="45"/>
        <v>1</v>
      </c>
    </row>
    <row r="1425" spans="1:4" x14ac:dyDescent="0.35">
      <c r="A1425" t="s">
        <v>1732</v>
      </c>
      <c r="B1425">
        <v>1</v>
      </c>
      <c r="C1425" t="str">
        <f t="shared" si="44"/>
        <v>EMSG:CYNTHIA MINJAREZSTRACE:com.farmers.config.pa.validator.BrightlineValidator.validateQuoteBrightlineRules(BrightlineValidator.gs:XXXSTRACERAW:-</v>
      </c>
      <c r="D1425" s="3">
        <f t="shared" si="45"/>
        <v>1</v>
      </c>
    </row>
    <row r="1426" spans="1:4" x14ac:dyDescent="0.35">
      <c r="A1426" t="s">
        <v>1733</v>
      </c>
      <c r="B1426">
        <v>1</v>
      </c>
      <c r="C1426" t="str">
        <f t="shared" si="44"/>
        <v>EMSG:CYNTHIA MINJAREZSTRACE:gw.job.QuoteProcess.requestQuote(QuoteProcess.gs:XXXSTRACERAW:-</v>
      </c>
      <c r="D1426" s="3">
        <f t="shared" si="45"/>
        <v>1</v>
      </c>
    </row>
    <row r="1427" spans="1:4" x14ac:dyDescent="0.35">
      <c r="A1427" t="s">
        <v>1028</v>
      </c>
      <c r="B1427">
        <v>1</v>
      </c>
      <c r="C1427" t="str">
        <f t="shared" si="44"/>
        <v>EMSG:Cannot create Windstorm/Hail/Tropical Cyclone Exclusion because it already exists.STRACE:deployment.pc.war//com.guidewire.pc.domain.coverage.impl.CoverableImpl.createExclusion(CoverableImpl.java:XXXSTRACERAW:-</v>
      </c>
      <c r="D1427" s="3">
        <f t="shared" si="45"/>
        <v>1</v>
      </c>
    </row>
    <row r="1428" spans="1:4" x14ac:dyDescent="0.35">
      <c r="A1428" t="s">
        <v>1734</v>
      </c>
      <c r="B1428">
        <v>1</v>
      </c>
      <c r="C1428" t="str">
        <f t="shared" si="44"/>
        <v>EMSG:Cannot resolve an incident record XXX of contact role Incident Entity PCR - XXX to a single driver with Contact Roles Daniel Huerta : XXXMARIA HUERTA : XXXSTRACE:com.farmers.chargeability.pa.info.PAIncidentInfoDto.mapFromEntity(PAIncidentInfoDto.gs:X</v>
      </c>
      <c r="D1428" s="3">
        <f t="shared" si="45"/>
        <v>1</v>
      </c>
    </row>
    <row r="1429" spans="1:4" x14ac:dyDescent="0.35">
      <c r="A1429" t="s">
        <v>1735</v>
      </c>
      <c r="B1429">
        <v>1</v>
      </c>
      <c r="C1429" t="str">
        <f t="shared" si="44"/>
        <v>EMSG:Cannot resolve an incident record XXX of contact role Incident Entity PCR - XXX to a single driver with Contact Roles Esther Ornelas : XXXSTRACE:com.farmers.chargeability.pa.info.PAIncidentInfoDto.mapFromEntity(PAIncidentInfoDto.gs:XXXSTRACERAW:-</v>
      </c>
      <c r="D1429" s="3">
        <f t="shared" si="45"/>
        <v>1</v>
      </c>
    </row>
    <row r="1430" spans="1:4" x14ac:dyDescent="0.35">
      <c r="A1430" t="s">
        <v>1736</v>
      </c>
      <c r="B1430">
        <v>1</v>
      </c>
      <c r="C1430" t="str">
        <f t="shared" si="44"/>
        <v>EMSG:Cannot resolve an incident record XXX of contact role Incident Entity PCR - XXX to a single driver with Contact Roles Sofia Changuin : XXXSTRACE:com.farmers.chargeability.pa.info.PAIncidentInfoDto.mapFromEntity(PAIncidentInfoDto.gs:XXXSTRACERAW:-</v>
      </c>
      <c r="D1430" s="3">
        <f t="shared" si="45"/>
        <v>1</v>
      </c>
    </row>
    <row r="1431" spans="1:4" x14ac:dyDescent="0.35">
      <c r="A1431" t="s">
        <v>1737</v>
      </c>
      <c r="B1431">
        <v>1</v>
      </c>
      <c r="C1431" t="str">
        <f t="shared" si="44"/>
        <v>EMSG:Cannot start a Policy Change with effective date XXX/XXX/XXX on policy XXX: There is an open rewrite transactionSTRACE:deployment.pc.war//com.guidewire.pc.domain.job.impl.JobImpl.checkCanStartJob(JobImpl.java:XXXSTRACERAW:-</v>
      </c>
      <c r="D1431" s="3">
        <f t="shared" si="45"/>
        <v>1</v>
      </c>
    </row>
    <row r="1432" spans="1:4" x14ac:dyDescent="0.35">
      <c r="A1432" t="s">
        <v>113</v>
      </c>
      <c r="B1432">
        <v>1</v>
      </c>
      <c r="C1432" t="str">
        <f t="shared" si="44"/>
        <v>EMSG:Cannot withdraw an LUW child job where the child is primary (significant transaction). Only the parent PolicyChange Job XXX can be withdrawn.STRACE:gw.acc.luw.LUWCoordinator.withdrawJob(LUWCoordinator.gs:XXXSTRACERAW:-</v>
      </c>
      <c r="D1432" s="3">
        <f t="shared" si="45"/>
        <v>1</v>
      </c>
    </row>
    <row r="1433" spans="1:4" x14ac:dyDescent="0.35">
      <c r="A1433" t="s">
        <v>1738</v>
      </c>
      <c r="B1433">
        <v>1</v>
      </c>
      <c r="C1433" t="str">
        <f t="shared" si="44"/>
        <v>EMSG:Carlos Reyes-vasquezSTRACE:com.farmers.config.pa.validator.BrightlineValidator.validateQuoteBrightlineRules(BrightlineValidator.gs:XXXSTRACERAW:-</v>
      </c>
      <c r="D1433" s="3">
        <f t="shared" si="45"/>
        <v>1</v>
      </c>
    </row>
    <row r="1434" spans="1:4" x14ac:dyDescent="0.35">
      <c r="A1434" t="s">
        <v>1739</v>
      </c>
      <c r="B1434">
        <v>1</v>
      </c>
      <c r="C1434" t="str">
        <f t="shared" si="44"/>
        <v>EMSG:Carlos Reyes-vasquezSTRACE:gw.job.QuoteProcess.requestQuote(QuoteProcess.gs:XXXSTRACERAW:-</v>
      </c>
      <c r="D1434" s="3">
        <f t="shared" si="45"/>
        <v>1</v>
      </c>
    </row>
    <row r="1435" spans="1:4" x14ac:dyDescent="0.35">
      <c r="A1435" t="s">
        <v>1740</v>
      </c>
      <c r="B1435">
        <v>1</v>
      </c>
      <c r="C1435" t="str">
        <f t="shared" si="44"/>
        <v>EMSG:Chris McmanawaySTRACE:com.farmers.config.pa.validator.BrightlineValidator.validateQuoteBrightlineRules(BrightlineValidator.gs:XXXSTRACERAW:-</v>
      </c>
      <c r="D1435" s="3">
        <f t="shared" si="45"/>
        <v>1</v>
      </c>
    </row>
    <row r="1436" spans="1:4" x14ac:dyDescent="0.35">
      <c r="A1436" t="s">
        <v>1741</v>
      </c>
      <c r="B1436">
        <v>1</v>
      </c>
      <c r="C1436" t="str">
        <f t="shared" si="44"/>
        <v>EMSG:Chris McmanawaySTRACE:gw.job.QuoteProcess.requestQuote(QuoteProcess.gs:XXXSTRACERAW:-</v>
      </c>
      <c r="D1436" s="3">
        <f t="shared" si="45"/>
        <v>1</v>
      </c>
    </row>
    <row r="1437" spans="1:4" x14ac:dyDescent="0.35">
      <c r="A1437" t="s">
        <v>1742</v>
      </c>
      <c r="B1437">
        <v>1</v>
      </c>
      <c r="C1437" t="str">
        <f t="shared" si="44"/>
        <v>EMSG:Christian LongSTRACE:com.farmers.config.pa.validator.BrightlineValidator.validateQuoteBrightlineRules(BrightlineValidator.gs:XXXSTRACERAW:-</v>
      </c>
      <c r="D1437" s="3">
        <f t="shared" si="45"/>
        <v>1</v>
      </c>
    </row>
    <row r="1438" spans="1:4" x14ac:dyDescent="0.35">
      <c r="A1438" t="s">
        <v>1743</v>
      </c>
      <c r="B1438">
        <v>1</v>
      </c>
      <c r="C1438" t="str">
        <f t="shared" si="44"/>
        <v>EMSG:Christian LongSTRACE:gw.job.QuoteProcess.requestQuote(QuoteProcess.gs:XXXSTRACERAW:-</v>
      </c>
      <c r="D1438" s="3">
        <f t="shared" si="45"/>
        <v>1</v>
      </c>
    </row>
    <row r="1439" spans="1:4" x14ac:dyDescent="0.35">
      <c r="A1439" t="s">
        <v>1744</v>
      </c>
      <c r="B1439">
        <v>1</v>
      </c>
      <c r="C1439" t="str">
        <f t="shared" si="44"/>
        <v>EMSG:Christy MunroeSTRACE:com.farmers.config.pa.validator.BrightlineValidator.validateQuoteBrightlineRules(BrightlineValidator.gs:XXXSTRACERAW:-</v>
      </c>
      <c r="D1439" s="3">
        <f t="shared" si="45"/>
        <v>1</v>
      </c>
    </row>
    <row r="1440" spans="1:4" x14ac:dyDescent="0.35">
      <c r="A1440" t="s">
        <v>1745</v>
      </c>
      <c r="B1440">
        <v>1</v>
      </c>
      <c r="C1440" t="str">
        <f t="shared" si="44"/>
        <v>EMSG:Corey WrightSTRACE:com.farmers.config.pa.validator.BrightlineValidator.validateQuoteBrightlineRules(BrightlineValidator.gs:XXXSTRACERAW:-</v>
      </c>
      <c r="D1440" s="3">
        <f t="shared" si="45"/>
        <v>1</v>
      </c>
    </row>
    <row r="1441" spans="1:4" x14ac:dyDescent="0.35">
      <c r="A1441" t="s">
        <v>1746</v>
      </c>
      <c r="B1441">
        <v>1</v>
      </c>
      <c r="C1441" t="str">
        <f t="shared" si="44"/>
        <v>EMSG:Corey WrightSTRACE:gw.job.QuoteProcess.requestQuote(QuoteProcess.gs:XXXSTRACERAW:-</v>
      </c>
      <c r="D1441" s="3">
        <f t="shared" si="45"/>
        <v>1</v>
      </c>
    </row>
    <row r="1442" spans="1:4" x14ac:dyDescent="0.35">
      <c r="A1442" t="s">
        <v>574</v>
      </c>
      <c r="B1442">
        <v>1</v>
      </c>
      <c r="C1442" t="str">
        <f t="shared" si="44"/>
        <v>EMSG:Correct or Remove Prior Auto Flex Policy # for prior policy benefit transfer.STRACE:com.farmers.config.decliningdeductible.PAFlexDecliningDeductibleHelper.validatePriorPolicyNumber(PAFlexDecliningDeductibleHelper.gs:XXXSTRACERAW:-</v>
      </c>
      <c r="D1442" s="3">
        <f t="shared" si="45"/>
        <v>1</v>
      </c>
    </row>
    <row r="1443" spans="1:4" x14ac:dyDescent="0.35">
      <c r="A1443" t="s">
        <v>967</v>
      </c>
      <c r="B1443">
        <v>1</v>
      </c>
      <c r="C1443" t="str">
        <f t="shared" si="44"/>
        <v>EMSG:Correct the VIN XXXSTRACE:com.farmers.config.pa.VIN.VINProcess.invokeVINService(VINProcess.gs:XXXSTRACERAW:-</v>
      </c>
      <c r="D1443" s="3">
        <f t="shared" si="45"/>
        <v>1</v>
      </c>
    </row>
    <row r="1444" spans="1:4" x14ac:dyDescent="0.35">
      <c r="A1444" t="s">
        <v>1150</v>
      </c>
      <c r="B1444">
        <v>1</v>
      </c>
      <c r="C1444" t="str">
        <f t="shared" si="44"/>
        <v>EMSG:Could not deserialize typecode  for typelist typekey.StateSTRACE:edge.servlet.jsonrpc.marshalling.TypeKeyInstantiator.createFromString(TypeKeyInstantiator.gs:XXXSTRACERAW:-</v>
      </c>
      <c r="D1444" s="3">
        <f t="shared" si="45"/>
        <v>1</v>
      </c>
    </row>
    <row r="1445" spans="1:4" x14ac:dyDescent="0.35">
      <c r="A1445" t="s">
        <v>1747</v>
      </c>
      <c r="B1445">
        <v>1</v>
      </c>
      <c r="C1445" t="str">
        <f t="shared" si="44"/>
        <v>EMSG:Could not map property ErrorDetailValueSTRACE:deployment.pc.war//gw.internal.xml.gx.GxRuntime.createElement(GxRuntime.java:XXXSTRACERAW:-</v>
      </c>
      <c r="D1445" s="3">
        <f t="shared" si="45"/>
        <v>1</v>
      </c>
    </row>
    <row r="1446" spans="1:4" x14ac:dyDescent="0.35">
      <c r="A1446" t="s">
        <v>1249</v>
      </c>
      <c r="B1446">
        <v>1</v>
      </c>
      <c r="C1446" t="str">
        <f t="shared" si="44"/>
        <v>EMSG:Create a new submission. Policy is not eligible for Rewrite Remainder of Term as  one or more policy(s) of PNI/Spouse have been cancelled due to non pay.STRACE:gw.job.QuoteProcess.requestQuote(QuoteProcess.gs:XXXSTRACERAW:-</v>
      </c>
      <c r="D1446" s="3">
        <f t="shared" si="45"/>
        <v>1</v>
      </c>
    </row>
    <row r="1447" spans="1:4" x14ac:dyDescent="0.35">
      <c r="A1447" t="s">
        <v>1748</v>
      </c>
      <c r="B1447">
        <v>1</v>
      </c>
      <c r="C1447" t="str">
        <f t="shared" si="44"/>
        <v>EMSG:DAMAIN PLACIDESTRACE:com.farmers.config.pa.validator.BrightlineValidator.validateQuoteBrightlineRules(BrightlineValidator.gs:XXXSTRACERAW:-</v>
      </c>
      <c r="D1447" s="3">
        <f t="shared" si="45"/>
        <v>1</v>
      </c>
    </row>
    <row r="1448" spans="1:4" x14ac:dyDescent="0.35">
      <c r="A1448" t="s">
        <v>1749</v>
      </c>
      <c r="B1448">
        <v>1</v>
      </c>
      <c r="C1448" t="str">
        <f t="shared" si="44"/>
        <v>EMSG:DAMAIN PLACIDESTRACE:gw.job.QuoteProcess.requestQuote(QuoteProcess.gs:XXXSTRACERAW:-</v>
      </c>
      <c r="D1448" s="3">
        <f t="shared" si="45"/>
        <v>1</v>
      </c>
    </row>
    <row r="1449" spans="1:4" x14ac:dyDescent="0.35">
      <c r="A1449" t="s">
        <v>1750</v>
      </c>
      <c r="B1449">
        <v>1</v>
      </c>
      <c r="C1449" t="str">
        <f t="shared" si="44"/>
        <v>EMSG:DAMIAN PLACIDESTRACE:com.farmers.config.pa.validator.BrightlineValidator.validateQuoteBrightlineRules(BrightlineValidator.gs:XXXSTRACERAW:-</v>
      </c>
      <c r="D1449" s="3">
        <f t="shared" si="45"/>
        <v>1</v>
      </c>
    </row>
    <row r="1450" spans="1:4" x14ac:dyDescent="0.35">
      <c r="A1450" t="s">
        <v>1751</v>
      </c>
      <c r="B1450">
        <v>1</v>
      </c>
      <c r="C1450" t="str">
        <f t="shared" si="44"/>
        <v>EMSG:DAMIAN PLACIDESTRACE:gw.job.QuoteProcess.requestQuote(QuoteProcess.gs:XXXSTRACERAW:-</v>
      </c>
      <c r="D1450" s="3">
        <f t="shared" si="45"/>
        <v>1</v>
      </c>
    </row>
    <row r="1451" spans="1:4" x14ac:dyDescent="0.35">
      <c r="A1451" t="s">
        <v>1752</v>
      </c>
      <c r="B1451">
        <v>1</v>
      </c>
      <c r="C1451" t="str">
        <f t="shared" si="44"/>
        <v>EMSG:DAVID PASKARSTRACE:com.farmers.config.pa.validator.BrightlineValidator.validateQuoteBrightlineRules(BrightlineValidator.gs:XXXSTRACERAW:-</v>
      </c>
      <c r="D1451" s="3">
        <f t="shared" si="45"/>
        <v>1</v>
      </c>
    </row>
    <row r="1452" spans="1:4" x14ac:dyDescent="0.35">
      <c r="A1452" t="s">
        <v>1753</v>
      </c>
      <c r="B1452">
        <v>1</v>
      </c>
      <c r="C1452" t="str">
        <f t="shared" si="44"/>
        <v>EMSG:DAYTIN LESTERSTRACE:com.farmers.config.pa.validator.BrightlineValidator.validateQuoteBrightlineRules(BrightlineValidator.gs:XXXSTRACERAW:-</v>
      </c>
      <c r="D1452" s="3">
        <f t="shared" si="45"/>
        <v>1</v>
      </c>
    </row>
    <row r="1453" spans="1:4" x14ac:dyDescent="0.35">
      <c r="A1453" t="s">
        <v>1754</v>
      </c>
      <c r="B1453">
        <v>1</v>
      </c>
      <c r="C1453" t="str">
        <f t="shared" si="44"/>
        <v>EMSG:DAYTIN LESTERSTRACE:gw.job.QuoteProcess.requestQuote(QuoteProcess.gs:XXXSTRACERAW:-</v>
      </c>
      <c r="D1453" s="3">
        <f t="shared" si="45"/>
        <v>1</v>
      </c>
    </row>
    <row r="1454" spans="1:4" ht="29" x14ac:dyDescent="0.35">
      <c r="A1454" s="4" t="s">
        <v>1755</v>
      </c>
      <c r="B1454">
        <v>1</v>
      </c>
      <c r="C1454" t="str">
        <f t="shared" si="44"/>
        <v>EMSG:Database bean version conflict : XXXSTRACE:Darrington', and it was changed by Margaret L at XXX/XXX/XXX XXX:XXX AM. Please cancel and retry your change.
	at deployment.pc.war//com.guidewire.pl.system.database.DatabaseChangedBeanWriter.createConcurren</v>
      </c>
      <c r="D1454" s="3">
        <f t="shared" si="45"/>
        <v>1</v>
      </c>
    </row>
    <row r="1455" spans="1:4" x14ac:dyDescent="0.35">
      <c r="A1455" t="s">
        <v>1756</v>
      </c>
      <c r="B1455">
        <v>1</v>
      </c>
      <c r="C1455" t="str">
        <f t="shared" si="44"/>
        <v>EMSG:David McMenaminSTRACE:com.farmers.config.pa.validator.BrightlineValidator.validateQuoteBrightlineRules(BrightlineValidator.gs:XXXSTRACERAW:-</v>
      </c>
      <c r="D1455" s="3">
        <f t="shared" si="45"/>
        <v>1</v>
      </c>
    </row>
    <row r="1456" spans="1:4" x14ac:dyDescent="0.35">
      <c r="A1456" t="s">
        <v>926</v>
      </c>
      <c r="B1456">
        <v>1</v>
      </c>
      <c r="C1456" t="str">
        <f t="shared" si="44"/>
        <v>EMSG:Deadlock detected while loading classesSTRACE:deployment.pc.war//gw.lang.reflect.module.TypeSystemLockHelper.dumpAllStackTraces(TypeSystemLockHelper.java:XXXSTRACERAW:-</v>
      </c>
      <c r="D1456" s="3">
        <f t="shared" si="45"/>
        <v>1</v>
      </c>
    </row>
    <row r="1457" spans="1:4" x14ac:dyDescent="0.35">
      <c r="A1457" t="s">
        <v>1757</v>
      </c>
      <c r="B1457">
        <v>1</v>
      </c>
      <c r="C1457" t="str">
        <f t="shared" si="44"/>
        <v>EMSG:Drivers who do not qualify for the Good Driver Discount must have a clean driving record and be accompanied on the policy by a Good Driver to be eligible for a policy with Farmers.STRACE:gw.job.QuoteProcess.requestQuote(QuoteProcess.gs:XXXSTRACERAW:-</v>
      </c>
      <c r="D1457" s="3">
        <f t="shared" si="45"/>
        <v>1</v>
      </c>
    </row>
    <row r="1458" spans="1:4" x14ac:dyDescent="0.35">
      <c r="A1458" t="s">
        <v>927</v>
      </c>
      <c r="B1458">
        <v>1</v>
      </c>
      <c r="C1458" t="str">
        <f t="shared" si="44"/>
        <v>EMSG:Duplicated instance found in array of com.farmers.edge.capabilities.policyjob.lob.personalumbrella.coverables.dto.PUHouseHoldMemberDTO. DtoKey = XXXSTRACE:edge.util.mapping.ArrayUpdater.checkDuplicatedDto(ArrayUpdater.gs:XXXSTRACERAW:-</v>
      </c>
      <c r="D1458" s="3">
        <f t="shared" si="45"/>
        <v>1</v>
      </c>
    </row>
    <row r="1459" spans="1:4" ht="29" x14ac:dyDescent="0.35">
      <c r="A1459" s="4" t="s">
        <v>1758</v>
      </c>
      <c r="B1459">
        <v>1</v>
      </c>
      <c r="C1459" t="str">
        <f t="shared" si="44"/>
        <v>EMSG:Dwelling at XXXSTRACE:XXX Brookview Trce, Hoover, AL: Perils on Personal Property is now available and its value must be verified by the user.
	at gw.api.extension.PCExtensionInterfacesMapper$block_XXX_.invoke(PCExtensionInterfacesMapper.gs:XXXSTRACE</v>
      </c>
      <c r="D1459" s="3">
        <f t="shared" si="45"/>
        <v>1</v>
      </c>
    </row>
    <row r="1460" spans="1:4" ht="29" x14ac:dyDescent="0.35">
      <c r="A1460" s="4" t="s">
        <v>1759</v>
      </c>
      <c r="B1460">
        <v>1</v>
      </c>
      <c r="C1460" t="str">
        <f t="shared" si="44"/>
        <v>EMSG:Dwelling at XXXSTRACE:XXX Byrd Rd, Stapleton, AL: Perils on Personal Property is now available and its value must be verified by the user.
	at gw.api.extension.PCExtensionInterfacesMapper$block_XXX_.invoke(PCExtensionInterfacesMapper.gs:XXXSTRACERAW:</v>
      </c>
      <c r="D1460" s="3">
        <f t="shared" si="45"/>
        <v>1</v>
      </c>
    </row>
    <row r="1461" spans="1:4" ht="29" x14ac:dyDescent="0.35">
      <c r="A1461" s="4" t="s">
        <v>1760</v>
      </c>
      <c r="B1461">
        <v>1</v>
      </c>
      <c r="C1461" t="str">
        <f t="shared" si="44"/>
        <v>EMSG:Dwelling at XXXSTRACE:XXX Callaway Ln, Meridianville, AL: Perils on Personal Property is now available and its value must be verified by the user.
	at gw.api.extension.PCExtensionInterfacesMapper$block_XXX_.invoke(PCExtensionInterfacesMapper.gs:XXXST</v>
      </c>
      <c r="D1461" s="3">
        <f t="shared" si="45"/>
        <v>1</v>
      </c>
    </row>
    <row r="1462" spans="1:4" ht="29" x14ac:dyDescent="0.35">
      <c r="A1462" s="4" t="s">
        <v>1761</v>
      </c>
      <c r="B1462">
        <v>1</v>
      </c>
      <c r="C1462" t="str">
        <f t="shared" si="44"/>
        <v>EMSG:Dwelling at XXXSTRACE:XXX Douglas St, Madison, AL: Perils on Personal Property is now available and its value must be verified by the user.
	at gw.api.extension.PCExtensionInterfacesMapper$block_XXX_.invoke(PCExtensionInterfacesMapper.gs:XXXSTRACERAW</v>
      </c>
      <c r="D1462" s="3">
        <f t="shared" si="45"/>
        <v>1</v>
      </c>
    </row>
    <row r="1463" spans="1:4" ht="29" x14ac:dyDescent="0.35">
      <c r="A1463" s="4" t="s">
        <v>1762</v>
      </c>
      <c r="B1463">
        <v>1</v>
      </c>
      <c r="C1463" t="str">
        <f t="shared" si="44"/>
        <v>EMSG:Dwelling at XXXSTRACE:XXX Forest Ave NW, Fort Payne, AL: Perils on Personal Property is now available and its value must be verified by the user.
	at gw.api.extension.PCExtensionInterfacesMapper$block_XXX_.invoke(PCExtensionInterfacesMapper.gs:XXXSTR</v>
      </c>
      <c r="D1463" s="3">
        <f t="shared" si="45"/>
        <v>1</v>
      </c>
    </row>
    <row r="1464" spans="1:4" ht="29" x14ac:dyDescent="0.35">
      <c r="A1464" s="4" t="s">
        <v>1763</v>
      </c>
      <c r="B1464">
        <v>1</v>
      </c>
      <c r="C1464" t="str">
        <f t="shared" si="44"/>
        <v>EMSG:Dwelling at XXXSTRACE:XXX Justin Ln, Union Grove, AL: Perils on Personal Property is now available and its value must be verified by the user.
	at gw.api.extension.PCExtensionInterfacesMapper$block_XXX_.invoke(PCExtensionInterfacesMapper.gs:XXXSTRACE</v>
      </c>
      <c r="D1464" s="3">
        <f t="shared" si="45"/>
        <v>1</v>
      </c>
    </row>
    <row r="1465" spans="1:4" ht="29" x14ac:dyDescent="0.35">
      <c r="A1465" s="4" t="s">
        <v>1764</v>
      </c>
      <c r="B1465">
        <v>1</v>
      </c>
      <c r="C1465" t="str">
        <f t="shared" si="44"/>
        <v>EMSG:Dwelling at XXXSTRACE:XXX Lakewood Dr W, Mobile, AL: Perils on Personal Property is now available and its value must be verified by the user.
	at gw.api.extension.PCExtensionInterfacesMapper$block_XXX_.invoke(PCExtensionInterfacesMapper.gs:XXXSTRACER</v>
      </c>
      <c r="D1465" s="3">
        <f t="shared" si="45"/>
        <v>1</v>
      </c>
    </row>
    <row r="1466" spans="1:4" ht="29" x14ac:dyDescent="0.35">
      <c r="A1466" s="4" t="s">
        <v>1765</v>
      </c>
      <c r="B1466">
        <v>1</v>
      </c>
      <c r="C1466" t="str">
        <f t="shared" si="44"/>
        <v>EMSG:Dwelling at XXXSTRACE:XXX Madison Ln, Odenville, AL: Perils on Personal Property is now available and its value must be verified by the user.
	at gw.api.extension.PCExtensionInterfacesMapper$block_XXX_.invoke(PCExtensionInterfacesMapper.gs:XXXSTRACER</v>
      </c>
      <c r="D1466" s="3">
        <f t="shared" si="45"/>
        <v>1</v>
      </c>
    </row>
    <row r="1467" spans="1:4" ht="29" x14ac:dyDescent="0.35">
      <c r="A1467" s="4" t="s">
        <v>1766</v>
      </c>
      <c r="B1467">
        <v>1</v>
      </c>
      <c r="C1467" t="str">
        <f t="shared" si="44"/>
        <v>EMSG:Dwelling at XXXSTRACE:XXX Magnolia Pl, Birmingham, AL: Perils on Personal Property is now available and its value must be verified by the user.
	at gw.api.extension.PCExtensionInterfacesMapper$block_XXX_.invoke(PCExtensionInterfacesMapper.gs:XXXSTRAC</v>
      </c>
      <c r="D1467" s="3">
        <f t="shared" si="45"/>
        <v>1</v>
      </c>
    </row>
    <row r="1468" spans="1:4" ht="43.5" x14ac:dyDescent="0.35">
      <c r="A1468" s="4" t="s">
        <v>1767</v>
      </c>
      <c r="B1468">
        <v>1</v>
      </c>
      <c r="C1468" t="str">
        <f t="shared" si="44"/>
        <v>EMSG:Dwelling at XXXSTRACE:XXX Meadow Wood Ln, Princeton, TX: Replacement Cost Value Valuation Method on Personal Property is no longer available and has been removed. Please enter a new value.
	at gw.api.extension.PCExtensionInterfacesMapper$block_XXX_.i</v>
      </c>
      <c r="D1468" s="3">
        <f t="shared" si="45"/>
        <v>1</v>
      </c>
    </row>
    <row r="1469" spans="1:4" ht="29" x14ac:dyDescent="0.35">
      <c r="A1469" s="4" t="s">
        <v>1768</v>
      </c>
      <c r="B1469">
        <v>1</v>
      </c>
      <c r="C1469" t="str">
        <f t="shared" si="44"/>
        <v>EMSG:Dwelling at XXXSTRACE:XXX Old Rock Creek Rd, Bessemer, AL: Perils on Personal Property is now available and its value must be verified by the user.
	at gw.api.extension.PCExtensionInterfacesMapper$block_XXX_.invoke(PCExtensionInterfacesMapper.gs:XXXS</v>
      </c>
      <c r="D1469" s="3">
        <f t="shared" si="45"/>
        <v>1</v>
      </c>
    </row>
    <row r="1470" spans="1:4" ht="29" x14ac:dyDescent="0.35">
      <c r="A1470" s="4" t="s">
        <v>1769</v>
      </c>
      <c r="B1470">
        <v>1</v>
      </c>
      <c r="C1470" t="str">
        <f t="shared" si="44"/>
        <v>EMSG:Dwelling at XXXSTRACE:XXX Paradise Ln, Bessemer, AL: Perils on Personal Property is now available and its value must be verified by the user.
	at gw.api.extension.PCExtensionInterfacesMapper$block_XXX_.invoke(PCExtensionInterfacesMapper.gs:XXXSTRACER</v>
      </c>
      <c r="D1470" s="3">
        <f t="shared" si="45"/>
        <v>1</v>
      </c>
    </row>
    <row r="1471" spans="1:4" ht="29" x14ac:dyDescent="0.35">
      <c r="A1471" s="4" t="s">
        <v>1770</v>
      </c>
      <c r="B1471">
        <v>1</v>
      </c>
      <c r="C1471" t="str">
        <f t="shared" si="44"/>
        <v>EMSG:Dwelling at XXXSTRACE:XXX S XXX Rd, Miami, OK: Perils on Personal Property is now available and its value must be verified by the user.
	at gw.api.extension.PCExtensionInterfacesMapper$block_XXX_.invoke(PCExtensionInterfacesMapper.gs:XXXSTRACERAW:-</v>
      </c>
      <c r="D1471" s="3">
        <f t="shared" si="45"/>
        <v>1</v>
      </c>
    </row>
    <row r="1472" spans="1:4" ht="58" x14ac:dyDescent="0.35">
      <c r="A1472" s="4" t="s">
        <v>1771</v>
      </c>
      <c r="B1472">
        <v>1</v>
      </c>
      <c r="C1472" t="str">
        <f t="shared" si="44"/>
        <v>EMSG:Dwelling at XXXSTRACE:XXX STEINBECK AVE UNIT B, STEVENSON RANCH, CA: $XXX,XXX All Perils on Deductibles is no longer available and has been removed. Please enter a new value.; XXX, XXX/XXX/XXX, XXX/XXX/XXX, XXX: No message configured for MissingQuest</v>
      </c>
      <c r="D1472" s="3">
        <f t="shared" si="45"/>
        <v>1</v>
      </c>
    </row>
    <row r="1473" spans="1:4" ht="29" x14ac:dyDescent="0.35">
      <c r="A1473" s="4" t="s">
        <v>1772</v>
      </c>
      <c r="B1473">
        <v>1</v>
      </c>
      <c r="C1473" t="str">
        <f t="shared" si="44"/>
        <v>EMSG:Dwelling at XXXSTRACE:XXX Shadow Cove Ln, Trussville, AL: Perils on Personal Property is now available and its value must be verified by the user.
	at gw.api.extension.PCExtensionInterfacesMapper$block_XXX_.invoke(PCExtensionInterfacesMapper.gs:XXXST</v>
      </c>
      <c r="D1473" s="3">
        <f t="shared" si="45"/>
        <v>1</v>
      </c>
    </row>
    <row r="1474" spans="1:4" ht="29" x14ac:dyDescent="0.35">
      <c r="A1474" s="4" t="s">
        <v>1773</v>
      </c>
      <c r="B1474">
        <v>1</v>
      </c>
      <c r="C1474" t="str">
        <f t="shared" ref="C1474:C1537" si="46">LEFT(A1474,255)</f>
        <v>EMSG:Dwelling at XXXSTRACE:XXX St Hwy XXX, Guin, AL: Perils on Personal Property is now available and its value must be verified by the user.
	at gw.api.extension.PCExtensionInterfacesMapper$block_XXX_.invoke(PCExtensionInterfacesMapper.gs:XXXSTRACERAW:-</v>
      </c>
      <c r="D1474" s="3">
        <f t="shared" ref="D1474:D1537" si="47">IF(AND((B1474/10)&lt;1,(B1474/10)&gt;0),1,(B1474/10)*130%)</f>
        <v>1</v>
      </c>
    </row>
    <row r="1475" spans="1:4" ht="29" x14ac:dyDescent="0.35">
      <c r="A1475" s="4" t="s">
        <v>1774</v>
      </c>
      <c r="B1475">
        <v>1</v>
      </c>
      <c r="C1475" t="str">
        <f t="shared" si="46"/>
        <v>EMSG:Dwelling at XXXSTRACE:XXX Wisteria Pl SE, Decatur, AL: Perils on Personal Property is now available and its value must be verified by the user.
	at gw.api.extension.PCExtensionInterfacesMapper$block_XXX_.invoke(PCExtensionInterfacesMapper.gs:XXXSTRAC</v>
      </c>
      <c r="D1475" s="3">
        <f t="shared" si="47"/>
        <v>1</v>
      </c>
    </row>
    <row r="1476" spans="1:4" ht="29" x14ac:dyDescent="0.35">
      <c r="A1476" s="4" t="s">
        <v>1775</v>
      </c>
      <c r="B1476">
        <v>1</v>
      </c>
      <c r="C1476" t="str">
        <f t="shared" si="46"/>
        <v>EMSG:Dwelling at XXXSTRACE:XXX XXXth Ave, Atmore, AL: Perils on Personal Property is now available and its value must be verified by the user.
	at gw.api.extension.PCExtensionInterfacesMapper$block_XXX_.invoke(PCExtensionInterfacesMapper.gs:XXXSTRACERAW:-</v>
      </c>
      <c r="D1476" s="3">
        <f t="shared" si="47"/>
        <v>1</v>
      </c>
    </row>
    <row r="1477" spans="1:4" x14ac:dyDescent="0.35">
      <c r="A1477" t="s">
        <v>1776</v>
      </c>
      <c r="B1477">
        <v>1</v>
      </c>
      <c r="C1477" t="str">
        <f t="shared" si="46"/>
        <v>EMSG:ELIJAH RUSTSTRACE:com.farmers.config.pa.validator.BrightlineValidator.validateQuoteBrightlineRules(BrightlineValidator.gs:XXXSTRACERAW:-</v>
      </c>
      <c r="D1477" s="3">
        <f t="shared" si="47"/>
        <v>1</v>
      </c>
    </row>
    <row r="1478" spans="1:4" x14ac:dyDescent="0.35">
      <c r="A1478" t="s">
        <v>1777</v>
      </c>
      <c r="B1478">
        <v>1</v>
      </c>
      <c r="C1478" t="str">
        <f t="shared" si="46"/>
        <v>EMSG:ELIJAH RUSTSTRACE:gw.job.QuoteProcess.requestQuote(QuoteProcess.gs:XXXSTRACERAW:-</v>
      </c>
      <c r="D1478" s="3">
        <f t="shared" si="47"/>
        <v>1</v>
      </c>
    </row>
    <row r="1479" spans="1:4" x14ac:dyDescent="0.35">
      <c r="A1479" t="s">
        <v>1778</v>
      </c>
      <c r="B1479">
        <v>1</v>
      </c>
      <c r="C1479" t="str">
        <f t="shared" si="46"/>
        <v>EMSG:ELLIE WOLCOTTSTRACE:com.farmers.config.pa.validator.BrightlineValidator.validateQuoteBrightlineRules(BrightlineValidator.gs:XXXSTRACERAW:-</v>
      </c>
      <c r="D1479" s="3">
        <f t="shared" si="47"/>
        <v>1</v>
      </c>
    </row>
    <row r="1480" spans="1:4" x14ac:dyDescent="0.35">
      <c r="A1480" t="s">
        <v>1779</v>
      </c>
      <c r="B1480">
        <v>1</v>
      </c>
      <c r="C1480" t="str">
        <f t="shared" si="46"/>
        <v>EMSG:ELLIE WOLCOTTSTRACE:gw.job.QuoteProcess.requestQuote(QuoteProcess.gs:XXXSTRACERAW:-</v>
      </c>
      <c r="D1480" s="3">
        <f t="shared" si="47"/>
        <v>1</v>
      </c>
    </row>
    <row r="1481" spans="1:4" x14ac:dyDescent="0.35">
      <c r="A1481" t="s">
        <v>1780</v>
      </c>
      <c r="B1481">
        <v>1</v>
      </c>
      <c r="C1481" t="str">
        <f t="shared" si="46"/>
        <v>EMSG:EMILY FARRSTRACE:com.farmers.config.pa.validator.BrightlineValidator.validateQuoteBrightlineRules(BrightlineValidator.gs:XXXSTRACERAW:-</v>
      </c>
      <c r="D1481" s="3">
        <f t="shared" si="47"/>
        <v>1</v>
      </c>
    </row>
    <row r="1482" spans="1:4" x14ac:dyDescent="0.35">
      <c r="A1482" t="s">
        <v>1781</v>
      </c>
      <c r="B1482">
        <v>1</v>
      </c>
      <c r="C1482" t="str">
        <f t="shared" si="46"/>
        <v>EMSG:ERNEST CASTANEDASTRACE:com.farmers.config.pa.validator.BrightlineValidator.validateQuoteBrightlineRules(BrightlineValidator.gs:XXXSTRACERAW:-</v>
      </c>
      <c r="D1482" s="3">
        <f t="shared" si="47"/>
        <v>1</v>
      </c>
    </row>
    <row r="1483" spans="1:4" x14ac:dyDescent="0.35">
      <c r="A1483" t="s">
        <v>1782</v>
      </c>
      <c r="B1483">
        <v>1</v>
      </c>
      <c r="C1483" t="str">
        <f t="shared" si="46"/>
        <v>EMSG:ERNEST CASTANEDASTRACE:gw.job.QuoteProcess.requestQuote(QuoteProcess.gs:XXXSTRACERAW:-</v>
      </c>
      <c r="D1483" s="3">
        <f t="shared" si="47"/>
        <v>1</v>
      </c>
    </row>
    <row r="1484" spans="1:4" ht="43.5" x14ac:dyDescent="0.35">
      <c r="A1484" s="4" t="s">
        <v>1783</v>
      </c>
      <c r="B1484">
        <v>1</v>
      </c>
      <c r="C1484" t="str">
        <f t="shared" si="46"/>
        <v>EMSG:Effective ranges overlap for DriverSignal_Ext with BranchID XXX and with FixedID XXXSTRACE:Sep XXX XXX:XXX:XXX PDT XXX, Thu Mar XXX XXX:XXX:XXX PDT XXX - Sat Sep XXX XXX:XXX:XXX PDT XXX
	at deployment.pc.war//com.guidewire.pl.system.entity.proxy.EffD</v>
      </c>
      <c r="D1484" s="3">
        <f t="shared" si="47"/>
        <v>1</v>
      </c>
    </row>
    <row r="1485" spans="1:4" x14ac:dyDescent="0.35">
      <c r="A1485" t="s">
        <v>1784</v>
      </c>
      <c r="B1485">
        <v>1</v>
      </c>
      <c r="C1485" t="str">
        <f t="shared" si="46"/>
        <v>EMSG:Effective ranges overlap for PAModifier with BranchID XXX and with FixedID XXXSTRACE:deployment.pc.war//com.guidewire.pl.system.entity.proxy.EffDatedBeanProxy.checkForOverlaps(EffDatedBeanProxy.java:XXXSTRACERAW:-</v>
      </c>
      <c r="D1485" s="3">
        <f t="shared" si="47"/>
        <v>1</v>
      </c>
    </row>
    <row r="1486" spans="1:4" ht="43.5" x14ac:dyDescent="0.35">
      <c r="A1486" s="4" t="s">
        <v>1785</v>
      </c>
      <c r="B1486">
        <v>1</v>
      </c>
      <c r="C1486" t="str">
        <f t="shared" si="46"/>
        <v>EMSG:Effective ranges overlap for PANewBusinessCount_Ext with BranchID XXX and with FixedID XXXSTRACE:Mar XXX XXX:XXX:XXX PDT XXX - Mon Sep XXX XXX:XXX:XXX PDT XXX, Sat Mar XXX XXX:XXX:XXX PDT XXX - Mon Sep XXX XXX:XXX:XXX PDT XXX
	at deployment.pc.war//c</v>
      </c>
      <c r="D1486" s="3">
        <f t="shared" si="47"/>
        <v>1</v>
      </c>
    </row>
    <row r="1487" spans="1:4" x14ac:dyDescent="0.35">
      <c r="A1487" t="s">
        <v>1786</v>
      </c>
      <c r="B1487">
        <v>1</v>
      </c>
      <c r="C1487" t="str">
        <f t="shared" si="46"/>
        <v>EMSG:Effective ranges overlap for PolicyDriverMVR with BranchID XXX and with FixedID XXXSTRACE:deployment.pc.war//com.guidewire.pl.system.entity.proxy.EffDatedBeanProxy.checkForOverlaps(EffDatedBeanProxy.java:XXXSTRACERAW:-</v>
      </c>
      <c r="D1487" s="3">
        <f t="shared" si="47"/>
        <v>1</v>
      </c>
    </row>
    <row r="1488" spans="1:4" x14ac:dyDescent="0.35">
      <c r="A1488" t="s">
        <v>1787</v>
      </c>
      <c r="B1488">
        <v>1</v>
      </c>
      <c r="C1488" t="str">
        <f t="shared" si="46"/>
        <v>EMSG:Enrique ChavezSTRACE:com.farmers.config.pa.validator.BrightlineValidator.validateQuoteBrightlineRules(BrightlineValidator.gs:XXXSTRACERAW:-</v>
      </c>
      <c r="D1488" s="3">
        <f t="shared" si="47"/>
        <v>1</v>
      </c>
    </row>
    <row r="1489" spans="1:4" x14ac:dyDescent="0.35">
      <c r="A1489" t="s">
        <v>1788</v>
      </c>
      <c r="B1489">
        <v>1</v>
      </c>
      <c r="C1489" t="str">
        <f t="shared" si="46"/>
        <v>EMSG:Enrique ChavezSTRACE:gw.job.QuoteProcess.requestQuote(QuoteProcess.gs:XXXSTRACERAW:-</v>
      </c>
      <c r="D1489" s="3">
        <f t="shared" si="47"/>
        <v>1</v>
      </c>
    </row>
    <row r="1490" spans="1:4" x14ac:dyDescent="0.35">
      <c r="A1490" t="s">
        <v>1789</v>
      </c>
      <c r="B1490">
        <v>1</v>
      </c>
      <c r="C1490" t="str">
        <f t="shared" si="46"/>
        <v>EMSG:Enrique GutierrezSTRACE:com.farmers.config.pa.validator.BrightlineValidator.validateQuoteBrightlineRules(BrightlineValidator.gs:XXXSTRACERAW:-</v>
      </c>
      <c r="D1490" s="3">
        <f t="shared" si="47"/>
        <v>1</v>
      </c>
    </row>
    <row r="1491" spans="1:4" x14ac:dyDescent="0.35">
      <c r="A1491" t="s">
        <v>1790</v>
      </c>
      <c r="B1491">
        <v>1</v>
      </c>
      <c r="C1491" t="str">
        <f t="shared" si="46"/>
        <v>EMSG:Enrique GutierrezSTRACE:gw.job.QuoteProcess.requestQuote(QuoteProcess.gs:XXXSTRACERAW:-</v>
      </c>
      <c r="D1491" s="3">
        <f t="shared" si="47"/>
        <v>1</v>
      </c>
    </row>
    <row r="1492" spans="1:4" x14ac:dyDescent="0.35">
      <c r="A1492" t="s">
        <v>1791</v>
      </c>
      <c r="B1492">
        <v>1</v>
      </c>
      <c r="C1492" t="str">
        <f t="shared" si="46"/>
        <v>EMSG:Enter Signal Phone number for Diane Murphy. A cell phone number is required for Signal enrollment.;STRACE:edge.capabilities.quote.submission.quoting.util.SubmissionUnderwritingIssuesUtil.checkVerifyRateExceptions(SubmissionUnderwritingIssuesUtil.gs:X</v>
      </c>
      <c r="D1492" s="3">
        <f t="shared" si="47"/>
        <v>1</v>
      </c>
    </row>
    <row r="1493" spans="1:4" x14ac:dyDescent="0.35">
      <c r="A1493" t="s">
        <v>1792</v>
      </c>
      <c r="B1493">
        <v>1</v>
      </c>
      <c r="C1493" t="str">
        <f t="shared" si="46"/>
        <v>EMSG:Eric FloresSTRACE:com.farmers.config.pa.validator.BrightlineValidator.validateQuoteBrightlineRules(BrightlineValidator.gs:XXXSTRACERAW:-</v>
      </c>
      <c r="D1493" s="3">
        <f t="shared" si="47"/>
        <v>1</v>
      </c>
    </row>
    <row r="1494" spans="1:4" x14ac:dyDescent="0.35">
      <c r="A1494" t="s">
        <v>1793</v>
      </c>
      <c r="B1494">
        <v>1</v>
      </c>
      <c r="C1494" t="str">
        <f t="shared" si="46"/>
        <v>EMSG:Error occured with Child Job's canStartPolicyChange(): No period for this effective dateSTRACE:gw.acc.luw.perf.JobCreationHelper.useParentEffectiveDateOrNot(JobCreationHelper.gs:XXXSTRACERAW:-</v>
      </c>
      <c r="D1494" s="3">
        <f t="shared" si="47"/>
        <v>1</v>
      </c>
    </row>
    <row r="1495" spans="1:4" x14ac:dyDescent="0.35">
      <c r="A1495" t="s">
        <v>1794</v>
      </c>
      <c r="B1495">
        <v>1</v>
      </c>
      <c r="C1495" t="str">
        <f t="shared" si="46"/>
        <v>EMSG:Ewa OslavskayaSTRACE:com.farmers.config.pa.validator.BrightlineValidator.validateQuoteBrightlineRules(BrightlineValidator.gs:XXXSTRACERAW:-</v>
      </c>
      <c r="D1495" s="3">
        <f t="shared" si="47"/>
        <v>1</v>
      </c>
    </row>
    <row r="1496" spans="1:4" x14ac:dyDescent="0.35">
      <c r="A1496" t="s">
        <v>1795</v>
      </c>
      <c r="B1496">
        <v>1</v>
      </c>
      <c r="C1496" t="str">
        <f t="shared" si="46"/>
        <v>EMSG:Ewa OslavskayaSTRACE:gw.job.QuoteProcess.requestQuote(QuoteProcess.gs:XXXSTRACERAW:-</v>
      </c>
      <c r="D1496" s="3">
        <f t="shared" si="47"/>
        <v>1</v>
      </c>
    </row>
    <row r="1497" spans="1:4" x14ac:dyDescent="0.35">
      <c r="A1497" t="s">
        <v>1796</v>
      </c>
      <c r="B1497">
        <v>1</v>
      </c>
      <c r="C1497" t="str">
        <f t="shared" si="46"/>
        <v>EMSG:Exception during Rating ExecuteIterationsMultiThreaded : gw.api.rating.RatingException: Exception during Rating ExecuteIterationsMultiThreaded : gw.api.rating.RatingException: Exception during Rating JobNumber : XXX - FarmersPARatingEngine.runStepsBy</v>
      </c>
      <c r="D1497" s="3">
        <f t="shared" si="47"/>
        <v>1</v>
      </c>
    </row>
    <row r="1498" spans="1:4" x14ac:dyDescent="0.35">
      <c r="A1498" t="s">
        <v>702</v>
      </c>
      <c r="B1498">
        <v>1</v>
      </c>
      <c r="C1498" t="str">
        <f t="shared" si="46"/>
        <v>EMSG:Exception during Rating ExecuteIterationsMultiThreaded : gw.api.rating.RatingException: There are multiple prior insurance reports on the policy period cannot resolve which one to useSTRACE:com.farmers.rating.common.flow.iteration.impl.IterationsExec</v>
      </c>
      <c r="D1498" s="3">
        <f t="shared" si="47"/>
        <v>1</v>
      </c>
    </row>
    <row r="1499" spans="1:4" x14ac:dyDescent="0.35">
      <c r="A1499" t="s">
        <v>1030</v>
      </c>
      <c r="B1499">
        <v>1</v>
      </c>
      <c r="C1499" t="str">
        <f t="shared" si="46"/>
        <v>EMSG:Exception during Rating ExecuteIterationsMultiThreaded : gw.api.rating.RatingException: There is no credit tier for credit peril 'firenonwildfire' and model 'HOF'STRACE:com.farmers.rating.common.flow.iteration.impl.IterationsExecutorImpl$block_XXX_.i</v>
      </c>
      <c r="D1499" s="3">
        <f t="shared" si="47"/>
        <v>1</v>
      </c>
    </row>
    <row r="1500" spans="1:4" x14ac:dyDescent="0.35">
      <c r="A1500" t="s">
        <v>1797</v>
      </c>
      <c r="B1500">
        <v>1</v>
      </c>
      <c r="C1500" t="str">
        <f t="shared" si="46"/>
        <v>EMSG:Exception during Rating ExecuteIterationsMultiThreaded : java.lang.IllegalArgumentException: Cannot re-add CreditResultParams_Ext:XXX since it has already been removed.  You must use bundle rollback to undo a remove.STRACE:com.farmers.rating.common.f</v>
      </c>
      <c r="D1500" s="3">
        <f t="shared" si="47"/>
        <v>1</v>
      </c>
    </row>
    <row r="1501" spans="1:4" x14ac:dyDescent="0.35">
      <c r="A1501" t="s">
        <v>1798</v>
      </c>
      <c r="B1501">
        <v>1</v>
      </c>
      <c r="C1501" t="str">
        <f t="shared" si="46"/>
        <v>EMSG:Exception during Rating ExecuteIterationsMultiThreaded : java.lang.NumberFormatException: For input string: "XXX_XXX_XXX"STRACE:com.farmers.rating.common.flow.iteration.impl.IterationsExecutorImpl$block_XXX_.invoke(IterationsExecutorImpl.gs:XXXSTRACE</v>
      </c>
      <c r="D1501" s="3">
        <f t="shared" si="47"/>
        <v>1</v>
      </c>
    </row>
    <row r="1502" spans="1:4" x14ac:dyDescent="0.35">
      <c r="A1502" t="s">
        <v>661</v>
      </c>
      <c r="B1502">
        <v>1</v>
      </c>
      <c r="C1502" t="str">
        <f t="shared" si="46"/>
        <v>EMSG:Exception during Rating ExecuteIterationsMultiThreaded : java.util.concurrent.ExecutionException: java.lang.IllegalStateException: Attempt to access bean of type "HomeownersLineCov_HOE" id=XXX with a null bundleSTRACE:com.farmers.rating.common.flow.i</v>
      </c>
      <c r="D1502" s="3">
        <f t="shared" si="47"/>
        <v>1</v>
      </c>
    </row>
    <row r="1503" spans="1:4" x14ac:dyDescent="0.35">
      <c r="A1503" t="s">
        <v>1101</v>
      </c>
      <c r="B1503">
        <v>1</v>
      </c>
      <c r="C1503" t="str">
        <f t="shared" si="46"/>
        <v>EMSG:Exception while retrieving distance to fire station from Address file for zip :XXXXXXSTRACE:com.farmers.integ.erti.iso.location.impl.PPCISOLocationFinder.checkDistanceToFireStation(PPCISOLocationFinder.gs:XXXSTRACERAW:-</v>
      </c>
      <c r="D1503" s="3">
        <f t="shared" si="47"/>
        <v>1</v>
      </c>
    </row>
    <row r="1504" spans="1:4" x14ac:dyDescent="0.35">
      <c r="A1504" t="s">
        <v>1799</v>
      </c>
      <c r="B1504">
        <v>1</v>
      </c>
      <c r="C1504" t="str">
        <f t="shared" si="46"/>
        <v>EMSG:Expected only one PolicyLocation associated with the AccountLocation: XXX Maplewood LnSTRACE:gw.lob.pa.PersonalVehicleEnhancement.setAccountLocation(PersonalVehicleEnhancement.gsx:XXXSTRACERAW:-</v>
      </c>
      <c r="D1504" s="3">
        <f t="shared" si="47"/>
        <v>1</v>
      </c>
    </row>
    <row r="1505" spans="1:4" x14ac:dyDescent="0.35">
      <c r="A1505" t="s">
        <v>1800</v>
      </c>
      <c r="B1505">
        <v>1</v>
      </c>
      <c r="C1505" t="str">
        <f t="shared" si="46"/>
        <v>EMSG:Expected query to have at most one result.  Select statement causing error: Values=[Michigan (typekey)STRACE:most one result.  Select statement causing error: Values=[Michigan (typekeySTRACERAW:-</v>
      </c>
      <c r="D1505" s="3">
        <f t="shared" si="47"/>
        <v>1</v>
      </c>
    </row>
    <row r="1506" spans="1:4" x14ac:dyDescent="0.35">
      <c r="A1506" t="s">
        <v>1801</v>
      </c>
      <c r="B1506">
        <v>1</v>
      </c>
      <c r="C1506" t="str">
        <f t="shared" si="46"/>
        <v>EMSG:FRANCES BACCUSSTRACE:com.farmers.config.pa.validator.BrightlineValidator.validateQuoteBrightlineRules(BrightlineValidator.gs:XXXSTRACERAW:-</v>
      </c>
      <c r="D1506" s="3">
        <f t="shared" si="47"/>
        <v>1</v>
      </c>
    </row>
    <row r="1507" spans="1:4" x14ac:dyDescent="0.35">
      <c r="A1507" t="s">
        <v>1802</v>
      </c>
      <c r="B1507">
        <v>1</v>
      </c>
      <c r="C1507" t="str">
        <f t="shared" si="46"/>
        <v>EMSG:FRANCES BACCUSSTRACE:gw.job.QuoteProcess.requestQuote(QuoteProcess.gs:XXXSTRACERAW:-</v>
      </c>
      <c r="D1507" s="3">
        <f t="shared" si="47"/>
        <v>1</v>
      </c>
    </row>
    <row r="1508" spans="1:4" x14ac:dyDescent="0.35">
      <c r="A1508" t="s">
        <v>1803</v>
      </c>
      <c r="B1508">
        <v>1</v>
      </c>
      <c r="C1508" t="str">
        <f t="shared" si="46"/>
        <v>EMSG:Failed to execute a querySTRACE:com.farmers.config.pa.VIN.VINProcess.handleFailedResponse(VINProcess.gs:XXXSTRACERAW:-</v>
      </c>
      <c r="D1508" s="3">
        <f t="shared" si="47"/>
        <v>1</v>
      </c>
    </row>
    <row r="1509" spans="1:4" x14ac:dyDescent="0.35">
      <c r="A1509" t="s">
        <v>1804</v>
      </c>
      <c r="B1509">
        <v>1</v>
      </c>
      <c r="C1509" t="str">
        <f t="shared" si="46"/>
        <v>EMSG:For eligible contact Chandana Tarurveerabhadraiah credit score is null. Please make sure credit is orderedSTRACE:com.farmers.config.common.credit.CreditScoreHelper.populateRatingCreditDTO(CreditScoreHelper.gs:XXXSTRACERAW:-</v>
      </c>
      <c r="D1509" s="3">
        <f t="shared" si="47"/>
        <v>1</v>
      </c>
    </row>
    <row r="1510" spans="1:4" x14ac:dyDescent="0.35">
      <c r="A1510" t="s">
        <v>1805</v>
      </c>
      <c r="B1510">
        <v>1</v>
      </c>
      <c r="C1510" t="str">
        <f t="shared" si="46"/>
        <v>EMSG:For eligible contact Jane Weaver credit score is null. Please make sure credit is orderedSTRACE:com.farmers.config.common.credit.CreditScoreHelper.populateRatingCreditDTO(CreditScoreHelper.gs:XXXSTRACERAW:-</v>
      </c>
      <c r="D1510" s="3">
        <f t="shared" si="47"/>
        <v>1</v>
      </c>
    </row>
    <row r="1511" spans="1:4" x14ac:dyDescent="0.35">
      <c r="A1511" t="s">
        <v>1806</v>
      </c>
      <c r="B1511">
        <v>1</v>
      </c>
      <c r="C1511" t="str">
        <f t="shared" si="46"/>
        <v>EMSG:For eligible contact Johnny Brown credit score is null. Please make sure credit is orderedSTRACE:com.farmers.config.common.credit.CreditScoreHelper.populateRatingCreditDTO(CreditScoreHelper.gs:XXXSTRACERAW:-</v>
      </c>
      <c r="D1511" s="3">
        <f t="shared" si="47"/>
        <v>1</v>
      </c>
    </row>
    <row r="1512" spans="1:4" x14ac:dyDescent="0.35">
      <c r="A1512" t="s">
        <v>1807</v>
      </c>
      <c r="B1512">
        <v>1</v>
      </c>
      <c r="C1512" t="str">
        <f t="shared" si="46"/>
        <v>EMSG:For eligible contact Joseph Pecoraro credit score is null. Please make sure credit is orderedSTRACE:com.farmers.config.common.credit.CreditScoreHelper.populateRatingCreditDTO(CreditScoreHelper.gs:XXXSTRACERAW:-</v>
      </c>
      <c r="D1512" s="3">
        <f t="shared" si="47"/>
        <v>1</v>
      </c>
    </row>
    <row r="1513" spans="1:4" x14ac:dyDescent="0.35">
      <c r="A1513" t="s">
        <v>1808</v>
      </c>
      <c r="B1513">
        <v>1</v>
      </c>
      <c r="C1513" t="str">
        <f t="shared" si="46"/>
        <v>EMSG:For eligible contact KAREN LARSON credit score is null. Please make sure credit is orderedSTRACE:com.farmers.config.common.credit.CreditScoreHelper.populateRatingCreditDTO(CreditScoreHelper.gs:XXXSTRACERAW:-</v>
      </c>
      <c r="D1513" s="3">
        <f t="shared" si="47"/>
        <v>1</v>
      </c>
    </row>
    <row r="1514" spans="1:4" x14ac:dyDescent="0.35">
      <c r="A1514" t="s">
        <v>1809</v>
      </c>
      <c r="B1514">
        <v>1</v>
      </c>
      <c r="C1514" t="str">
        <f t="shared" si="46"/>
        <v>EMSG:For eligible contact Kevin Pritchett credit score is null. Please make sure credit is orderedSTRACE:com.farmers.config.common.credit.CreditScoreHelper.populateRatingCreditDTO(CreditScoreHelper.gs:XXXSTRACERAW:-</v>
      </c>
      <c r="D1514" s="3">
        <f t="shared" si="47"/>
        <v>1</v>
      </c>
    </row>
    <row r="1515" spans="1:4" x14ac:dyDescent="0.35">
      <c r="A1515" t="s">
        <v>1810</v>
      </c>
      <c r="B1515">
        <v>1</v>
      </c>
      <c r="C1515" t="str">
        <f t="shared" si="46"/>
        <v>EMSG:For eligible contact Steven Munoz credit score is null. Please make sure credit is orderedSTRACE:com.farmers.config.common.credit.CreditScoreHelper.populateRatingCreditDTO(CreditScoreHelper.gs:XXXSTRACERAW:-</v>
      </c>
      <c r="D1515" s="3">
        <f t="shared" si="47"/>
        <v>1</v>
      </c>
    </row>
    <row r="1516" spans="1:4" ht="43.5" x14ac:dyDescent="0.35">
      <c r="A1516" s="4" t="s">
        <v>1811</v>
      </c>
      <c r="B1516">
        <v>1</v>
      </c>
      <c r="C1516" t="str">
        <f t="shared" si="46"/>
        <v>EMSG:Found more than one target of the property XXXSTRACE:XXX E XXXnd Ave, Aurora, CO': ['HOWindMitCredit_Ext:pc:XXX', 'HOWindMitCredit_Ext:pc:XXX']. This could be due to a concurrent data change, or a programming error.
	at deployment.pc.war//com.guidewi</v>
      </c>
      <c r="D1516" s="3">
        <f t="shared" si="47"/>
        <v>1</v>
      </c>
    </row>
    <row r="1517" spans="1:4" x14ac:dyDescent="0.35">
      <c r="A1517" t="s">
        <v>1812</v>
      </c>
      <c r="B1517">
        <v>1</v>
      </c>
      <c r="C1517" t="str">
        <f t="shared" si="46"/>
        <v>EMSG:Francisco SilvaSTRACE:com.farmers.config.pa.validator.BrightlineValidator.validateQuoteBrightlineRules(BrightlineValidator.gs:XXXSTRACERAW:-</v>
      </c>
      <c r="D1517" s="3">
        <f t="shared" si="47"/>
        <v>1</v>
      </c>
    </row>
    <row r="1518" spans="1:4" x14ac:dyDescent="0.35">
      <c r="A1518" t="s">
        <v>1813</v>
      </c>
      <c r="B1518">
        <v>1</v>
      </c>
      <c r="C1518" t="str">
        <f t="shared" si="46"/>
        <v>EMSG:Francisco SilvaSTRACE:gw.job.QuoteProcess.requestQuote(QuoteProcess.gs:XXXSTRACERAW:-</v>
      </c>
      <c r="D1518" s="3">
        <f t="shared" si="47"/>
        <v>1</v>
      </c>
    </row>
    <row r="1519" spans="1:4" x14ac:dyDescent="0.35">
      <c r="A1519" t="s">
        <v>1814</v>
      </c>
      <c r="B1519">
        <v>1</v>
      </c>
      <c r="C1519" t="str">
        <f t="shared" si="46"/>
        <v>EMSG:GARY NICHOLSONSTRACE:com.farmers.config.pa.validator.BrightlineValidator.validateQuoteBrightlineRules(BrightlineValidator.gs:XXXSTRACERAW:-</v>
      </c>
      <c r="D1519" s="3">
        <f t="shared" si="47"/>
        <v>1</v>
      </c>
    </row>
    <row r="1520" spans="1:4" x14ac:dyDescent="0.35">
      <c r="A1520" t="s">
        <v>1815</v>
      </c>
      <c r="B1520">
        <v>1</v>
      </c>
      <c r="C1520" t="str">
        <f t="shared" si="46"/>
        <v>EMSG:Gene ShilingSTRACE:com.farmers.config.pa.validator.BrightlineValidator.validateQuoteBrightlineRules(BrightlineValidator.gs:XXXSTRACERAW:-</v>
      </c>
      <c r="D1520" s="3">
        <f t="shared" si="47"/>
        <v>1</v>
      </c>
    </row>
    <row r="1521" spans="1:4" x14ac:dyDescent="0.35">
      <c r="A1521" t="s">
        <v>1816</v>
      </c>
      <c r="B1521">
        <v>1</v>
      </c>
      <c r="C1521" t="str">
        <f t="shared" si="46"/>
        <v>EMSG:Gene ShilingSTRACE:gw.job.QuoteProcess.requestQuote(QuoteProcess.gs:XXXSTRACERAW:-</v>
      </c>
      <c r="D1521" s="3">
        <f t="shared" si="47"/>
        <v>1</v>
      </c>
    </row>
    <row r="1522" spans="1:4" x14ac:dyDescent="0.35">
      <c r="A1522" t="s">
        <v>1817</v>
      </c>
      <c r="B1522">
        <v>1</v>
      </c>
      <c r="C1522" t="str">
        <f t="shared" si="46"/>
        <v>EMSG:Households with XXX or more drivers per vehicle are ineligible for coverage.STRACE:com.farmers.config.pa.validator.PALineQuoteValidator_Ext.validateDriverToVehicleRatio(PALineQuoteValidator_Ext.gs:XXXSTRACERAW:-</v>
      </c>
      <c r="D1522" s="3">
        <f t="shared" si="47"/>
        <v>1</v>
      </c>
    </row>
    <row r="1523" spans="1:4" x14ac:dyDescent="0.35">
      <c r="A1523" t="s">
        <v>1818</v>
      </c>
      <c r="B1523">
        <v>1</v>
      </c>
      <c r="C1523" t="str">
        <f t="shared" si="46"/>
        <v>EMSG:Hudson WelshSTRACE:com.farmers.config.pa.validator.BrightlineValidator.validateQuoteBrightlineRules(BrightlineValidator.gs:XXXSTRACERAW:-</v>
      </c>
      <c r="D1523" s="3">
        <f t="shared" si="47"/>
        <v>1</v>
      </c>
    </row>
    <row r="1524" spans="1:4" x14ac:dyDescent="0.35">
      <c r="A1524" t="s">
        <v>1819</v>
      </c>
      <c r="B1524">
        <v>1</v>
      </c>
      <c r="C1524" t="str">
        <f t="shared" si="46"/>
        <v>EMSG:ISAAC WELLSSTRACE:com.farmers.config.pa.validator.BrightlineValidator.validateQuoteBrightlineRules(BrightlineValidator.gs:XXXSTRACERAW:-</v>
      </c>
      <c r="D1524" s="3">
        <f t="shared" si="47"/>
        <v>1</v>
      </c>
    </row>
    <row r="1525" spans="1:4" x14ac:dyDescent="0.35">
      <c r="A1525" t="s">
        <v>1820</v>
      </c>
      <c r="B1525">
        <v>1</v>
      </c>
      <c r="C1525" t="str">
        <f t="shared" si="46"/>
        <v>EMSG:ISAAC WELLSSTRACE:gw.job.QuoteProcess.requestQuote(QuoteProcess.gs:XXXSTRACERAW:-</v>
      </c>
      <c r="D1525" s="3">
        <f t="shared" si="47"/>
        <v>1</v>
      </c>
    </row>
    <row r="1526" spans="1:4" x14ac:dyDescent="0.35">
      <c r="A1526" t="s">
        <v>1821</v>
      </c>
      <c r="B1526">
        <v>1</v>
      </c>
      <c r="C1526" t="str">
        <f t="shared" si="46"/>
        <v>EMSG:IVAN YUNGSTRACE:com.farmers.config.pa.validator.BrightlineValidator.validateQuoteBrightlineRules(BrightlineValidator.gs:XXXSTRACERAW:-</v>
      </c>
      <c r="D1526" s="3">
        <f t="shared" si="47"/>
        <v>1</v>
      </c>
    </row>
    <row r="1527" spans="1:4" x14ac:dyDescent="0.35">
      <c r="A1527" t="s">
        <v>1822</v>
      </c>
      <c r="B1527">
        <v>1</v>
      </c>
      <c r="C1527" t="str">
        <f t="shared" si="46"/>
        <v>EMSG:Icilda EdwardsSTRACE:com.farmers.config.pa.validator.BrightlineValidator.validateQuoteBrightlineRules(BrightlineValidator.gs:XXXSTRACERAW:-</v>
      </c>
      <c r="D1527" s="3">
        <f t="shared" si="47"/>
        <v>1</v>
      </c>
    </row>
    <row r="1528" spans="1:4" x14ac:dyDescent="0.35">
      <c r="A1528" t="s">
        <v>1823</v>
      </c>
      <c r="B1528">
        <v>1</v>
      </c>
      <c r="C1528" t="str">
        <f t="shared" si="46"/>
        <v>EMSG:Icilda EdwardsSTRACE:gw.job.QuoteProcess.requestQuote(QuoteProcess.gs:XXXSTRACERAW:-</v>
      </c>
      <c r="D1528" s="3">
        <f t="shared" si="47"/>
        <v>1</v>
      </c>
    </row>
    <row r="1529" spans="1:4" x14ac:dyDescent="0.35">
      <c r="A1529" t="s">
        <v>1824</v>
      </c>
      <c r="B1529">
        <v>1</v>
      </c>
      <c r="C1529" t="str">
        <f t="shared" si="46"/>
        <v>EMSG:Internal error: bean entity.CreditResultParams_Ext:XXX was staged for edit.STRACE:deployment.pc.war//com.guidewire.pl.system.bundle.EntityBundleImpl.handleBeanChange(EntityBundleImpl.java:XXXSTRACERAW:-</v>
      </c>
      <c r="D1529" s="3">
        <f t="shared" si="47"/>
        <v>1</v>
      </c>
    </row>
    <row r="1530" spans="1:4" x14ac:dyDescent="0.35">
      <c r="A1530" t="s">
        <v>1825</v>
      </c>
      <c r="B1530">
        <v>1</v>
      </c>
      <c r="C1530" t="str">
        <f t="shared" si="46"/>
        <v>EMSG:Internal error: bean entity.HomeownersBaseCost_HOE:XXX was not staged for edit.STRACE:deployment.pc.war//com.guidewire.pl.system.bundle.EntityBundleImpl.handleBeanChange(EntityBundleImpl.java:XXXSTRACERAW:-</v>
      </c>
      <c r="D1530" s="3">
        <f t="shared" si="47"/>
        <v>1</v>
      </c>
    </row>
    <row r="1531" spans="1:4" x14ac:dyDescent="0.35">
      <c r="A1531" t="s">
        <v>509</v>
      </c>
      <c r="B1531">
        <v>1</v>
      </c>
      <c r="C1531" t="str">
        <f t="shared" si="46"/>
        <v>EMSG:Invalid Policy Number: XXXXXXSTRACE:com.farmers.edge.capabilities.policycommon.util.PolicyCommonUtil.getPeriod(PolicyCommonUtil.gs:XXXSTRACERAW:-</v>
      </c>
      <c r="D1531" s="3">
        <f t="shared" si="47"/>
        <v>1</v>
      </c>
    </row>
    <row r="1532" spans="1:4" x14ac:dyDescent="0.35">
      <c r="A1532" t="s">
        <v>1826</v>
      </c>
      <c r="B1532">
        <v>1</v>
      </c>
      <c r="C1532" t="str">
        <f t="shared" si="46"/>
        <v>EMSG:JADYN NELSONSTRACE:com.farmers.config.pa.validator.BrightlineValidator.validateQuoteBrightlineRules(BrightlineValidator.gs:XXXSTRACERAW:-</v>
      </c>
      <c r="D1532" s="3">
        <f t="shared" si="47"/>
        <v>1</v>
      </c>
    </row>
    <row r="1533" spans="1:4" x14ac:dyDescent="0.35">
      <c r="A1533" t="s">
        <v>1827</v>
      </c>
      <c r="B1533">
        <v>1</v>
      </c>
      <c r="C1533" t="str">
        <f t="shared" si="46"/>
        <v>EMSG:JADYN NELSONSTRACE:gw.job.QuoteProcess.requestQuote(QuoteProcess.gs:XXXSTRACERAW:-</v>
      </c>
      <c r="D1533" s="3">
        <f t="shared" si="47"/>
        <v>1</v>
      </c>
    </row>
    <row r="1534" spans="1:4" x14ac:dyDescent="0.35">
      <c r="A1534" t="s">
        <v>1828</v>
      </c>
      <c r="B1534">
        <v>1</v>
      </c>
      <c r="C1534" t="str">
        <f t="shared" si="46"/>
        <v>EMSG:JANELL GEHRKESTRACE:com.farmers.config.pa.validator.BrightlineValidator.validateQuoteBrightlineRules(BrightlineValidator.gs:XXXSTRACERAW:-</v>
      </c>
      <c r="D1534" s="3">
        <f t="shared" si="47"/>
        <v>1</v>
      </c>
    </row>
    <row r="1535" spans="1:4" x14ac:dyDescent="0.35">
      <c r="A1535" t="s">
        <v>1829</v>
      </c>
      <c r="B1535">
        <v>1</v>
      </c>
      <c r="C1535" t="str">
        <f t="shared" si="46"/>
        <v>EMSG:JANELL GEHRKESTRACE:gw.job.QuoteProcess.requestQuote(QuoteProcess.gs:XXXSTRACERAW:-</v>
      </c>
      <c r="D1535" s="3">
        <f t="shared" si="47"/>
        <v>1</v>
      </c>
    </row>
    <row r="1536" spans="1:4" x14ac:dyDescent="0.35">
      <c r="A1536" t="s">
        <v>1830</v>
      </c>
      <c r="B1536">
        <v>1</v>
      </c>
      <c r="C1536" t="str">
        <f t="shared" si="46"/>
        <v>EMSG:JANNA WILLISSTRACE:com.farmers.config.pa.validator.BrightlineValidator.validateQuoteBrightlineRules(BrightlineValidator.gs:XXXSTRACERAW:-</v>
      </c>
      <c r="D1536" s="3">
        <f t="shared" si="47"/>
        <v>1</v>
      </c>
    </row>
    <row r="1537" spans="1:4" x14ac:dyDescent="0.35">
      <c r="A1537" t="s">
        <v>1831</v>
      </c>
      <c r="B1537">
        <v>1</v>
      </c>
      <c r="C1537" t="str">
        <f t="shared" si="46"/>
        <v>EMSG:JANNA WILLISSTRACE:gw.job.QuoteProcess.requestQuote(QuoteProcess.gs:XXXSTRACERAW:-</v>
      </c>
      <c r="D1537" s="3">
        <f t="shared" si="47"/>
        <v>1</v>
      </c>
    </row>
    <row r="1538" spans="1:4" x14ac:dyDescent="0.35">
      <c r="A1538" t="s">
        <v>1832</v>
      </c>
      <c r="B1538">
        <v>1</v>
      </c>
      <c r="C1538" t="str">
        <f t="shared" ref="C1538:C1601" si="48">LEFT(A1538,255)</f>
        <v>EMSG:JASMINE GRANTSTRACE:com.farmers.config.pa.validator.BrightlineValidator.validateQuoteBrightlineRules(BrightlineValidator.gs:XXXSTRACERAW:-</v>
      </c>
      <c r="D1538" s="3">
        <f t="shared" ref="D1538:D1601" si="49">IF(AND((B1538/10)&lt;1,(B1538/10)&gt;0),1,(B1538/10)*130%)</f>
        <v>1</v>
      </c>
    </row>
    <row r="1539" spans="1:4" x14ac:dyDescent="0.35">
      <c r="A1539" t="s">
        <v>1833</v>
      </c>
      <c r="B1539">
        <v>1</v>
      </c>
      <c r="C1539" t="str">
        <f t="shared" si="48"/>
        <v>EMSG:JASMINE GRANTSTRACE:gw.job.QuoteProcess.requestQuote(QuoteProcess.gs:XXXSTRACERAW:-</v>
      </c>
      <c r="D1539" s="3">
        <f t="shared" si="49"/>
        <v>1</v>
      </c>
    </row>
    <row r="1540" spans="1:4" x14ac:dyDescent="0.35">
      <c r="A1540" t="s">
        <v>1834</v>
      </c>
      <c r="B1540">
        <v>1</v>
      </c>
      <c r="C1540" t="str">
        <f t="shared" si="48"/>
        <v>EMSG:JESSICA ELIFRITZSTRACE:com.farmers.config.pa.validator.BrightlineValidator.validateQuoteBrightlineRules(BrightlineValidator.gs:XXXSTRACERAW:-</v>
      </c>
      <c r="D1540" s="3">
        <f t="shared" si="49"/>
        <v>1</v>
      </c>
    </row>
    <row r="1541" spans="1:4" x14ac:dyDescent="0.35">
      <c r="A1541" t="s">
        <v>1835</v>
      </c>
      <c r="B1541">
        <v>1</v>
      </c>
      <c r="C1541" t="str">
        <f t="shared" si="48"/>
        <v>EMSG:JESSICA ELIFRITZSTRACE:gw.job.QuoteProcess.requestQuote(QuoteProcess.gs:XXXSTRACERAW:-</v>
      </c>
      <c r="D1541" s="3">
        <f t="shared" si="49"/>
        <v>1</v>
      </c>
    </row>
    <row r="1542" spans="1:4" x14ac:dyDescent="0.35">
      <c r="A1542" t="s">
        <v>1836</v>
      </c>
      <c r="B1542">
        <v>1</v>
      </c>
      <c r="C1542" t="str">
        <f t="shared" si="48"/>
        <v>EMSG:JESSICA KOOSTRACE:com.farmers.config.pa.validator.BrightlineValidator.validateQuoteBrightlineRules(BrightlineValidator.gs:XXXSTRACERAW:-</v>
      </c>
      <c r="D1542" s="3">
        <f t="shared" si="49"/>
        <v>1</v>
      </c>
    </row>
    <row r="1543" spans="1:4" x14ac:dyDescent="0.35">
      <c r="A1543" t="s">
        <v>1837</v>
      </c>
      <c r="B1543">
        <v>1</v>
      </c>
      <c r="C1543" t="str">
        <f t="shared" si="48"/>
        <v>EMSG:JESSICA KOOSTRACE:gw.job.QuoteProcess.requestQuote(QuoteProcess.gs:XXXSTRACERAW:-</v>
      </c>
      <c r="D1543" s="3">
        <f t="shared" si="49"/>
        <v>1</v>
      </c>
    </row>
    <row r="1544" spans="1:4" x14ac:dyDescent="0.35">
      <c r="A1544" t="s">
        <v>1838</v>
      </c>
      <c r="B1544">
        <v>1</v>
      </c>
      <c r="C1544" t="str">
        <f t="shared" si="48"/>
        <v>EMSG:JOSE TOSCANOSTRACE:com.farmers.config.pa.validator.BrightlineValidator.validateQuoteBrightlineRules(BrightlineValidator.gs:XXXSTRACERAW:-</v>
      </c>
      <c r="D1544" s="3">
        <f t="shared" si="49"/>
        <v>1</v>
      </c>
    </row>
    <row r="1545" spans="1:4" x14ac:dyDescent="0.35">
      <c r="A1545" t="s">
        <v>1839</v>
      </c>
      <c r="B1545">
        <v>1</v>
      </c>
      <c r="C1545" t="str">
        <f t="shared" si="48"/>
        <v>EMSG:JOSE TOSCANOSTRACE:gw.job.QuoteProcess.requestQuote(QuoteProcess.gs:XXXSTRACERAW:-</v>
      </c>
      <c r="D1545" s="3">
        <f t="shared" si="49"/>
        <v>1</v>
      </c>
    </row>
    <row r="1546" spans="1:4" x14ac:dyDescent="0.35">
      <c r="A1546" t="s">
        <v>1840</v>
      </c>
      <c r="B1546">
        <v>1</v>
      </c>
      <c r="C1546" t="str">
        <f t="shared" si="48"/>
        <v>EMSG:JOSE VIZCAINOSTRACE:com.farmers.config.pa.validator.BrightlineValidator.validateQuoteBrightlineRules(BrightlineValidator.gs:XXXSTRACERAW:-</v>
      </c>
      <c r="D1546" s="3">
        <f t="shared" si="49"/>
        <v>1</v>
      </c>
    </row>
    <row r="1547" spans="1:4" x14ac:dyDescent="0.35">
      <c r="A1547" t="s">
        <v>1841</v>
      </c>
      <c r="B1547">
        <v>1</v>
      </c>
      <c r="C1547" t="str">
        <f t="shared" si="48"/>
        <v>EMSG:Jackson AveraSTRACE:com.farmers.config.pa.validator.BrightlineValidator.validateQuoteBrightlineRules(BrightlineValidator.gs:XXXSTRACERAW:-</v>
      </c>
      <c r="D1547" s="3">
        <f t="shared" si="49"/>
        <v>1</v>
      </c>
    </row>
    <row r="1548" spans="1:4" x14ac:dyDescent="0.35">
      <c r="A1548" t="s">
        <v>1842</v>
      </c>
      <c r="B1548">
        <v>1</v>
      </c>
      <c r="C1548" t="str">
        <f t="shared" si="48"/>
        <v>EMSG:Jackson AveraSTRACE:gw.job.QuoteProcess.requestQuote(QuoteProcess.gs:XXXSTRACERAW:-</v>
      </c>
      <c r="D1548" s="3">
        <f t="shared" si="49"/>
        <v>1</v>
      </c>
    </row>
    <row r="1549" spans="1:4" x14ac:dyDescent="0.35">
      <c r="A1549" t="s">
        <v>1843</v>
      </c>
      <c r="B1549">
        <v>1</v>
      </c>
      <c r="C1549" t="str">
        <f t="shared" si="48"/>
        <v>EMSG:Jeffrey MessingSTRACE:com.farmers.config.pa.validator.BrightlineValidator.validateQuoteBrightlineRules(BrightlineValidator.gs:XXXSTRACERAW:-</v>
      </c>
      <c r="D1549" s="3">
        <f t="shared" si="49"/>
        <v>1</v>
      </c>
    </row>
    <row r="1550" spans="1:4" x14ac:dyDescent="0.35">
      <c r="A1550" t="s">
        <v>1844</v>
      </c>
      <c r="B1550">
        <v>1</v>
      </c>
      <c r="C1550" t="str">
        <f t="shared" si="48"/>
        <v>EMSG:Jennifer TorresSTRACE:com.farmers.config.pa.validator.BrightlineValidator.validateQuoteBrightlineRules(BrightlineValidator.gs:XXXSTRACERAW:-</v>
      </c>
      <c r="D1550" s="3">
        <f t="shared" si="49"/>
        <v>1</v>
      </c>
    </row>
    <row r="1551" spans="1:4" x14ac:dyDescent="0.35">
      <c r="A1551" t="s">
        <v>1845</v>
      </c>
      <c r="B1551">
        <v>1</v>
      </c>
      <c r="C1551" t="str">
        <f t="shared" si="48"/>
        <v>EMSG:Jennifer TorresSTRACE:gw.job.QuoteProcess.requestQuote(QuoteProcess.gs:XXXSTRACERAW:-</v>
      </c>
      <c r="D1551" s="3">
        <f t="shared" si="49"/>
        <v>1</v>
      </c>
    </row>
    <row r="1552" spans="1:4" x14ac:dyDescent="0.35">
      <c r="A1552" t="s">
        <v>1846</v>
      </c>
      <c r="B1552">
        <v>1</v>
      </c>
      <c r="C1552" t="str">
        <f t="shared" si="48"/>
        <v>EMSG:Jovita Reyes DeamayaSTRACE:com.farmers.config.pa.validator.BrightlineValidator.validateQuoteBrightlineRules(BrightlineValidator.gs:XXXSTRACERAW:-</v>
      </c>
      <c r="D1552" s="3">
        <f t="shared" si="49"/>
        <v>1</v>
      </c>
    </row>
    <row r="1553" spans="1:4" x14ac:dyDescent="0.35">
      <c r="A1553" t="s">
        <v>1847</v>
      </c>
      <c r="B1553">
        <v>1</v>
      </c>
      <c r="C1553" t="str">
        <f t="shared" si="48"/>
        <v>EMSG:Jovita Reyes DeamayaSTRACE:gw.job.QuoteProcess.requestQuote(QuoteProcess.gs:XXXSTRACERAW:-</v>
      </c>
      <c r="D1553" s="3">
        <f t="shared" si="49"/>
        <v>1</v>
      </c>
    </row>
    <row r="1554" spans="1:4" x14ac:dyDescent="0.35">
      <c r="A1554" t="s">
        <v>1848</v>
      </c>
      <c r="B1554">
        <v>1</v>
      </c>
      <c r="C1554" t="str">
        <f t="shared" si="48"/>
        <v>EMSG:Juan SalinasSTRACE:com.farmers.config.pa.validator.BrightlineValidator.validateQuoteBrightlineRules(BrightlineValidator.gs:XXXSTRACERAW:-</v>
      </c>
      <c r="D1554" s="3">
        <f t="shared" si="49"/>
        <v>1</v>
      </c>
    </row>
    <row r="1555" spans="1:4" x14ac:dyDescent="0.35">
      <c r="A1555" t="s">
        <v>1849</v>
      </c>
      <c r="B1555">
        <v>1</v>
      </c>
      <c r="C1555" t="str">
        <f t="shared" si="48"/>
        <v>EMSG:Juan SalinasSTRACE:gw.job.QuoteProcess.requestQuote(QuoteProcess.gs:XXXSTRACERAW:-</v>
      </c>
      <c r="D1555" s="3">
        <f t="shared" si="49"/>
        <v>1</v>
      </c>
    </row>
    <row r="1556" spans="1:4" x14ac:dyDescent="0.35">
      <c r="A1556" t="s">
        <v>1850</v>
      </c>
      <c r="B1556">
        <v>1</v>
      </c>
      <c r="C1556" t="str">
        <f t="shared" si="48"/>
        <v>EMSG:KELEIGH RODRIGUEZSTRACE:com.farmers.config.pa.validator.BrightlineValidator.validateQuoteBrightlineRules(BrightlineValidator.gs:XXXSTRACERAW:-</v>
      </c>
      <c r="D1556" s="3">
        <f t="shared" si="49"/>
        <v>1</v>
      </c>
    </row>
    <row r="1557" spans="1:4" x14ac:dyDescent="0.35">
      <c r="A1557" t="s">
        <v>1851</v>
      </c>
      <c r="B1557">
        <v>1</v>
      </c>
      <c r="C1557" t="str">
        <f t="shared" si="48"/>
        <v>EMSG:KELEIGH RODRIGUEZSTRACE:gw.job.QuoteProcess.requestQuote(QuoteProcess.gs:XXXSTRACERAW:-</v>
      </c>
      <c r="D1557" s="3">
        <f t="shared" si="49"/>
        <v>1</v>
      </c>
    </row>
    <row r="1558" spans="1:4" x14ac:dyDescent="0.35">
      <c r="A1558" t="s">
        <v>1852</v>
      </c>
      <c r="B1558">
        <v>1</v>
      </c>
      <c r="C1558" t="str">
        <f t="shared" si="48"/>
        <v>EMSG:KYLIE GARCIASTRACE:com.farmers.config.pa.validator.BrightlineValidator.validateQuoteBrightlineRules(BrightlineValidator.gs:XXXSTRACERAW:-</v>
      </c>
      <c r="D1558" s="3">
        <f t="shared" si="49"/>
        <v>1</v>
      </c>
    </row>
    <row r="1559" spans="1:4" x14ac:dyDescent="0.35">
      <c r="A1559" t="s">
        <v>1853</v>
      </c>
      <c r="B1559">
        <v>1</v>
      </c>
      <c r="C1559" t="str">
        <f t="shared" si="48"/>
        <v>EMSG:Khanh MartinSTRACE:com.farmers.config.pa.validator.BrightlineValidator.validateQuoteBrightlineRules(BrightlineValidator.gs:XXXSTRACERAW:-</v>
      </c>
      <c r="D1559" s="3">
        <f t="shared" si="49"/>
        <v>1</v>
      </c>
    </row>
    <row r="1560" spans="1:4" x14ac:dyDescent="0.35">
      <c r="A1560" t="s">
        <v>1854</v>
      </c>
      <c r="B1560">
        <v>1</v>
      </c>
      <c r="C1560" t="str">
        <f t="shared" si="48"/>
        <v>EMSG:Khanh MartinSTRACE:gw.job.QuoteProcess.requestQuote(QuoteProcess.gs:XXXSTRACERAW:-</v>
      </c>
      <c r="D1560" s="3">
        <f t="shared" si="49"/>
        <v>1</v>
      </c>
    </row>
    <row r="1561" spans="1:4" x14ac:dyDescent="0.35">
      <c r="A1561" t="s">
        <v>1855</v>
      </c>
      <c r="B1561">
        <v>1</v>
      </c>
      <c r="C1561" t="str">
        <f t="shared" si="48"/>
        <v>EMSG:Kiana StylesSTRACE:com.farmers.config.pa.validator.BrightlineValidator.validateQuoteBrightlineRules(BrightlineValidator.gs:XXXSTRACERAW:-</v>
      </c>
      <c r="D1561" s="3">
        <f t="shared" si="49"/>
        <v>1</v>
      </c>
    </row>
    <row r="1562" spans="1:4" x14ac:dyDescent="0.35">
      <c r="A1562" t="s">
        <v>890</v>
      </c>
      <c r="B1562">
        <v>1</v>
      </c>
      <c r="C1562" t="str">
        <f t="shared" si="48"/>
        <v>EMSG:LHPI Ordering Failed due to TimeOut! - [gw.xml.XmlException: Please use XmlElement.parse( java.io.File ) to parse a file]STRACE:java.base/jdk.internal.reflect.NativeConstructorAccessorImpl.newInstanceXXX(Native MethodSTRACERAW:-</v>
      </c>
      <c r="D1562" s="3">
        <f t="shared" si="49"/>
        <v>1</v>
      </c>
    </row>
    <row r="1563" spans="1:4" x14ac:dyDescent="0.35">
      <c r="A1563" t="s">
        <v>641</v>
      </c>
      <c r="B1563">
        <v>1</v>
      </c>
      <c r="C1563" t="str">
        <f t="shared" si="48"/>
        <v>EMSG:LHPI Ordering Failed! - [Runtime Error  HTTP POST on resource 'https://decisioning.lexisnexisrisk.com:XXX/farmers/fmk' failed: bad gateway (XXX). ESBXXX]STRACE:java.base/jdk.internal.reflect.NativeConstructorAccessorImpl.newInstanceXXX(Native MethodS</v>
      </c>
      <c r="D1563" s="3">
        <f t="shared" si="49"/>
        <v>1</v>
      </c>
    </row>
    <row r="1564" spans="1:4" x14ac:dyDescent="0.35">
      <c r="A1564" t="s">
        <v>1856</v>
      </c>
      <c r="B1564">
        <v>1</v>
      </c>
      <c r="C1564" t="str">
        <f t="shared" si="48"/>
        <v>EMSG:LHPI Ordering Failed! - [Runtime Error]STRACE:java.base/jdk.internal.reflect.GeneratedConstructorAccessorXXX.newInstance(Unknown SourceSTRACERAW:-</v>
      </c>
      <c r="D1564" s="3">
        <f t="shared" si="49"/>
        <v>1</v>
      </c>
    </row>
    <row r="1565" spans="1:4" x14ac:dyDescent="0.35">
      <c r="A1565" t="s">
        <v>1857</v>
      </c>
      <c r="B1565">
        <v>1</v>
      </c>
      <c r="C1565" t="str">
        <f t="shared" si="48"/>
        <v>EMSG:LISA HERNANDEZSTRACE:com.farmers.config.pa.validator.BrightlineValidator.validateQuoteBrightlineRules(BrightlineValidator.gs:XXXSTRACERAW:-</v>
      </c>
      <c r="D1565" s="3">
        <f t="shared" si="49"/>
        <v>1</v>
      </c>
    </row>
    <row r="1566" spans="1:4" x14ac:dyDescent="0.35">
      <c r="A1566" t="s">
        <v>1858</v>
      </c>
      <c r="B1566">
        <v>1</v>
      </c>
      <c r="C1566" t="str">
        <f t="shared" si="48"/>
        <v>EMSG:LISA HERNANDEZSTRACE:gw.job.QuoteProcess.requestQuote(QuoteProcess.gs:XXXSTRACERAW:-</v>
      </c>
      <c r="D1566" s="3">
        <f t="shared" si="49"/>
        <v>1</v>
      </c>
    </row>
    <row r="1567" spans="1:4" x14ac:dyDescent="0.35">
      <c r="A1567" t="s">
        <v>1859</v>
      </c>
      <c r="B1567">
        <v>1</v>
      </c>
      <c r="C1567" t="str">
        <f t="shared" si="48"/>
        <v>EMSG:LORI CASTANEDASTRACE:gw.job.QuoteProcess.requestQuote(QuoteProcess.gs:XXXSTRACERAW:-</v>
      </c>
      <c r="D1567" s="3">
        <f t="shared" si="49"/>
        <v>1</v>
      </c>
    </row>
    <row r="1568" spans="1:4" x14ac:dyDescent="0.35">
      <c r="A1568" t="s">
        <v>1860</v>
      </c>
      <c r="B1568">
        <v>1</v>
      </c>
      <c r="C1568" t="str">
        <f t="shared" si="48"/>
        <v>EMSG:LUIS MARCIAL GUZMANSTRACE:gw.job.QuoteProcess.requestQuote(QuoteProcess.gs:XXXSTRACERAW:-</v>
      </c>
      <c r="D1568" s="3">
        <f t="shared" si="49"/>
        <v>1</v>
      </c>
    </row>
    <row r="1569" spans="1:4" x14ac:dyDescent="0.35">
      <c r="A1569" t="s">
        <v>1861</v>
      </c>
      <c r="B1569">
        <v>1</v>
      </c>
      <c r="C1569" t="str">
        <f t="shared" si="48"/>
        <v>EMSG:LUKE SIGLERSTRACE:com.farmers.config.pa.validator.BrightlineValidator.validateQuoteBrightlineRules(BrightlineValidator.gs:XXXSTRACERAW:-</v>
      </c>
      <c r="D1569" s="3">
        <f t="shared" si="49"/>
        <v>1</v>
      </c>
    </row>
    <row r="1570" spans="1:4" x14ac:dyDescent="0.35">
      <c r="A1570" t="s">
        <v>1862</v>
      </c>
      <c r="B1570">
        <v>1</v>
      </c>
      <c r="C1570" t="str">
        <f t="shared" si="48"/>
        <v>EMSG:LUKE SIGLERSTRACE:gw.job.QuoteProcess.requestQuote(QuoteProcess.gs:XXXSTRACERAW:-</v>
      </c>
      <c r="D1570" s="3">
        <f t="shared" si="49"/>
        <v>1</v>
      </c>
    </row>
    <row r="1571" spans="1:4" x14ac:dyDescent="0.35">
      <c r="A1571" t="s">
        <v>1863</v>
      </c>
      <c r="B1571">
        <v>1</v>
      </c>
      <c r="C1571" t="str">
        <f t="shared" si="48"/>
        <v>EMSG:Leon ShenfieldSTRACE:com.farmers.config.pa.validator.BrightlineValidator.validateQuoteBrightlineRules(BrightlineValidator.gs:XXXSTRACERAW:-</v>
      </c>
      <c r="D1571" s="3">
        <f t="shared" si="49"/>
        <v>1</v>
      </c>
    </row>
    <row r="1572" spans="1:4" x14ac:dyDescent="0.35">
      <c r="A1572" t="s">
        <v>1864</v>
      </c>
      <c r="B1572">
        <v>1</v>
      </c>
      <c r="C1572" t="str">
        <f t="shared" si="48"/>
        <v>EMSG:Leon ShenfieldSTRACE:gw.job.QuoteProcess.requestQuote(QuoteProcess.gs:XXXSTRACERAW:-</v>
      </c>
      <c r="D1572" s="3">
        <f t="shared" si="49"/>
        <v>1</v>
      </c>
    </row>
    <row r="1573" spans="1:4" x14ac:dyDescent="0.35">
      <c r="A1573" t="s">
        <v>1865</v>
      </c>
      <c r="B1573">
        <v>1</v>
      </c>
      <c r="C1573" t="str">
        <f t="shared" si="48"/>
        <v>EMSG:Lisa BergeronSTRACE:com.farmers.config.pa.validator.BrightlineValidator.validateQuoteBrightlineRules(BrightlineValidator.gs:XXXSTRACERAW:-</v>
      </c>
      <c r="D1573" s="3">
        <f t="shared" si="49"/>
        <v>1</v>
      </c>
    </row>
    <row r="1574" spans="1:4" x14ac:dyDescent="0.35">
      <c r="A1574" t="s">
        <v>1866</v>
      </c>
      <c r="B1574">
        <v>1</v>
      </c>
      <c r="C1574" t="str">
        <f t="shared" si="48"/>
        <v>EMSG:Lisa HarperSTRACE:com.farmers.config.pa.validator.BrightlineValidator.validateQuoteBrightlineRules(BrightlineValidator.gs:XXXSTRACERAW:-</v>
      </c>
      <c r="D1574" s="3">
        <f t="shared" si="49"/>
        <v>1</v>
      </c>
    </row>
    <row r="1575" spans="1:4" x14ac:dyDescent="0.35">
      <c r="A1575" t="s">
        <v>1867</v>
      </c>
      <c r="B1575">
        <v>1</v>
      </c>
      <c r="C1575" t="str">
        <f t="shared" si="48"/>
        <v>EMSG:Lisa HarperSTRACE:gw.job.QuoteProcess.requestQuote(QuoteProcess.gs:XXXSTRACERAW:-</v>
      </c>
      <c r="D1575" s="3">
        <f t="shared" si="49"/>
        <v>1</v>
      </c>
    </row>
    <row r="1576" spans="1:4" x14ac:dyDescent="0.35">
      <c r="A1576" t="s">
        <v>1868</v>
      </c>
      <c r="B1576">
        <v>1</v>
      </c>
      <c r="C1576" t="str">
        <f t="shared" si="48"/>
        <v>EMSG:MANUEL ALEJANDR ARTEAGASTRACE:com.farmers.config.pa.validator.BrightlineValidator.validateQuoteBrightlineRules(BrightlineValidator.gs:XXXSTRACERAW:-</v>
      </c>
      <c r="D1576" s="3">
        <f t="shared" si="49"/>
        <v>1</v>
      </c>
    </row>
    <row r="1577" spans="1:4" x14ac:dyDescent="0.35">
      <c r="A1577" t="s">
        <v>1869</v>
      </c>
      <c r="B1577">
        <v>1</v>
      </c>
      <c r="C1577" t="str">
        <f t="shared" si="48"/>
        <v>EMSG:MANUEL ALEJANDR ARTEAGASTRACE:gw.job.QuoteProcess.requestQuote(QuoteProcess.gs:XXXSTRACERAW:-</v>
      </c>
      <c r="D1577" s="3">
        <f t="shared" si="49"/>
        <v>1</v>
      </c>
    </row>
    <row r="1578" spans="1:4" x14ac:dyDescent="0.35">
      <c r="A1578" t="s">
        <v>1870</v>
      </c>
      <c r="B1578">
        <v>1</v>
      </c>
      <c r="C1578" t="str">
        <f t="shared" si="48"/>
        <v>EMSG:MARIA SOCORRO DURANSTRACE:com.farmers.config.pa.validator.BrightlineValidator.validateQuoteBrightlineRules(BrightlineValidator.gs:XXXSTRACERAW:-</v>
      </c>
      <c r="D1578" s="3">
        <f t="shared" si="49"/>
        <v>1</v>
      </c>
    </row>
    <row r="1579" spans="1:4" x14ac:dyDescent="0.35">
      <c r="A1579" t="s">
        <v>1871</v>
      </c>
      <c r="B1579">
        <v>1</v>
      </c>
      <c r="C1579" t="str">
        <f t="shared" si="48"/>
        <v>EMSG:MARIA SOCORRO DURANSTRACE:gw.job.QuoteProcess.requestQuote(QuoteProcess.gs:XXXSTRACERAW:-</v>
      </c>
      <c r="D1579" s="3">
        <f t="shared" si="49"/>
        <v>1</v>
      </c>
    </row>
    <row r="1580" spans="1:4" x14ac:dyDescent="0.35">
      <c r="A1580" t="s">
        <v>1872</v>
      </c>
      <c r="B1580">
        <v>1</v>
      </c>
      <c r="C1580" t="str">
        <f t="shared" si="48"/>
        <v>EMSG:MARIANA BECERRIL-MAGALLONSTRACE:com.farmers.config.pa.validator.BrightlineValidator.validateQuoteBrightlineRules(BrightlineValidator.gs:XXXSTRACERAW:-</v>
      </c>
      <c r="D1580" s="3">
        <f t="shared" si="49"/>
        <v>1</v>
      </c>
    </row>
    <row r="1581" spans="1:4" x14ac:dyDescent="0.35">
      <c r="A1581" t="s">
        <v>1873</v>
      </c>
      <c r="B1581">
        <v>1</v>
      </c>
      <c r="C1581" t="str">
        <f t="shared" si="48"/>
        <v>EMSG:MARIANA BECERRIL-MAGALLONSTRACE:gw.job.QuoteProcess.requestQuote(QuoteProcess.gs:XXXSTRACERAW:-</v>
      </c>
      <c r="D1581" s="3">
        <f t="shared" si="49"/>
        <v>1</v>
      </c>
    </row>
    <row r="1582" spans="1:4" x14ac:dyDescent="0.35">
      <c r="A1582" t="s">
        <v>1874</v>
      </c>
      <c r="B1582">
        <v>1</v>
      </c>
      <c r="C1582" t="str">
        <f t="shared" si="48"/>
        <v>EMSG:MATTHEW BURKETTSTRACE:com.farmers.config.pa.validator.BrightlineValidator.validateQuoteBrightlineRules(BrightlineValidator.gs:XXXSTRACERAW:-</v>
      </c>
      <c r="D1582" s="3">
        <f t="shared" si="49"/>
        <v>1</v>
      </c>
    </row>
    <row r="1583" spans="1:4" x14ac:dyDescent="0.35">
      <c r="A1583" t="s">
        <v>1875</v>
      </c>
      <c r="B1583">
        <v>1</v>
      </c>
      <c r="C1583" t="str">
        <f t="shared" si="48"/>
        <v>EMSG:MATTHEW BURKETTSTRACE:gw.job.QuoteProcess.requestQuote(QuoteProcess.gs:XXXSTRACERAW:-</v>
      </c>
      <c r="D1583" s="3">
        <f t="shared" si="49"/>
        <v>1</v>
      </c>
    </row>
    <row r="1584" spans="1:4" x14ac:dyDescent="0.35">
      <c r="A1584" t="s">
        <v>1876</v>
      </c>
      <c r="B1584">
        <v>1</v>
      </c>
      <c r="C1584" t="str">
        <f t="shared" si="48"/>
        <v>EMSG:MDMPolicyDetail_Ext:XXX deleted from databaseSTRACE:deployment.pc.war//com.guidewire.pl.system.database.entitywriter.DatabaseEntityWriterImpl.writeSingleBeanUpdate(DatabaseEntityWriterImpl.java:XXXSTRACERAW:-</v>
      </c>
      <c r="D1584" s="3">
        <f t="shared" si="49"/>
        <v>1</v>
      </c>
    </row>
    <row r="1585" spans="1:4" x14ac:dyDescent="0.35">
      <c r="A1585" t="s">
        <v>1877</v>
      </c>
      <c r="B1585">
        <v>1</v>
      </c>
      <c r="C1585" t="str">
        <f t="shared" si="48"/>
        <v>EMSG:MICHAELA BLAKESTADSTRACE:com.farmers.config.pa.validator.BrightlineValidator.validateQuoteBrightlineRules(BrightlineValidator.gs:XXXSTRACERAW:-</v>
      </c>
      <c r="D1585" s="3">
        <f t="shared" si="49"/>
        <v>1</v>
      </c>
    </row>
    <row r="1586" spans="1:4" x14ac:dyDescent="0.35">
      <c r="A1586" t="s">
        <v>1878</v>
      </c>
      <c r="B1586">
        <v>1</v>
      </c>
      <c r="C1586" t="str">
        <f t="shared" si="48"/>
        <v>EMSG:MICHAELA BLAKESTADSTRACE:gw.job.QuoteProcess.requestQuote(QuoteProcess.gs:XXXSTRACERAW:-</v>
      </c>
      <c r="D1586" s="3">
        <f t="shared" si="49"/>
        <v>1</v>
      </c>
    </row>
    <row r="1587" spans="1:4" x14ac:dyDescent="0.35">
      <c r="A1587" t="s">
        <v>1879</v>
      </c>
      <c r="B1587">
        <v>1</v>
      </c>
      <c r="C1587" t="str">
        <f t="shared" si="48"/>
        <v>EMSG:MICHELLE BRYANTSTRACE:com.farmers.config.pa.validator.BrightlineValidator.validateQuoteBrightlineRules(BrightlineValidator.gs:XXXSTRACERAW:-</v>
      </c>
      <c r="D1587" s="3">
        <f t="shared" si="49"/>
        <v>1</v>
      </c>
    </row>
    <row r="1588" spans="1:4" x14ac:dyDescent="0.35">
      <c r="A1588" t="s">
        <v>1880</v>
      </c>
      <c r="B1588">
        <v>1</v>
      </c>
      <c r="C1588" t="str">
        <f t="shared" si="48"/>
        <v>EMSG:MICHELLE BRYANTSTRACE:gw.job.QuoteProcess.requestQuote(QuoteProcess.gs:XXXSTRACERAW:-</v>
      </c>
      <c r="D1588" s="3">
        <f t="shared" si="49"/>
        <v>1</v>
      </c>
    </row>
    <row r="1589" spans="1:4" x14ac:dyDescent="0.35">
      <c r="A1589" t="s">
        <v>1881</v>
      </c>
      <c r="B1589">
        <v>1</v>
      </c>
      <c r="C1589" t="str">
        <f t="shared" si="48"/>
        <v>EMSG:Margarito LaraSTRACE:com.farmers.config.pa.validator.BrightlineValidator.validateQuoteBrightlineRules(BrightlineValidator.gs:XXXSTRACERAW:-</v>
      </c>
      <c r="D1589" s="3">
        <f t="shared" si="49"/>
        <v>1</v>
      </c>
    </row>
    <row r="1590" spans="1:4" x14ac:dyDescent="0.35">
      <c r="A1590" t="s">
        <v>1882</v>
      </c>
      <c r="B1590">
        <v>1</v>
      </c>
      <c r="C1590" t="str">
        <f t="shared" si="48"/>
        <v>EMSG:Margarito LaraSTRACE:gw.job.QuoteProcess.requestQuote(QuoteProcess.gs:XXXSTRACERAW:-</v>
      </c>
      <c r="D1590" s="3">
        <f t="shared" si="49"/>
        <v>1</v>
      </c>
    </row>
    <row r="1591" spans="1:4" x14ac:dyDescent="0.35">
      <c r="A1591" t="s">
        <v>1883</v>
      </c>
      <c r="B1591">
        <v>1</v>
      </c>
      <c r="C1591" t="str">
        <f t="shared" si="48"/>
        <v>EMSG:Mayra LopezSTRACE:com.farmers.config.pa.validator.BrightlineValidator.validateQuoteBrightlineRules(BrightlineValidator.gs:XXXSTRACERAW:-</v>
      </c>
      <c r="D1591" s="3">
        <f t="shared" si="49"/>
        <v>1</v>
      </c>
    </row>
    <row r="1592" spans="1:4" x14ac:dyDescent="0.35">
      <c r="A1592" t="s">
        <v>510</v>
      </c>
      <c r="B1592">
        <v>1</v>
      </c>
      <c r="C1592" t="str">
        <f t="shared" si="48"/>
        <v>EMSG:Mention period is cancelledSTRACE:com.farmers.integ.framework.job.automatejob.AutomatedJob.handleSpillOverExceptions(AutomatedJob.gs:XXXSTRACERAW:-</v>
      </c>
      <c r="D1592" s="3">
        <f t="shared" si="49"/>
        <v>1</v>
      </c>
    </row>
    <row r="1593" spans="1:4" x14ac:dyDescent="0.35">
      <c r="A1593" t="s">
        <v>50</v>
      </c>
      <c r="B1593">
        <v>1</v>
      </c>
      <c r="C1593" t="str">
        <f t="shared" si="48"/>
        <v>EMSG:Message replied as retryable errorSTRACE:-STRACERAW:</v>
      </c>
      <c r="D1593" s="3">
        <f t="shared" si="49"/>
        <v>1</v>
      </c>
    </row>
    <row r="1594" spans="1:4" ht="29" x14ac:dyDescent="0.35">
      <c r="A1594" s="4" t="s">
        <v>1884</v>
      </c>
      <c r="B1594">
        <v>1</v>
      </c>
      <c r="C1594" t="str">
        <f t="shared" si="48"/>
        <v>EMSG:Multiple onsetting costs with same cost key (BillGroup:nullSTRACE:Jan XXX XXX:XXX:XXX PST XXX
  Cost Base Premium - Fire NonWildfire (cost:XXXSTRACERAW:-</v>
      </c>
      <c r="D1594" s="3">
        <f t="shared" si="49"/>
        <v>1</v>
      </c>
    </row>
    <row r="1595" spans="1:4" x14ac:dyDescent="0.35">
      <c r="A1595" t="s">
        <v>1885</v>
      </c>
      <c r="B1595">
        <v>1</v>
      </c>
      <c r="C1595" t="str">
        <f t="shared" si="48"/>
        <v>EMSG:NASREEN MALIKSTRACE:com.farmers.config.pa.validator.BrightlineValidator.validateQuoteBrightlineRules(BrightlineValidator.gs:XXXSTRACERAW:-</v>
      </c>
      <c r="D1595" s="3">
        <f t="shared" si="49"/>
        <v>1</v>
      </c>
    </row>
    <row r="1596" spans="1:4" x14ac:dyDescent="0.35">
      <c r="A1596" t="s">
        <v>1886</v>
      </c>
      <c r="B1596">
        <v>1</v>
      </c>
      <c r="C1596" t="str">
        <f t="shared" si="48"/>
        <v>EMSG:NASREEN MALIKSTRACE:gw.job.QuoteProcess.requestQuote(QuoteProcess.gs:XXXSTRACERAW:-</v>
      </c>
      <c r="D1596" s="3">
        <f t="shared" si="49"/>
        <v>1</v>
      </c>
    </row>
    <row r="1597" spans="1:4" x14ac:dyDescent="0.35">
      <c r="A1597" t="s">
        <v>1252</v>
      </c>
      <c r="B1597">
        <v>1</v>
      </c>
      <c r="C1597" t="str">
        <f t="shared" si="48"/>
        <v>EMSG:No Contact definedSTRACE:deployment.pc.war//com.guidewire.pc.domain.account.impl.AccountContactImpl.getContactType(AccountContactImpl.java:XXXSTRACERAW:-</v>
      </c>
      <c r="D1597" s="3">
        <f t="shared" si="49"/>
        <v>1</v>
      </c>
    </row>
    <row r="1598" spans="1:4" x14ac:dyDescent="0.35">
      <c r="A1598" t="s">
        <v>1887</v>
      </c>
      <c r="B1598">
        <v>1</v>
      </c>
      <c r="C1598" t="str">
        <f t="shared" si="48"/>
        <v>EMSG:No Policy foundSTRACE:edge.capabilities.helpers.PolicyUtil.getPolicyByPolicyNumber(PolicyUtil.gs:XXXSTRACERAW:-</v>
      </c>
      <c r="D1598" s="3">
        <f t="shared" si="49"/>
        <v>1</v>
      </c>
    </row>
    <row r="1599" spans="1:4" x14ac:dyDescent="0.35">
      <c r="A1599" t="s">
        <v>869</v>
      </c>
      <c r="B1599">
        <v>1</v>
      </c>
      <c r="C1599" t="str">
        <f t="shared" si="48"/>
        <v>EMSG:No period for this effective dateSTRACE:edge.capabilities.gateway.job.cancellation.CancellationHandler.createCancellation(CancellationHandler.gs:XXXSTRACERAW:-</v>
      </c>
      <c r="D1599" s="3">
        <f t="shared" si="49"/>
        <v>1</v>
      </c>
    </row>
    <row r="1600" spans="1:4" x14ac:dyDescent="0.35">
      <c r="A1600" t="s">
        <v>991</v>
      </c>
      <c r="B1600">
        <v>1</v>
      </c>
      <c r="C1600" t="str">
        <f t="shared" si="48"/>
        <v>EMSG:ODSReconciliationProcessor#processPolicyPeriod : Exception Occurred com.guidewire.pl.system.entity.proxy.OneToOneException: Found more than one target of the property XXXSTRACE:com.farmers.integ.batch.odsreconciliation.util.ODSReconciliationProcessor</v>
      </c>
      <c r="D1600" s="3">
        <f t="shared" si="49"/>
        <v>1</v>
      </c>
    </row>
    <row r="1601" spans="1:4" x14ac:dyDescent="0.35">
      <c r="A1601" t="s">
        <v>1888</v>
      </c>
      <c r="B1601">
        <v>1</v>
      </c>
      <c r="C1601" t="str">
        <f t="shared" si="48"/>
        <v>EMSG:OLGA PADALIAKA-SILVERSTRACE:com.farmers.config.pa.validator.BrightlineValidator.validateQuoteBrightlineRules(BrightlineValidator.gs:XXXSTRACERAW:-</v>
      </c>
      <c r="D1601" s="3">
        <f t="shared" si="49"/>
        <v>1</v>
      </c>
    </row>
    <row r="1602" spans="1:4" x14ac:dyDescent="0.35">
      <c r="A1602" t="s">
        <v>1889</v>
      </c>
      <c r="B1602">
        <v>1</v>
      </c>
      <c r="C1602" t="str">
        <f t="shared" ref="C1602:C1665" si="50">LEFT(A1602,255)</f>
        <v>EMSG:OLGA PADALIAKA-SILVERSTRACE:gw.job.QuoteProcess.requestQuote(QuoteProcess.gs:XXXSTRACERAW:-</v>
      </c>
      <c r="D1602" s="3">
        <f t="shared" ref="D1602:D1665" si="51">IF(AND((B1602/10)&lt;1,(B1602/10)&gt;0),1,(B1602/10)*130%)</f>
        <v>1</v>
      </c>
    </row>
    <row r="1603" spans="1:4" x14ac:dyDescent="0.35">
      <c r="A1603" t="s">
        <v>1890</v>
      </c>
      <c r="B1603">
        <v>1</v>
      </c>
      <c r="C1603" t="str">
        <f t="shared" si="50"/>
        <v>EMSG:One or more null constraint violations detected for AccountLocationSTRACE:deployment.pc.war//com.guidewire.pl.system.database.entitywriter.DatabaseEntityWriterImpl.checkForNullConstraintViolation(DatabaseEntityWriterImpl.java:XXXSTRACERAW:-</v>
      </c>
      <c r="D1603" s="3">
        <f t="shared" si="51"/>
        <v>1</v>
      </c>
    </row>
    <row r="1604" spans="1:4" x14ac:dyDescent="0.35">
      <c r="A1604" t="s">
        <v>1107</v>
      </c>
      <c r="B1604">
        <v>1</v>
      </c>
      <c r="C1604" t="str">
        <f t="shared" si="50"/>
        <v>EMSG:One or more null constraint violations detected for AutoNumberSequenceSTRACE:deployment.pc.war//com.guidewire.pl.system.database.entitywriter.DatabaseEntityWriterImpl.checkForNullConstraintViolation(DatabaseEntityWriterImpl.java:XXXSTRACERAW:-</v>
      </c>
      <c r="D1604" s="3">
        <f t="shared" si="51"/>
        <v>1</v>
      </c>
    </row>
    <row r="1605" spans="1:4" x14ac:dyDescent="0.35">
      <c r="A1605" t="s">
        <v>1108</v>
      </c>
      <c r="B1605">
        <v>1</v>
      </c>
      <c r="C1605" t="str">
        <f t="shared" si="50"/>
        <v>EMSG:One or more null constraint violations detected for Dwelling_HOESTRACE:deployment.pc.war//com.guidewire.pl.system.database.entitywriter.DatabaseEntityWriterImpl.checkForNullConstraintViolation(DatabaseEntityWriterImpl.java:XXXSTRACERAW:-</v>
      </c>
      <c r="D1605" s="3">
        <f t="shared" si="51"/>
        <v>1</v>
      </c>
    </row>
    <row r="1606" spans="1:4" x14ac:dyDescent="0.35">
      <c r="A1606" t="s">
        <v>824</v>
      </c>
      <c r="B1606">
        <v>1</v>
      </c>
      <c r="C1606" t="str">
        <f t="shared" si="50"/>
        <v>EMSG:One or more null constraint violations detected for HOLocation_HOESTRACE:deployment.pc.war//com.guidewire.pl.system.database.entitywriter.DatabaseEntityWriterImpl.checkForNullConstraintViolation(DatabaseEntityWriterImpl.java:XXXSTRACERAW:-</v>
      </c>
      <c r="D1606" s="3">
        <f t="shared" si="51"/>
        <v>1</v>
      </c>
    </row>
    <row r="1607" spans="1:4" x14ac:dyDescent="0.35">
      <c r="A1607" t="s">
        <v>863</v>
      </c>
      <c r="B1607">
        <v>1</v>
      </c>
      <c r="C1607" t="str">
        <f t="shared" si="50"/>
        <v>EMSG:One or more null constraint violations detected for PolicyLocationSTRACE:deployment.pc.war//com.guidewire.pl.system.database.entitywriter.DatabaseEntityWriterImpl.checkForNullConstraintViolation(DatabaseEntityWriterImpl.java:XXXSTRACERAW:-</v>
      </c>
      <c r="D1607" s="3">
        <f t="shared" si="51"/>
        <v>1</v>
      </c>
    </row>
    <row r="1608" spans="1:4" x14ac:dyDescent="0.35">
      <c r="A1608" t="s">
        <v>1109</v>
      </c>
      <c r="B1608">
        <v>1</v>
      </c>
      <c r="C1608" t="str">
        <f t="shared" si="50"/>
        <v>EMSG:One or more null constraint violations detected for PolicySTRACE:deployment.pc.war//com.guidewire.pl.system.database.entitywriter.DatabaseEntityWriterImpl.checkForNullConstraintViolation(DatabaseEntityWriterImpl.java:XXXSTRACERAW:-</v>
      </c>
      <c r="D1608" s="3">
        <f t="shared" si="51"/>
        <v>1</v>
      </c>
    </row>
    <row r="1609" spans="1:4" x14ac:dyDescent="0.35">
      <c r="A1609" t="s">
        <v>1891</v>
      </c>
      <c r="B1609">
        <v>1</v>
      </c>
      <c r="C1609" t="str">
        <f t="shared" si="50"/>
        <v>EMSG:Owen CorwinSTRACE:gw.job.QuoteProcess.requestQuote(QuoteProcess.gs:XXXSTRACERAW:-</v>
      </c>
      <c r="D1609" s="3">
        <f t="shared" si="51"/>
        <v>1</v>
      </c>
    </row>
    <row r="1610" spans="1:4" x14ac:dyDescent="0.35">
      <c r="A1610" t="s">
        <v>1197</v>
      </c>
      <c r="B1610">
        <v>1</v>
      </c>
      <c r="C1610" t="str">
        <f t="shared" si="50"/>
        <v>EMSG:PAVehicleModifier with FixedID:XXX and window XXXSTRACE:deployment.pc.war//com.guidewire.pl.system.entity.proxy.EffDatedVersionListImpl.lambda$isNonOverlapping$XXX(EffDatedVersionListImpl.java:XXXSTRACERAW:-</v>
      </c>
      <c r="D1610" s="3">
        <f t="shared" si="51"/>
        <v>1</v>
      </c>
    </row>
    <row r="1611" spans="1:4" x14ac:dyDescent="0.35">
      <c r="A1611" t="s">
        <v>1892</v>
      </c>
      <c r="B1611">
        <v>1</v>
      </c>
      <c r="C1611" t="str">
        <f t="shared" si="50"/>
        <v>EMSG:PETER OSANOSTRACE:com.farmers.config.pa.validator.BrightlineValidator.validateQuoteBrightlineRules(BrightlineValidator.gs:XXXSTRACERAW:-</v>
      </c>
      <c r="D1611" s="3">
        <f t="shared" si="51"/>
        <v>1</v>
      </c>
    </row>
    <row r="1612" spans="1:4" x14ac:dyDescent="0.35">
      <c r="A1612" t="s">
        <v>1893</v>
      </c>
      <c r="B1612">
        <v>1</v>
      </c>
      <c r="C1612" t="str">
        <f t="shared" si="50"/>
        <v>EMSG:PETER OSANOSTRACE:gw.job.QuoteProcess.requestQuote(QuoteProcess.gs:XXXSTRACERAW:-</v>
      </c>
      <c r="D1612" s="3">
        <f t="shared" si="51"/>
        <v>1</v>
      </c>
    </row>
    <row r="1613" spans="1:4" x14ac:dyDescent="0.35">
      <c r="A1613" t="s">
        <v>1894</v>
      </c>
      <c r="B1613">
        <v>1</v>
      </c>
      <c r="C1613" t="str">
        <f t="shared" si="50"/>
        <v>EMSG:Pedro OrozcoSTRACE:com.farmers.config.pa.validator.BrightlineValidator.validateQuoteBrightlineRules(BrightlineValidator.gs:XXXSTRACERAW:-</v>
      </c>
      <c r="D1613" s="3">
        <f t="shared" si="51"/>
        <v>1</v>
      </c>
    </row>
    <row r="1614" spans="1:4" x14ac:dyDescent="0.35">
      <c r="A1614" t="s">
        <v>1895</v>
      </c>
      <c r="B1614">
        <v>1</v>
      </c>
      <c r="C1614" t="str">
        <f t="shared" si="50"/>
        <v>EMSG:Personal Auto Line: Coverage is on Accident Forgiveness is now available and its value must be verified by the user.; XXX ACURA RDX XXXD XXXWD in Colorado: Coverage is on Comprehensive is now available and its value must be verified by the user.; XXX</v>
      </c>
      <c r="D1614" s="3">
        <f t="shared" si="51"/>
        <v>1</v>
      </c>
    </row>
    <row r="1615" spans="1:4" x14ac:dyDescent="0.35">
      <c r="A1615" t="s">
        <v>1896</v>
      </c>
      <c r="B1615">
        <v>1</v>
      </c>
      <c r="C1615" t="str">
        <f t="shared" si="50"/>
        <v>EMSG:PersonalVehicleCovCost with FixedID:XXX and window XXXSTRACE:deployment.pc.war//com.guidewire.pl.system.entity.proxy.EffDatedVersionListImpl.lambda$isNonOverlapping$XXX(EffDatedVersionListImpl.java:XXXSTRACERAW:-</v>
      </c>
      <c r="D1615" s="3">
        <f t="shared" si="51"/>
        <v>1</v>
      </c>
    </row>
    <row r="1616" spans="1:4" x14ac:dyDescent="0.35">
      <c r="A1616" t="s">
        <v>1111</v>
      </c>
      <c r="B1616">
        <v>1</v>
      </c>
      <c r="C1616" t="str">
        <f t="shared" si="50"/>
        <v>EMSG:Policy is not eligible for new Auto Product due to a driver's Suspended license status. Add Financial Responsibility Filing or Exclude Driver to proceed further.STRACE:com.farmers.config.pa.validator.BrightlineValidator.validateQuoteBrightlineRules(B</v>
      </c>
      <c r="D1616" s="3">
        <f t="shared" si="51"/>
        <v>1</v>
      </c>
    </row>
    <row r="1617" spans="1:4" x14ac:dyDescent="0.35">
      <c r="A1617" t="s">
        <v>412</v>
      </c>
      <c r="B1617">
        <v>1</v>
      </c>
      <c r="C1617" t="str">
        <f t="shared" si="50"/>
        <v>EMSG:Policy is not eligible for new Auto Product due to driver with a foreign driverâ€™s license.STRACE:com.farmers.config.pa.validator.BrightlineValidator.validateQuoteBrightlineRules(BrightlineValidator.gs:XXXSTRACERAW:-</v>
      </c>
      <c r="D1617" s="3">
        <f t="shared" si="51"/>
        <v>1</v>
      </c>
    </row>
    <row r="1618" spans="1:4" x14ac:dyDescent="0.35">
      <c r="A1618" t="s">
        <v>1112</v>
      </c>
      <c r="B1618">
        <v>1</v>
      </c>
      <c r="C1618" t="str">
        <f t="shared" si="50"/>
        <v>EMSG:Policy is not eligible for new Auto Product due to driver(s) with unacceptable license status. Drivers with an unacceptable license status may be excluded by request in CO.STRACE:gw.job.QuoteProcess.requestQuote(QuoteProcess.gs:XXXSTRACERAW:-</v>
      </c>
      <c r="D1618" s="3">
        <f t="shared" si="51"/>
        <v>1</v>
      </c>
    </row>
    <row r="1619" spans="1:4" x14ac:dyDescent="0.35">
      <c r="A1619" t="s">
        <v>1897</v>
      </c>
      <c r="B1619">
        <v>1</v>
      </c>
      <c r="C1619" t="str">
        <f t="shared" si="50"/>
        <v>EMSG:PolicyDriver with FixedID:XXX and window XXXSTRACE:deployment.pc.war//com.guidewire.pl.system.entity.proxy.EffDatedVersionListImpl.lambda$isNonOverlapping$XXX(EffDatedVersionListImpl.java:XXXSTRACERAW:-</v>
      </c>
      <c r="D1619" s="3">
        <f t="shared" si="51"/>
        <v>1</v>
      </c>
    </row>
    <row r="1620" spans="1:4" ht="29" x14ac:dyDescent="0.35">
      <c r="A1620" s="4" t="s">
        <v>1898</v>
      </c>
      <c r="B1620">
        <v>1</v>
      </c>
      <c r="C1620" t="str">
        <f t="shared" si="50"/>
        <v>EMSG:PolicyPriNamedInsured with FixedID:XXX and window XXXSTRACE:Jul XXX XXX:XXX:XXX PDT XXX
	at deployment.pc.war//com.guidewire.pl.system.entity.proxy.EffDatedVersionListImpl.lambda$isNonOverlapping$XXX(EffDatedVersionListImpl.java:XXXSTRACERAW:-</v>
      </c>
      <c r="D1620" s="3">
        <f t="shared" si="51"/>
        <v>1</v>
      </c>
    </row>
    <row r="1621" spans="1:4" x14ac:dyDescent="0.35">
      <c r="A1621" t="s">
        <v>1899</v>
      </c>
      <c r="B1621">
        <v>1</v>
      </c>
      <c r="C1621" t="str">
        <f t="shared" si="50"/>
        <v>EMSG:ProducerCode doesnt' exist in PCSTRACE:com.farmers.edge.capabilities.conversion.ProductRewriteHandler.retrieveProducerCode(ProductRewriteHandler.gs:XXXSTRACERAW:-</v>
      </c>
      <c r="D1621" s="3">
        <f t="shared" si="51"/>
        <v>1</v>
      </c>
    </row>
    <row r="1622" spans="1:4" x14ac:dyDescent="0.35">
      <c r="A1622" t="s">
        <v>844</v>
      </c>
      <c r="B1622">
        <v>1</v>
      </c>
      <c r="C1622" t="str">
        <f t="shared" si="50"/>
        <v>EMSG:PropertySTRACE:deployment.pc.war//gw.internal.gosu.ir.transform.expression.MemberAccessTransformer.autoCreateEntityInstance(MemberAccessTransformer.java:XXXSTRACERAW:-</v>
      </c>
      <c r="D1622" s="3">
        <f t="shared" si="51"/>
        <v>1</v>
      </c>
    </row>
    <row r="1623" spans="1:4" x14ac:dyDescent="0.35">
      <c r="A1623" t="s">
        <v>1900</v>
      </c>
      <c r="B1623">
        <v>1</v>
      </c>
      <c r="C1623" t="str">
        <f t="shared" si="50"/>
        <v>EMSG:Question Separate structures on the property are properly maintained and all repairs have been completed. already has an answer definedSTRACE:deployment.pc.war//com.guidewire.pc.domain.question.impl.AnswerContainerImpl.createAnswer(AnswerContainerImp</v>
      </c>
      <c r="D1623" s="3">
        <f t="shared" si="51"/>
        <v>1</v>
      </c>
    </row>
    <row r="1624" spans="1:4" x14ac:dyDescent="0.35">
      <c r="A1624" t="s">
        <v>1901</v>
      </c>
      <c r="B1624">
        <v>1</v>
      </c>
      <c r="C1624" t="str">
        <f t="shared" si="50"/>
        <v>EMSG:RACHEL HUDSONSTRACE:com.farmers.config.pa.validator.BrightlineValidator.validateQuoteBrightlineRules(BrightlineValidator.gs:XXXSTRACERAW:-</v>
      </c>
      <c r="D1624" s="3">
        <f t="shared" si="51"/>
        <v>1</v>
      </c>
    </row>
    <row r="1625" spans="1:4" x14ac:dyDescent="0.35">
      <c r="A1625" t="s">
        <v>1902</v>
      </c>
      <c r="B1625">
        <v>1</v>
      </c>
      <c r="C1625" t="str">
        <f t="shared" si="50"/>
        <v>EMSG:Raymond TruongSTRACE:com.farmers.config.pa.validator.BrightlineValidator.validateQuoteBrightlineRules(BrightlineValidator.gs:XXXSTRACERAW:-</v>
      </c>
      <c r="D1625" s="3">
        <f t="shared" si="51"/>
        <v>1</v>
      </c>
    </row>
    <row r="1626" spans="1:4" x14ac:dyDescent="0.35">
      <c r="A1626" t="s">
        <v>1903</v>
      </c>
      <c r="B1626">
        <v>1</v>
      </c>
      <c r="C1626" t="str">
        <f t="shared" si="50"/>
        <v>EMSG:Raymond TruongSTRACE:gw.job.QuoteProcess.requestQuote(QuoteProcess.gs:XXXSTRACERAW:-</v>
      </c>
      <c r="D1626" s="3">
        <f t="shared" si="51"/>
        <v>1</v>
      </c>
    </row>
    <row r="1627" spans="1:4" x14ac:dyDescent="0.35">
      <c r="A1627" t="s">
        <v>1904</v>
      </c>
      <c r="B1627">
        <v>1</v>
      </c>
      <c r="C1627" t="str">
        <f t="shared" si="50"/>
        <v>EMSG:Re-enter "License #". Duplicate License Number entered for the following Drivers JAMESE TANNERSTRACE:edge.capabilities.quote.submission.quoting.util.SubmissionUnderwritingIssuesUtil.checkVerifyRateExceptions(SubmissionUnderwritingIssuesUtil.gs:XXXSTR</v>
      </c>
      <c r="D1627" s="3">
        <f t="shared" si="51"/>
        <v>1</v>
      </c>
    </row>
    <row r="1628" spans="1:4" x14ac:dyDescent="0.35">
      <c r="A1628" t="s">
        <v>882</v>
      </c>
      <c r="B1628">
        <v>1</v>
      </c>
      <c r="C1628" t="str">
        <f t="shared" si="50"/>
        <v>EMSG:Remove Extended Replacement Cost coverage. Extended Replacement Cost cannot be selected when Dwelling Coverage is less than Reconstruction Cost Estimate.;STRACE:edge.capabilities.quote.submission.quoting.util.SubmissionUnderwritingIssuesUtil.checkVer</v>
      </c>
      <c r="D1628" s="3">
        <f t="shared" si="51"/>
        <v>1</v>
      </c>
    </row>
    <row r="1629" spans="1:4" x14ac:dyDescent="0.35">
      <c r="A1629" t="s">
        <v>1905</v>
      </c>
      <c r="B1629">
        <v>1</v>
      </c>
      <c r="C1629" t="str">
        <f t="shared" si="50"/>
        <v>EMSG:Remove Jose Herrera Mendoza in order to add the contact as a driverSTRACE:edge.capabilities.policychange.lob.personalauto.coverables.DefaultPaCoverablePlugin.updateCoverables(DefaultPaCoverablePlugin.gs:XXXSTRACERAW:-</v>
      </c>
      <c r="D1629" s="3">
        <f t="shared" si="51"/>
        <v>1</v>
      </c>
    </row>
    <row r="1630" spans="1:4" x14ac:dyDescent="0.35">
      <c r="A1630" t="s">
        <v>1906</v>
      </c>
      <c r="B1630">
        <v>1</v>
      </c>
      <c r="C1630" t="str">
        <f t="shared" si="50"/>
        <v>EMSG:Remove Savana Floyd in order to add the contact as a driverSTRACE:edge.capabilities.policychange.lob.personalauto.coverables.DefaultPaCoverablePlugin.updateCoverables(DefaultPaCoverablePlugin.gs:XXXSTRACERAW:-</v>
      </c>
      <c r="D1630" s="3">
        <f t="shared" si="51"/>
        <v>1</v>
      </c>
    </row>
    <row r="1631" spans="1:4" x14ac:dyDescent="0.35">
      <c r="A1631" t="s">
        <v>1907</v>
      </c>
      <c r="B1631">
        <v>1</v>
      </c>
      <c r="C1631" t="str">
        <f t="shared" si="50"/>
        <v>EMSG:Remove duplicate driver Dawn Delvalle. Two or more drivers with the same information exist.STRACE:edge.capabilities.policychange.lob.personalauto.coverables.DefaultPaCoverablePlugin.updateCoverables(DefaultPaCoverablePlugin.gs:XXXSTRACERAW:-</v>
      </c>
      <c r="D1631" s="3">
        <f t="shared" si="51"/>
        <v>1</v>
      </c>
    </row>
    <row r="1632" spans="1:4" x14ac:dyDescent="0.35">
      <c r="A1632" t="s">
        <v>1908</v>
      </c>
      <c r="B1632">
        <v>1</v>
      </c>
      <c r="C1632" t="str">
        <f t="shared" si="50"/>
        <v>EMSG:Remove duplicate driver Dawn Lauretta Delvalle. Two or more drivers with the same information exist.STRACE:edge.capabilities.policychange.lob.personalauto.coverables.DefaultPaCoverablePlugin.updateCoverables(DefaultPaCoverablePlugin.gs:XXXSTRACERAW:-</v>
      </c>
      <c r="D1632" s="3">
        <f t="shared" si="51"/>
        <v>1</v>
      </c>
    </row>
    <row r="1633" spans="1:4" x14ac:dyDescent="0.35">
      <c r="A1633" t="s">
        <v>1909</v>
      </c>
      <c r="B1633">
        <v>1</v>
      </c>
      <c r="C1633" t="str">
        <f t="shared" si="50"/>
        <v>EMSG:Remove duplicate driver Donna Pierce. Two or more drivers with the same information exist.STRACE:edge.capabilities.policychange.lob.personalauto.coverables.DefaultPaCoverablePlugin.updateCoverables(DefaultPaCoverablePlugin.gs:XXXSTRACERAW:-</v>
      </c>
      <c r="D1633" s="3">
        <f t="shared" si="51"/>
        <v>1</v>
      </c>
    </row>
    <row r="1634" spans="1:4" x14ac:dyDescent="0.35">
      <c r="A1634" t="s">
        <v>1910</v>
      </c>
      <c r="B1634">
        <v>1</v>
      </c>
      <c r="C1634" t="str">
        <f t="shared" si="50"/>
        <v>EMSG:Remove duplicate driver Fernando Martinez Romero. Two or more drivers with the same information exist.STRACE:edge.capabilities.policychange.lob.personalauto.coverables.DefaultPaCoverablePlugin.updateCoverables(DefaultPaCoverablePlugin.gs:XXXSTRACERAW</v>
      </c>
      <c r="D1634" s="3">
        <f t="shared" si="51"/>
        <v>1</v>
      </c>
    </row>
    <row r="1635" spans="1:4" x14ac:dyDescent="0.35">
      <c r="A1635" t="s">
        <v>1911</v>
      </c>
      <c r="B1635">
        <v>1</v>
      </c>
      <c r="C1635" t="str">
        <f t="shared" si="50"/>
        <v>EMSG:Remove duplicate driver Jose Aldaz. Two or more non-drivers with the same information exist.STRACE:edge.capabilities.policychange.lob.personalauto.coverables.DefaultPaCoverablePlugin.updateCoverables(DefaultPaCoverablePlugin.gs:XXXSTRACERAW:-</v>
      </c>
      <c r="D1635" s="3">
        <f t="shared" si="51"/>
        <v>1</v>
      </c>
    </row>
    <row r="1636" spans="1:4" x14ac:dyDescent="0.35">
      <c r="A1636" t="s">
        <v>1154</v>
      </c>
      <c r="B1636">
        <v>1</v>
      </c>
      <c r="C1636" t="str">
        <f t="shared" si="50"/>
        <v>EMSG:Robert SlaterSTRACE:com.farmers.config.pa.validator.BrightlineValidator.validateQuoteBrightlineRules(BrightlineValidator.gs:XXXSTRACERAW:-</v>
      </c>
      <c r="D1636" s="3">
        <f t="shared" si="51"/>
        <v>1</v>
      </c>
    </row>
    <row r="1637" spans="1:4" x14ac:dyDescent="0.35">
      <c r="A1637" t="s">
        <v>1912</v>
      </c>
      <c r="B1637">
        <v>1</v>
      </c>
      <c r="C1637" t="str">
        <f t="shared" si="50"/>
        <v>EMSG:Russell GraySTRACE:com.farmers.config.pa.validator.BrightlineValidator.validateQuoteBrightlineRules(BrightlineValidator.gs:XXXSTRACERAW:-</v>
      </c>
      <c r="D1637" s="3">
        <f t="shared" si="51"/>
        <v>1</v>
      </c>
    </row>
    <row r="1638" spans="1:4" x14ac:dyDescent="0.35">
      <c r="A1638" t="s">
        <v>1913</v>
      </c>
      <c r="B1638">
        <v>1</v>
      </c>
      <c r="C1638" t="str">
        <f t="shared" si="50"/>
        <v>EMSG:Russell GraySTRACE:gw.job.QuoteProcess.requestQuote(QuoteProcess.gs:XXXSTRACERAW:-</v>
      </c>
      <c r="D1638" s="3">
        <f t="shared" si="51"/>
        <v>1</v>
      </c>
    </row>
    <row r="1639" spans="1:4" x14ac:dyDescent="0.35">
      <c r="A1639" t="s">
        <v>1914</v>
      </c>
      <c r="B1639">
        <v>1</v>
      </c>
      <c r="C1639" t="str">
        <f t="shared" si="50"/>
        <v>EMSG:SHARON CORWINSTRACE:com.farmers.config.pa.validator.BrightlineValidator.validateQuoteBrightlineRules(BrightlineValidator.gs:XXXSTRACERAW:-</v>
      </c>
      <c r="D1639" s="3">
        <f t="shared" si="51"/>
        <v>1</v>
      </c>
    </row>
    <row r="1640" spans="1:4" x14ac:dyDescent="0.35">
      <c r="A1640" t="s">
        <v>1915</v>
      </c>
      <c r="B1640">
        <v>1</v>
      </c>
      <c r="C1640" t="str">
        <f t="shared" si="50"/>
        <v>EMSG:SHARRI SETTLESSTRACE:com.farmers.config.pa.validator.BrightlineValidator.validateQuoteBrightlineRules(BrightlineValidator.gs:XXXSTRACERAW:-</v>
      </c>
      <c r="D1640" s="3">
        <f t="shared" si="51"/>
        <v>1</v>
      </c>
    </row>
    <row r="1641" spans="1:4" x14ac:dyDescent="0.35">
      <c r="A1641" t="s">
        <v>1916</v>
      </c>
      <c r="B1641">
        <v>1</v>
      </c>
      <c r="C1641" t="str">
        <f t="shared" si="50"/>
        <v>EMSG:SHARRI SETTLESSTRACE:gw.job.QuoteProcess.requestQuote(QuoteProcess.gs:XXXSTRACERAW:-</v>
      </c>
      <c r="D1641" s="3">
        <f t="shared" si="51"/>
        <v>1</v>
      </c>
    </row>
    <row r="1642" spans="1:4" x14ac:dyDescent="0.35">
      <c r="A1642" t="s">
        <v>1917</v>
      </c>
      <c r="B1642">
        <v>1</v>
      </c>
      <c r="C1642" t="str">
        <f t="shared" si="50"/>
        <v>EMSG:Sabine FarrSTRACE:com.farmers.config.pa.validator.BrightlineValidator.validateQuoteBrightlineRules(BrightlineValidator.gs:XXXSTRACERAW:-</v>
      </c>
      <c r="D1642" s="3">
        <f t="shared" si="51"/>
        <v>1</v>
      </c>
    </row>
    <row r="1643" spans="1:4" x14ac:dyDescent="0.35">
      <c r="A1643" t="s">
        <v>1918</v>
      </c>
      <c r="B1643">
        <v>1</v>
      </c>
      <c r="C1643" t="str">
        <f t="shared" si="50"/>
        <v>EMSG:Samantha TomlinSTRACE:com.farmers.config.pa.validator.BrightlineValidator.validateQuoteBrightlineRules(BrightlineValidator.gs:XXXSTRACERAW:-</v>
      </c>
      <c r="D1643" s="3">
        <f t="shared" si="51"/>
        <v>1</v>
      </c>
    </row>
    <row r="1644" spans="1:4" x14ac:dyDescent="0.35">
      <c r="A1644" t="s">
        <v>1919</v>
      </c>
      <c r="B1644">
        <v>1</v>
      </c>
      <c r="C1644" t="str">
        <f t="shared" si="50"/>
        <v>EMSG:Seth WargoSTRACE:com.farmers.config.pa.validator.BrightlineValidator.validateQuoteBrightlineRules(BrightlineValidator.gs:XXXSTRACERAW:-</v>
      </c>
      <c r="D1644" s="3">
        <f t="shared" si="51"/>
        <v>1</v>
      </c>
    </row>
    <row r="1645" spans="1:4" x14ac:dyDescent="0.35">
      <c r="A1645" t="s">
        <v>1920</v>
      </c>
      <c r="B1645">
        <v>1</v>
      </c>
      <c r="C1645" t="str">
        <f t="shared" si="50"/>
        <v>EMSG:Seth WargoSTRACE:gw.job.QuoteProcess.requestQuote(QuoteProcess.gs:XXXSTRACERAW:-</v>
      </c>
      <c r="D1645" s="3">
        <f t="shared" si="51"/>
        <v>1</v>
      </c>
    </row>
    <row r="1646" spans="1:4" ht="29" x14ac:dyDescent="0.35">
      <c r="A1646" s="4" t="s">
        <v>1921</v>
      </c>
      <c r="B1646">
        <v>1</v>
      </c>
      <c r="C1646" t="str">
        <f t="shared" si="50"/>
        <v>EMSG:Slice date XXX outside of range XXX for XXX XXX bean of type TerritoryCodeSTRACE:Jan XXX XXX:XXX:XXX PST XXX - Thu Mar XXX XXX:XXX:XXX PST XXX] for bean of type TerritoryCode
	at deployment.pc.war//com.guidewire.pl.system.entity.proxy.EffDatedBasePro</v>
      </c>
      <c r="D1646" s="3">
        <f t="shared" si="51"/>
        <v>1</v>
      </c>
    </row>
    <row r="1647" spans="1:4" ht="29" x14ac:dyDescent="0.35">
      <c r="A1647" s="4" t="s">
        <v>1922</v>
      </c>
      <c r="B1647">
        <v>1</v>
      </c>
      <c r="C1647" t="str">
        <f t="shared" si="50"/>
        <v>EMSG:Slice date XXX outside of range XXX for XXX XXX bean of type TerritoryCodeSTRACE:Jan XXX XXX:XXX:XXX PST XXX - Tue Mar XXX XXX:XXX:XXX PDT XXX] for bean of type TerritoryCode
	at deployment.pc.war//com.guidewire.pl.system.entity.proxy.EffDatedBasePro</v>
      </c>
      <c r="D1647" s="3">
        <f t="shared" si="51"/>
        <v>1</v>
      </c>
    </row>
    <row r="1648" spans="1:4" ht="29" x14ac:dyDescent="0.35">
      <c r="A1648" s="4" t="s">
        <v>1923</v>
      </c>
      <c r="B1648">
        <v>1</v>
      </c>
      <c r="C1648" t="str">
        <f t="shared" si="50"/>
        <v>EMSG:Slice date XXX outside of range XXX for XXX XXX bean of type TerritoryCodeSTRACE:Jan XXX XXX:XXX:XXX PST XXX - Wed Feb XXX XXX:XXX:XXX PST XXX] for bean of type TerritoryCode
	at deployment.pc.war//com.guidewire.pl.system.entity.proxy.EffDatedBasePro</v>
      </c>
      <c r="D1648" s="3">
        <f t="shared" si="51"/>
        <v>1</v>
      </c>
    </row>
    <row r="1649" spans="1:4" ht="43.5" x14ac:dyDescent="0.35">
      <c r="A1649" s="4" t="s">
        <v>1924</v>
      </c>
      <c r="B1649">
        <v>1</v>
      </c>
      <c r="C1649" t="str">
        <f t="shared" si="50"/>
        <v>EMSG:Slice date XXX outside of range XXX for XXX XXX bean of type TerritoryCodeSTRACE:Jan XXX XXX:XXX:XXX PST XXX outside of range [Mon Feb XXX XXX:XXX:XXX PST XXX - Thu Mar XXX XXX:XXX:XXX PDT XXX] for bean of type TerritoryCode
	at deployment.pc.war//co</v>
      </c>
      <c r="D1649" s="3">
        <f t="shared" si="51"/>
        <v>1</v>
      </c>
    </row>
    <row r="1650" spans="1:4" ht="43.5" x14ac:dyDescent="0.35">
      <c r="A1650" s="4" t="s">
        <v>1925</v>
      </c>
      <c r="B1650">
        <v>1</v>
      </c>
      <c r="C1650" t="str">
        <f t="shared" si="50"/>
        <v>EMSG:Slice date XXX outside of range XXX for XXX XXX bean of type TerritoryCodeSTRACE:Jan XXX XXX:XXX:XXX PST XXX outside of range [Tue Jan XXX XXX:XXX:XXX PST XXX - Tue Mar XXX XXX:XXX:XXX PDT XXX] for bean of type TerritoryCode
	at deployment.pc.war//co</v>
      </c>
      <c r="D1650" s="3">
        <f t="shared" si="51"/>
        <v>1</v>
      </c>
    </row>
    <row r="1651" spans="1:4" ht="43.5" x14ac:dyDescent="0.35">
      <c r="A1651" s="4" t="s">
        <v>1926</v>
      </c>
      <c r="B1651">
        <v>1</v>
      </c>
      <c r="C1651" t="str">
        <f t="shared" si="50"/>
        <v>EMSG:Slice date XXX outside of range XXX for XXX XXX bean of type TerritoryCodeSTRACE:Jan XXX XXX:XXX:XXX PST XXX outside of range [Wed Jan XXX XXX:XXX:XXX PST XXX - Tue Mar XXX XXX:XXX:XXX PDT XXX] for bean of type TerritoryCode
	at deployment.pc.war//co</v>
      </c>
      <c r="D1651" s="3">
        <f t="shared" si="51"/>
        <v>1</v>
      </c>
    </row>
    <row r="1652" spans="1:4" ht="29" x14ac:dyDescent="0.35">
      <c r="A1652" s="4" t="s">
        <v>1927</v>
      </c>
      <c r="B1652">
        <v>1</v>
      </c>
      <c r="C1652" t="str">
        <f t="shared" si="50"/>
        <v>EMSG:Slice date XXX outside of range XXX for XXX XXX bean of type TerritoryCodeSTRACE:Jun XXX XXX:XXX:XXX PDT XXX] for bean of type TerritoryCode
	at deployment.pc.war//com.guidewire.pl.system.entity.proxy.EffDatedBaseProxy.getSliceUntyped(EffDatedBasePro</v>
      </c>
      <c r="D1652" s="3">
        <f t="shared" si="51"/>
        <v>1</v>
      </c>
    </row>
    <row r="1653" spans="1:4" ht="29" x14ac:dyDescent="0.35">
      <c r="A1653" s="4" t="s">
        <v>1928</v>
      </c>
      <c r="B1653">
        <v>1</v>
      </c>
      <c r="C1653" t="str">
        <f t="shared" si="50"/>
        <v>EMSG:Slice date XXX outside of range XXX for XXX XXX bean of type TerritoryCodeSTRACE:Mar XXX XXX:XXX:XXX PST XXX] for bean of type TerritoryCode
	at deployment.pc.war//com.guidewire.pl.system.entity.proxy.EffDatedBaseProxy.getSliceUntyped(EffDatedBasePro</v>
      </c>
      <c r="D1653" s="3">
        <f t="shared" si="51"/>
        <v>1</v>
      </c>
    </row>
    <row r="1654" spans="1:4" x14ac:dyDescent="0.35">
      <c r="A1654" t="s">
        <v>1929</v>
      </c>
      <c r="B1654">
        <v>1</v>
      </c>
      <c r="C1654" t="str">
        <f t="shared" si="50"/>
        <v>EMSG:Sophia BramlettSTRACE:com.farmers.config.pa.validator.BrightlineValidator.validateQuoteBrightlineRules(BrightlineValidator.gs:XXXSTRACERAW:-</v>
      </c>
      <c r="D1654" s="3">
        <f t="shared" si="51"/>
        <v>1</v>
      </c>
    </row>
    <row r="1655" spans="1:4" x14ac:dyDescent="0.35">
      <c r="A1655" t="s">
        <v>1930</v>
      </c>
      <c r="B1655">
        <v>1</v>
      </c>
      <c r="C1655" t="str">
        <f t="shared" si="50"/>
        <v>EMSG:Stale Days is not defined in the system tables for state - HawaiiSTRACE:com.farmers.config.common.caching.dao.CustomerDAO.getReportStaleDays(CustomerDAO.gs:XXXSTRACERAW:-</v>
      </c>
      <c r="D1655" s="3">
        <f t="shared" si="51"/>
        <v>1</v>
      </c>
    </row>
    <row r="1656" spans="1:4" x14ac:dyDescent="0.35">
      <c r="A1656" t="s">
        <v>1931</v>
      </c>
      <c r="B1656">
        <v>1</v>
      </c>
      <c r="C1656" t="str">
        <f t="shared" si="50"/>
        <v>EMSG:Steven MarquezSTRACE:com.farmers.config.pa.validator.BrightlineValidator.validateQuoteBrightlineRules(BrightlineValidator.gs:XXXSTRACERAW:-</v>
      </c>
      <c r="D1656" s="3">
        <f t="shared" si="51"/>
        <v>1</v>
      </c>
    </row>
    <row r="1657" spans="1:4" x14ac:dyDescent="0.35">
      <c r="A1657" t="s">
        <v>1932</v>
      </c>
      <c r="B1657">
        <v>1</v>
      </c>
      <c r="C1657" t="str">
        <f t="shared" si="50"/>
        <v>EMSG:Steven MarquezSTRACE:gw.job.QuoteProcess.requestQuote(QuoteProcess.gs:XXXSTRACERAW:-</v>
      </c>
      <c r="D1657" s="3">
        <f t="shared" si="51"/>
        <v>1</v>
      </c>
    </row>
    <row r="1658" spans="1:4" x14ac:dyDescent="0.35">
      <c r="A1658" t="s">
        <v>414</v>
      </c>
      <c r="B1658">
        <v>1</v>
      </c>
      <c r="C1658" t="str">
        <f t="shared" si="50"/>
        <v>EMSG:Submission is withdrawnSTRACE:edge.capabilities.quote.submission.QuoteHandler.retrieve(QuoteHandler.gs:XXXSTRACERAW:-</v>
      </c>
      <c r="D1658" s="3">
        <f t="shared" si="51"/>
        <v>1</v>
      </c>
    </row>
    <row r="1659" spans="1:4" x14ac:dyDescent="0.35">
      <c r="A1659" t="s">
        <v>1933</v>
      </c>
      <c r="B1659">
        <v>1</v>
      </c>
      <c r="C1659" t="str">
        <f t="shared" si="50"/>
        <v>EMSG:Susan ConstanceSTRACE:com.farmers.config.pa.validator.BrightlineValidator.validateQuoteBrightlineRules(BrightlineValidator.gs:XXXSTRACERAW:-</v>
      </c>
      <c r="D1659" s="3">
        <f t="shared" si="51"/>
        <v>1</v>
      </c>
    </row>
    <row r="1660" spans="1:4" x14ac:dyDescent="0.35">
      <c r="A1660" t="s">
        <v>1934</v>
      </c>
      <c r="B1660">
        <v>1</v>
      </c>
      <c r="C1660" t="str">
        <f t="shared" si="50"/>
        <v>EMSG:Susie GraySTRACE:com.farmers.config.pa.validator.BrightlineValidator.validateQuoteBrightlineRules(BrightlineValidator.gs:XXXSTRACERAW:-</v>
      </c>
      <c r="D1660" s="3">
        <f t="shared" si="51"/>
        <v>1</v>
      </c>
    </row>
    <row r="1661" spans="1:4" x14ac:dyDescent="0.35">
      <c r="A1661" t="s">
        <v>1935</v>
      </c>
      <c r="B1661">
        <v>1</v>
      </c>
      <c r="C1661" t="str">
        <f t="shared" si="50"/>
        <v>EMSG:Susie GraySTRACE:gw.job.QuoteProcess.requestQuote(QuoteProcess.gs:XXXSTRACERAW:-</v>
      </c>
      <c r="D1661" s="3">
        <f t="shared" si="51"/>
        <v>1</v>
      </c>
    </row>
    <row r="1662" spans="1:4" x14ac:dyDescent="0.35">
      <c r="A1662" t="s">
        <v>1936</v>
      </c>
      <c r="B1662">
        <v>1</v>
      </c>
      <c r="C1662" t="str">
        <f t="shared" si="50"/>
        <v>EMSG:THANH HA-RODRIGUEZSTRACE:com.farmers.config.pa.validator.BrightlineValidator.validateQuoteBrightlineRules(BrightlineValidator.gs:XXXSTRACERAW:-</v>
      </c>
      <c r="D1662" s="3">
        <f t="shared" si="51"/>
        <v>1</v>
      </c>
    </row>
    <row r="1663" spans="1:4" ht="29" x14ac:dyDescent="0.35">
      <c r="A1663" s="4" t="s">
        <v>825</v>
      </c>
      <c r="B1663">
        <v>1</v>
      </c>
      <c r="C1663" t="str">
        <f t="shared" si="50"/>
        <v>EMSG:The PolicyPeriod you are trying to change is currently being quoted by another userSTRACE:this time
	at gw.job.QuoteProcess.requestQuote(QuoteProcess.gs:XXXSTRACERAW:-</v>
      </c>
      <c r="D1663" s="3">
        <f t="shared" si="51"/>
        <v>1</v>
      </c>
    </row>
    <row r="1664" spans="1:4" x14ac:dyDescent="0.35">
      <c r="A1664" t="s">
        <v>1253</v>
      </c>
      <c r="B1664">
        <v>1</v>
      </c>
      <c r="C1664" t="str">
        <f t="shared" si="50"/>
        <v>EMSG:The value "AL MOTLAGH AND NILUFAR ALEMOZAFFAR MOTL XXX GREENHOUSESTRACE:deployment.pc.war//gw.datatype.impl.StringConstraintsHandlerBase.validateStringLength(StringConstraintsHandlerBase.java:XXXSTRACERAW:-</v>
      </c>
      <c r="D1664" s="3">
        <f t="shared" si="51"/>
        <v>1</v>
      </c>
    </row>
    <row r="1665" spans="1:4" x14ac:dyDescent="0.35">
      <c r="A1665" t="s">
        <v>1937</v>
      </c>
      <c r="B1665">
        <v>1</v>
      </c>
      <c r="C1665" t="str">
        <f t="shared" si="50"/>
        <v>EMSG:The value "ANNIE E DENDER TRUSTEE OF THE ANNIE ETH TRUST DATED APRIL XXXSTRACE:deployment.pc.war//gw.datatype.impl.StringConstraintsHandlerBase.validateStringLength(StringConstraintsHandlerBase.java:XXXSTRACERAW:-</v>
      </c>
      <c r="D1665" s="3">
        <f t="shared" si="51"/>
        <v>1</v>
      </c>
    </row>
    <row r="1666" spans="1:4" x14ac:dyDescent="0.35">
      <c r="A1666" t="s">
        <v>1938</v>
      </c>
      <c r="B1666">
        <v>1</v>
      </c>
      <c r="C1666" t="str">
        <f t="shared" ref="C1666:C1729" si="52">LEFT(A1666,255)</f>
        <v>EMSG:The value "ANNIE E. DENDER STRACE:deployment.pc.war//gw.datatype.impl.StringConstraintsHandlerBase.validateStringLength(StringConstraintsHandlerBase.java:XXXSTRACERAW:-</v>
      </c>
      <c r="D1666" s="3">
        <f t="shared" ref="D1666:D1729" si="53">IF(AND((B1666/10)&lt;1,(B1666/10)&gt;0),1,(B1666/10)*130%)</f>
        <v>1</v>
      </c>
    </row>
    <row r="1667" spans="1:4" x14ac:dyDescent="0.35">
      <c r="A1667" t="s">
        <v>1199</v>
      </c>
      <c r="B1667">
        <v>1</v>
      </c>
      <c r="C1667" t="str">
        <f t="shared" si="52"/>
        <v>EMSG:The value "AVINASH KANT AND SHUBHRA KANTSTRACE:deployment.pc.war//gw.datatype.impl.StringConstraintsHandlerBase.validateStringLength(StringConstraintsHandlerBase.java:XXXSTRACERAW:-</v>
      </c>
      <c r="D1667" s="3">
        <f t="shared" si="53"/>
        <v>1</v>
      </c>
    </row>
    <row r="1668" spans="1:4" x14ac:dyDescent="0.35">
      <c r="A1668" t="s">
        <v>1939</v>
      </c>
      <c r="B1668">
        <v>1</v>
      </c>
      <c r="C1668" t="str">
        <f t="shared" si="52"/>
        <v>EMSG:The value "DANA CHRISTINE KINDIGSTRACE:deployment.pc.war//gw.datatype.impl.StringConstraintsHandlerBase.validateStringLength(StringConstraintsHandlerBase.java:XXXSTRACERAW:-</v>
      </c>
      <c r="D1668" s="3">
        <f t="shared" si="53"/>
        <v>1</v>
      </c>
    </row>
    <row r="1669" spans="1:4" x14ac:dyDescent="0.35">
      <c r="A1669" t="s">
        <v>1940</v>
      </c>
      <c r="B1669">
        <v>1</v>
      </c>
      <c r="C1669" t="str">
        <f t="shared" si="52"/>
        <v>EMSG:The value "DAVID C.CARLSON AND JUDY S. TSOUSTRACE:deployment.pc.war//gw.datatype.impl.StringConstraintsHandlerBase.validateStringLength(StringConstraintsHandlerBase.java:XXXSTRACERAW:-</v>
      </c>
      <c r="D1669" s="3">
        <f t="shared" si="53"/>
        <v>1</v>
      </c>
    </row>
    <row r="1670" spans="1:4" x14ac:dyDescent="0.35">
      <c r="A1670" t="s">
        <v>1941</v>
      </c>
      <c r="B1670">
        <v>1</v>
      </c>
      <c r="C1670" t="str">
        <f t="shared" si="52"/>
        <v>EMSG:The value "DAVID TRANGSTRACE:deployment.pc.war//gw.datatype.impl.StringConstraintsHandlerBase.validateStringLength(StringConstraintsHandlerBase.java:XXXSTRACERAW:-</v>
      </c>
      <c r="D1670" s="3">
        <f t="shared" si="53"/>
        <v>1</v>
      </c>
    </row>
    <row r="1671" spans="1:4" x14ac:dyDescent="0.35">
      <c r="A1671" t="s">
        <v>1254</v>
      </c>
      <c r="B1671">
        <v>1</v>
      </c>
      <c r="C1671" t="str">
        <f t="shared" si="52"/>
        <v>EMSG:The value "Database bean version conflict : XXXSTRACE:deployment.pc.war//gw.datatype.impl.StringConstraintsHandlerBase.validateStringLength(StringConstraintsHandlerBase.java:XXXSTRACERAW:-</v>
      </c>
      <c r="D1671" s="3">
        <f t="shared" si="53"/>
        <v>1</v>
      </c>
    </row>
    <row r="1672" spans="1:4" x14ac:dyDescent="0.35">
      <c r="A1672" t="s">
        <v>1942</v>
      </c>
      <c r="B1672">
        <v>1</v>
      </c>
      <c r="C1672" t="str">
        <f t="shared" si="52"/>
        <v>EMSG:The value "EMMITT CHARLES CARROLL AND KATHY SUE CARROLLSTRACE:deployment.pc.war//gw.datatype.impl.StringConstraintsHandlerBase.validateStringLength(StringConstraintsHandlerBase.java:XXXSTRACERAW:-</v>
      </c>
      <c r="D1672" s="3">
        <f t="shared" si="53"/>
        <v>1</v>
      </c>
    </row>
    <row r="1673" spans="1:4" x14ac:dyDescent="0.35">
      <c r="A1673" t="s">
        <v>1943</v>
      </c>
      <c r="B1673">
        <v>1</v>
      </c>
      <c r="C1673" t="str">
        <f t="shared" si="52"/>
        <v>EMSG:The value "GLENN MORIMOTO AND KIM MORIMOTOSTRACE:deployment.pc.war//gw.datatype.impl.StringConstraintsHandlerBase.validateStringLength(StringConstraintsHandlerBase.java:XXXSTRACERAW:-</v>
      </c>
      <c r="D1673" s="3">
        <f t="shared" si="53"/>
        <v>1</v>
      </c>
    </row>
    <row r="1674" spans="1:4" x14ac:dyDescent="0.35">
      <c r="A1674" t="s">
        <v>1944</v>
      </c>
      <c r="B1674">
        <v>1</v>
      </c>
      <c r="C1674" t="str">
        <f t="shared" si="52"/>
        <v>EMSG:The value "HSU HONG FAMILY TRUST CHARLES HSU AND YANYI JENNIE HONGSTRACE:deployment.pc.war//gw.datatype.impl.StringConstraintsHandlerBase.validateStringLength(StringConstraintsHandlerBase.java:XXXSTRACERAW:-</v>
      </c>
      <c r="D1674" s="3">
        <f t="shared" si="53"/>
        <v>1</v>
      </c>
    </row>
    <row r="1675" spans="1:4" x14ac:dyDescent="0.35">
      <c r="A1675" t="s">
        <v>1114</v>
      </c>
      <c r="B1675">
        <v>1</v>
      </c>
      <c r="C1675" t="str">
        <f t="shared" si="52"/>
        <v>EMSG:The value "JOHN A. MEYERS AND MARY KLEIN MEYERSSTRACE:deployment.pc.war//gw.datatype.impl.StringConstraintsHandlerBase.validateStringLength(StringConstraintsHandlerBase.java:XXXSTRACERAW:-</v>
      </c>
      <c r="D1675" s="3">
        <f t="shared" si="53"/>
        <v>1</v>
      </c>
    </row>
    <row r="1676" spans="1:4" x14ac:dyDescent="0.35">
      <c r="A1676" t="s">
        <v>1945</v>
      </c>
      <c r="B1676">
        <v>1</v>
      </c>
      <c r="C1676" t="str">
        <f t="shared" si="52"/>
        <v>EMSG:The value "JOSEPH CHUNG SENG MENG AND LI YUEH WU M TRUSTEE OF THE MENG FAMILY XXX TRUSTSTRACE:deployment.pc.war//gw.datatype.impl.StringConstraintsHandlerBase.validateStringLength(StringConstraintsHandlerBase.java:XXXSTRACERAW:-</v>
      </c>
      <c r="D1676" s="3">
        <f t="shared" si="53"/>
        <v>1</v>
      </c>
    </row>
    <row r="1677" spans="1:4" x14ac:dyDescent="0.35">
      <c r="A1677" t="s">
        <v>1946</v>
      </c>
      <c r="B1677">
        <v>1</v>
      </c>
      <c r="C1677" t="str">
        <f t="shared" si="52"/>
        <v>EMSG:The value "JOSEPH CHUNG SENG MENG AND LI YUEH WU M TRUSTEES OF THE MENG FAMILY XXX TRUSTSTRACE:deployment.pc.war//gw.datatype.impl.StringConstraintsHandlerBase.validateStringLength(StringConstraintsHandlerBase.java:XXXSTRACERAW:-</v>
      </c>
      <c r="D1677" s="3">
        <f t="shared" si="53"/>
        <v>1</v>
      </c>
    </row>
    <row r="1678" spans="1:4" x14ac:dyDescent="0.35">
      <c r="A1678" t="s">
        <v>1947</v>
      </c>
      <c r="B1678">
        <v>1</v>
      </c>
      <c r="C1678" t="str">
        <f t="shared" si="52"/>
        <v>EMSG:The value "KEITH L ECKSTRACE:deployment.pc.war//gw.datatype.impl.StringConstraintsHandlerBase.validateStringLength(StringConstraintsHandlerBase.java:XXXSTRACERAW:-</v>
      </c>
      <c r="D1678" s="3">
        <f t="shared" si="53"/>
        <v>1</v>
      </c>
    </row>
    <row r="1679" spans="1:4" x14ac:dyDescent="0.35">
      <c r="A1679" t="s">
        <v>1948</v>
      </c>
      <c r="B1679">
        <v>1</v>
      </c>
      <c r="C1679" t="str">
        <f t="shared" si="52"/>
        <v>EMSG:The value "LANNERS SURFSIDE COLONY TRUST DATED MARCH XXXSTRACE:deployment.pc.war//gw.datatype.impl.StringConstraintsHandlerBase.validateStringLength(StringConstraintsHandlerBase.java:XXXSTRACERAW:-</v>
      </c>
      <c r="D1679" s="3">
        <f t="shared" si="53"/>
        <v>1</v>
      </c>
    </row>
    <row r="1680" spans="1:4" x14ac:dyDescent="0.35">
      <c r="A1680" t="s">
        <v>1949</v>
      </c>
      <c r="B1680">
        <v>1</v>
      </c>
      <c r="C1680" t="str">
        <f t="shared" si="52"/>
        <v>EMSG:The value "LOIS M. GRIEGSTRACE:deployment.pc.war//gw.datatype.impl.StringConstraintsHandlerBase.validateStringLength(StringConstraintsHandlerBase.java:XXXSTRACERAW:-</v>
      </c>
      <c r="D1680" s="3">
        <f t="shared" si="53"/>
        <v>1</v>
      </c>
    </row>
    <row r="1681" spans="1:4" x14ac:dyDescent="0.35">
      <c r="A1681" t="s">
        <v>1200</v>
      </c>
      <c r="B1681">
        <v>1</v>
      </c>
      <c r="C1681" t="str">
        <f t="shared" si="52"/>
        <v>EMSG:The value "LUCIO AGUILARSTRACE:deployment.pc.war//gw.datatype.impl.StringConstraintsHandlerBase.validateStringLength(StringConstraintsHandlerBase.java:XXXSTRACERAW:-</v>
      </c>
      <c r="D1681" s="3">
        <f t="shared" si="53"/>
        <v>1</v>
      </c>
    </row>
    <row r="1682" spans="1:4" x14ac:dyDescent="0.35">
      <c r="A1682" t="s">
        <v>1950</v>
      </c>
      <c r="B1682">
        <v>1</v>
      </c>
      <c r="C1682" t="str">
        <f t="shared" si="52"/>
        <v>EMSG:The value "MARILYN TORNEROSSTRACE:deployment.pc.war//gw.datatype.impl.StringConstraintsHandlerBase.validateStringLength(StringConstraintsHandlerBase.java:XXXSTRACERAW:-</v>
      </c>
      <c r="D1682" s="3">
        <f t="shared" si="53"/>
        <v>1</v>
      </c>
    </row>
    <row r="1683" spans="1:4" x14ac:dyDescent="0.35">
      <c r="A1683" t="s">
        <v>1951</v>
      </c>
      <c r="B1683">
        <v>1</v>
      </c>
      <c r="C1683" t="str">
        <f t="shared" si="52"/>
        <v>EMSG:The value "RYAN KIM AND JULIA KIMSTRACE:deployment.pc.war//gw.datatype.impl.StringConstraintsHandlerBase.validateStringLength(StringConstraintsHandlerBase.java:XXXSTRACERAW:-</v>
      </c>
      <c r="D1683" s="3">
        <f t="shared" si="53"/>
        <v>1</v>
      </c>
    </row>
    <row r="1684" spans="1:4" x14ac:dyDescent="0.35">
      <c r="A1684" t="s">
        <v>1952</v>
      </c>
      <c r="B1684">
        <v>1</v>
      </c>
      <c r="C1684" t="str">
        <f t="shared" si="52"/>
        <v>EMSG:The value "Stellantis Financial ServicesSTRACE:deployment.pc.war//com.guidewire.pl.metadata.datatypeXXX.fieldvalidator.FieldValidatorInfo.validateFormat(FieldValidatorInfo.java:XXXSTRACERAW:-</v>
      </c>
      <c r="D1684" s="3">
        <f t="shared" si="53"/>
        <v>1</v>
      </c>
    </row>
    <row r="1685" spans="1:4" x14ac:dyDescent="0.35">
      <c r="A1685" t="s">
        <v>1953</v>
      </c>
      <c r="B1685">
        <v>1</v>
      </c>
      <c r="C1685" t="str">
        <f t="shared" si="52"/>
        <v>EMSG:The value "THE CHERYL DIANE UNDERWOOD AND MARK ALLEN UNDERWOOD TRUST DATED JULY XXXSTRACE:deployment.pc.war//gw.datatype.impl.StringConstraintsHandlerBase.validateStringLength(StringConstraintsHandlerBase.java:XXXSTRACERAW:-</v>
      </c>
      <c r="D1685" s="3">
        <f t="shared" si="53"/>
        <v>1</v>
      </c>
    </row>
    <row r="1686" spans="1:4" x14ac:dyDescent="0.35">
      <c r="A1686" t="s">
        <v>1954</v>
      </c>
      <c r="B1686">
        <v>1</v>
      </c>
      <c r="C1686" t="str">
        <f t="shared" si="52"/>
        <v>EMSG:The value "THE XXX GREGORY SCOTT MARSOLAIS REVOCABLE TRUST DTD JULY XXXSTRACE:deployment.pc.war//gw.datatype.impl.StringConstraintsHandlerBase.validateStringLength(StringConstraintsHandlerBase.java:XXXSTRACERAW:-</v>
      </c>
      <c r="D1686" s="3">
        <f t="shared" si="53"/>
        <v>1</v>
      </c>
    </row>
    <row r="1687" spans="1:4" x14ac:dyDescent="0.35">
      <c r="A1687" t="s">
        <v>1955</v>
      </c>
      <c r="B1687">
        <v>1</v>
      </c>
      <c r="C1687" t="str">
        <f t="shared" si="52"/>
        <v>EMSG:The value "THINH TA VO AND SANDRA A. HARRISSTRACE:deployment.pc.war//gw.datatype.impl.StringConstraintsHandlerBase.validateStringLength(StringConstraintsHandlerBase.java:XXXSTRACERAW:-</v>
      </c>
      <c r="D1687" s="3">
        <f t="shared" si="53"/>
        <v>1</v>
      </c>
    </row>
    <row r="1688" spans="1:4" x14ac:dyDescent="0.35">
      <c r="A1688" t="s">
        <v>1956</v>
      </c>
      <c r="B1688">
        <v>1</v>
      </c>
      <c r="C1688" t="str">
        <f t="shared" si="52"/>
        <v>EMSG:The value "THOMAS C. PUTNAM AND LEILA P. SAEDISTRACE:deployment.pc.war//gw.datatype.impl.StringConstraintsHandlerBase.validateStringLength(StringConstraintsHandlerBase.java:XXXSTRACERAW:-</v>
      </c>
      <c r="D1688" s="3">
        <f t="shared" si="53"/>
        <v>1</v>
      </c>
    </row>
    <row r="1689" spans="1:4" x14ac:dyDescent="0.35">
      <c r="A1689" t="s">
        <v>1957</v>
      </c>
      <c r="B1689">
        <v>1</v>
      </c>
      <c r="C1689" t="str">
        <f t="shared" si="52"/>
        <v>EMSG:The value "TIMOTHY M STARKE AND ROSA M STARKESTRACE:deployment.pc.war//gw.datatype.impl.StringConstraintsHandlerBase.validateStringLength(StringConstraintsHandlerBase.java:XXXSTRACERAW:-</v>
      </c>
      <c r="D1689" s="3">
        <f t="shared" si="53"/>
        <v>1</v>
      </c>
    </row>
    <row r="1690" spans="1:4" x14ac:dyDescent="0.35">
      <c r="A1690" t="s">
        <v>1958</v>
      </c>
      <c r="B1690">
        <v>1</v>
      </c>
      <c r="C1690" t="str">
        <f t="shared" si="52"/>
        <v>EMSG:The value "TRUST NAME(IF ANY)SHANNON D. PETERSON TR UST UNDER AGREEMENT DATED AUGUST XXXSTRACE:deployment.pc.war//gw.datatype.impl.StringConstraintsHandlerBase.validateStringLength(StringConstraintsHandlerBase.java:XXXSTRACERAW:-</v>
      </c>
      <c r="D1690" s="3">
        <f t="shared" si="53"/>
        <v>1</v>
      </c>
    </row>
    <row r="1691" spans="1:4" ht="43.5" x14ac:dyDescent="0.35">
      <c r="A1691" s="4" t="s">
        <v>1959</v>
      </c>
      <c r="B1691">
        <v>1</v>
      </c>
      <c r="C1691" t="str">
        <f t="shared" si="52"/>
        <v>EMSG:The value XXX is not formatted correctly for the field "HomePhone": Correct the Phone Number. Phone Number should be a ten digit numerical value in the format of XXX-XXX-XXXXSTRACE:of XXX-XXX-XXXX
	at deployment.pc.war//com.guidewire.pl.metadata.data</v>
      </c>
      <c r="D1691" s="3">
        <f t="shared" si="53"/>
        <v>1</v>
      </c>
    </row>
    <row r="1692" spans="1:4" x14ac:dyDescent="0.35">
      <c r="A1692" t="s">
        <v>1176</v>
      </c>
      <c r="B1692">
        <v>1</v>
      </c>
      <c r="C1692" t="str">
        <f t="shared" si="52"/>
        <v>EMSG:The value XXX is not formatted correctly for the field "LicenseNumber": Exceeds the maximum length of XXX characters (XXX)STRACE:deployment.pc.war//gw.datatype.impl.StringConstraintsHandlerBase.validateStringLength(StringConstraintsHandlerBase.java:X</v>
      </c>
      <c r="D1692" s="3">
        <f t="shared" si="53"/>
        <v>1</v>
      </c>
    </row>
    <row r="1693" spans="1:4" ht="43.5" x14ac:dyDescent="0.35">
      <c r="A1693" s="4" t="s">
        <v>1117</v>
      </c>
      <c r="B1693">
        <v>1</v>
      </c>
      <c r="C1693" t="str">
        <f t="shared" si="52"/>
        <v>EMSG:The value XXX is not formatted correctly for the field "TaxID": Correct the SSN for TaxID.  An invalid format has been entered.  The SSN must be XXX numeric digits. Ex. XXXSTRACE:has been entered.  The SSN must be XXX numeric digits. Ex. XXX
	at depl</v>
      </c>
      <c r="D1693" s="3">
        <f t="shared" si="53"/>
        <v>1</v>
      </c>
    </row>
    <row r="1694" spans="1:4" x14ac:dyDescent="0.35">
      <c r="A1694" t="s">
        <v>989</v>
      </c>
      <c r="B1694">
        <v>1</v>
      </c>
      <c r="C1694" t="str">
        <f t="shared" si="52"/>
        <v>EMSG:The value XXX is not formatted correctly for the field "ValuationIDVersion": Exceeds the maximum length of XXX characters (XXX)STRACE:deployment.pc.war//gw.datatype.impl.StringConstraintsHandlerBase.validateStringLength(StringConstraintsHandlerBase.j</v>
      </c>
      <c r="D1694" s="3">
        <f t="shared" si="53"/>
        <v>1</v>
      </c>
    </row>
    <row r="1695" spans="1:4" ht="43.5" x14ac:dyDescent="0.35">
      <c r="A1695" s="4" t="s">
        <v>1960</v>
      </c>
      <c r="B1695">
        <v>1</v>
      </c>
      <c r="C1695" t="str">
        <f t="shared" si="52"/>
        <v>EMSG:There are out-of-sequence conflicts that must be resolved prior to quoting. Please visit the Change Summary step to resolve the conflicts.STRACE:must be resolved prior to quoting. Please visit the Change Summary step to resolve the conflicts.
	at gw.</v>
      </c>
      <c r="D1695" s="3">
        <f t="shared" si="53"/>
        <v>1</v>
      </c>
    </row>
    <row r="1696" spans="1:4" x14ac:dyDescent="0.35">
      <c r="A1696" t="s">
        <v>1961</v>
      </c>
      <c r="B1696">
        <v>1</v>
      </c>
      <c r="C1696" t="str">
        <f t="shared" si="52"/>
        <v>EMSG:Tracy MontoyaSTRACE:com.farmers.config.pa.validator.BrightlineValidator.validateQuoteBrightlineRules(BrightlineValidator.gs:XXXSTRACERAW:-</v>
      </c>
      <c r="D1696" s="3">
        <f t="shared" si="53"/>
        <v>1</v>
      </c>
    </row>
    <row r="1697" spans="1:4" x14ac:dyDescent="0.35">
      <c r="A1697" t="s">
        <v>1962</v>
      </c>
      <c r="B1697">
        <v>1</v>
      </c>
      <c r="C1697" t="str">
        <f t="shared" si="52"/>
        <v>EMSG:Tracy MontoyaSTRACE:gw.job.QuoteProcess.requestQuote(QuoteProcess.gs:XXXSTRACERAW:-</v>
      </c>
      <c r="D1697" s="3">
        <f t="shared" si="53"/>
        <v>1</v>
      </c>
    </row>
    <row r="1698" spans="1:4" x14ac:dyDescent="0.35">
      <c r="A1698" t="s">
        <v>1963</v>
      </c>
      <c r="B1698">
        <v>1</v>
      </c>
      <c r="C1698" t="str">
        <f t="shared" si="52"/>
        <v>EMSG:Tremayne MartinSTRACE:com.farmers.config.pa.validator.BrightlineValidator.validateQuoteBrightlineRules(BrightlineValidator.gs:XXXSTRACERAW:-</v>
      </c>
      <c r="D1698" s="3">
        <f t="shared" si="53"/>
        <v>1</v>
      </c>
    </row>
    <row r="1699" spans="1:4" x14ac:dyDescent="0.35">
      <c r="A1699" t="s">
        <v>1964</v>
      </c>
      <c r="B1699">
        <v>1</v>
      </c>
      <c r="C1699" t="str">
        <f t="shared" si="52"/>
        <v>EMSG:Try again later. VIN service failed.STRACE:com.farmers.config.pa.enhancement.PersonalVehicleEnhancement.invokeVINLookup(PersonalVehicleEnhancement.gsx:XXXSTRACERAW:-</v>
      </c>
      <c r="D1699" s="3">
        <f t="shared" si="53"/>
        <v>1</v>
      </c>
    </row>
    <row r="1700" spans="1:4" x14ac:dyDescent="0.35">
      <c r="A1700" t="s">
        <v>536</v>
      </c>
      <c r="B1700">
        <v>1</v>
      </c>
      <c r="C1700" t="str">
        <f t="shared" si="52"/>
        <v>EMSG:UWIssue: UW.XXX null: Ineligible Condition - Loss Threshold Exceeded UW.XXXSTRACE:com.farmers.integ.framework.job.automatejob.AutomatedJob.executeJob(AutomatedJob.gs:XXXSTRACERAW:-</v>
      </c>
      <c r="D1700" s="3">
        <f t="shared" si="53"/>
        <v>1</v>
      </c>
    </row>
    <row r="1701" spans="1:4" x14ac:dyDescent="0.35">
      <c r="A1701" t="s">
        <v>1965</v>
      </c>
      <c r="B1701">
        <v>1</v>
      </c>
      <c r="C1701" t="str">
        <f t="shared" si="52"/>
        <v>EMSG:VANESSA NUNNERYSTRACE:com.farmers.config.pa.validator.BrightlineValidator.validateQuoteBrightlineRules(BrightlineValidator.gs:XXXSTRACERAW:-</v>
      </c>
      <c r="D1701" s="3">
        <f t="shared" si="53"/>
        <v>1</v>
      </c>
    </row>
    <row r="1702" spans="1:4" x14ac:dyDescent="0.35">
      <c r="A1702" t="s">
        <v>1966</v>
      </c>
      <c r="B1702">
        <v>1</v>
      </c>
      <c r="C1702" t="str">
        <f t="shared" si="52"/>
        <v>EMSG:VANESSA NUNNERYSTRACE:gw.job.QuoteProcess.requestQuote(QuoteProcess.gs:XXXSTRACERAW:-</v>
      </c>
      <c r="D1702" s="3">
        <f t="shared" si="53"/>
        <v>1</v>
      </c>
    </row>
    <row r="1703" spans="1:4" x14ac:dyDescent="0.35">
      <c r="A1703" t="s">
        <v>1967</v>
      </c>
      <c r="B1703">
        <v>1</v>
      </c>
      <c r="C1703" t="str">
        <f t="shared" si="52"/>
        <v>EMSG:WENDY PayneSTRACE:com.farmers.config.pa.validator.BrightlineValidator.validateQuoteBrightlineRules(BrightlineValidator.gs:XXXSTRACERAW:-</v>
      </c>
      <c r="D1703" s="3">
        <f t="shared" si="53"/>
        <v>1</v>
      </c>
    </row>
    <row r="1704" spans="1:4" x14ac:dyDescent="0.35">
      <c r="A1704" t="s">
        <v>1968</v>
      </c>
      <c r="B1704">
        <v>1</v>
      </c>
      <c r="C1704" t="str">
        <f t="shared" si="52"/>
        <v>EMSG:WENDY PayneSTRACE:gw.job.QuoteProcess.requestQuote(QuoteProcess.gs:XXXSTRACERAW:-</v>
      </c>
      <c r="D1704" s="3">
        <f t="shared" si="53"/>
        <v>1</v>
      </c>
    </row>
    <row r="1705" spans="1:4" x14ac:dyDescent="0.35">
      <c r="A1705" t="s">
        <v>1969</v>
      </c>
      <c r="B1705">
        <v>1</v>
      </c>
      <c r="C1705" t="str">
        <f t="shared" si="52"/>
        <v>EMSG:WYATT BURKETTSTRACE:com.farmers.config.pa.validator.BrightlineValidator.validateQuoteBrightlineRules(BrightlineValidator.gs:XXXSTRACERAW:-</v>
      </c>
      <c r="D1705" s="3">
        <f t="shared" si="53"/>
        <v>1</v>
      </c>
    </row>
    <row r="1706" spans="1:4" x14ac:dyDescent="0.35">
      <c r="A1706" t="s">
        <v>1970</v>
      </c>
      <c r="B1706">
        <v>1</v>
      </c>
      <c r="C1706" t="str">
        <f t="shared" si="52"/>
        <v>EMSG:WYATT BURKETTSTRACE:gw.job.QuoteProcess.requestQuote(QuoteProcess.gs:XXXSTRACERAW:-</v>
      </c>
      <c r="D1706" s="3">
        <f t="shared" si="53"/>
        <v>1</v>
      </c>
    </row>
    <row r="1707" spans="1:4" x14ac:dyDescent="0.35">
      <c r="A1707" t="s">
        <v>1971</v>
      </c>
      <c r="B1707">
        <v>1</v>
      </c>
      <c r="C1707" t="str">
        <f t="shared" si="52"/>
        <v>EMSG:Warren YungSTRACE:com.farmers.config.pa.validator.BrightlineValidator.validateQuoteBrightlineRules(BrightlineValidator.gs:XXXSTRACERAW:-</v>
      </c>
      <c r="D1707" s="3">
        <f t="shared" si="53"/>
        <v>1</v>
      </c>
    </row>
    <row r="1708" spans="1:4" x14ac:dyDescent="0.35">
      <c r="A1708" t="s">
        <v>1972</v>
      </c>
      <c r="B1708">
        <v>1</v>
      </c>
      <c r="C1708" t="str">
        <f t="shared" si="52"/>
        <v xml:space="preserve">EMSG:XXX BMW XXXX XXXD XXXWD XDRIVE XXXI in Colorado: Coverage is on Comprehensive is now available and its value must be verified by the user.; XXX BMW XXXX XXXD XXXWD XDRIVE XXXI in Colorado: Coverage is on Collision is now available and its value must </v>
      </c>
      <c r="D1708" s="3">
        <f t="shared" si="53"/>
        <v>1</v>
      </c>
    </row>
    <row r="1709" spans="1:4" x14ac:dyDescent="0.35">
      <c r="A1709" t="s">
        <v>1973</v>
      </c>
      <c r="B1709">
        <v>1</v>
      </c>
      <c r="C1709" t="str">
        <f t="shared" si="52"/>
        <v>EMSG:XXX CHEVROLET CAMARO XXXDOOR BERLINETTA in California: Comprehensive is required and must be added. XXXSTRACE:gw.api.extension.PCExtensionInterfacesMapper$block_XXX_.invoke(PCExtensionInterfacesMapper.gs:XXXSTRACERAW:-</v>
      </c>
      <c r="D1709" s="3">
        <f t="shared" si="53"/>
        <v>1</v>
      </c>
    </row>
    <row r="1710" spans="1:4" x14ac:dyDescent="0.35">
      <c r="A1710" t="s">
        <v>1974</v>
      </c>
      <c r="B1710">
        <v>1</v>
      </c>
      <c r="C1710" t="str">
        <f t="shared" si="52"/>
        <v>EMSG:XXX CHEVROLET TRAILBLAZER XXXDOOR XXXXXXX in Colorado: Coverage is on Comprehensive is now available and its value must be verified by the user.; XXX CHEVROLET TRAILBLAZER XXXDOOR XXXXXXX in Colorado: Coverage is on Collision is now available and its</v>
      </c>
      <c r="D1710" s="3">
        <f t="shared" si="53"/>
        <v>1</v>
      </c>
    </row>
    <row r="1711" spans="1:4" x14ac:dyDescent="0.35">
      <c r="A1711" t="s">
        <v>1975</v>
      </c>
      <c r="B1711">
        <v>1</v>
      </c>
      <c r="C1711" t="str">
        <f t="shared" si="52"/>
        <v>EMSG:XXX CHEVROLET TRUCK SILVERADO XXX CREW XXXXXXX LT in Colorado: Coverage is on Comprehensive is now available and its value must be verified by the user.; XXX CHEVROLET TRUCK SILVERADO XXX CREW XXXXXXX LT in Colorado: Coverage is on Collision is now a</v>
      </c>
      <c r="D1711" s="3">
        <f t="shared" si="53"/>
        <v>1</v>
      </c>
    </row>
    <row r="1712" spans="1:4" x14ac:dyDescent="0.35">
      <c r="A1712" t="s">
        <v>1976</v>
      </c>
      <c r="B1712">
        <v>1</v>
      </c>
      <c r="C1712" t="str">
        <f t="shared" si="52"/>
        <v>EMSG:XXX CHEVROLET TRUCK SUBURBAN XXX/XXXT XXXDOOR XXXXXXX LT in Colorado: Coverage is on Comprehensive is now available and its value must be verified by the user.; XXX CHEVROLET TRUCK SUBURBAN XXX/XXXT XXXDOOR XXXXXXX LT in Colorado: Coverage is on Coll</v>
      </c>
      <c r="D1712" s="3">
        <f t="shared" si="53"/>
        <v>1</v>
      </c>
    </row>
    <row r="1713" spans="1:4" x14ac:dyDescent="0.35">
      <c r="A1713" t="s">
        <v>1977</v>
      </c>
      <c r="B1713">
        <v>1</v>
      </c>
      <c r="C1713" t="str">
        <f t="shared" si="52"/>
        <v>EMSG:XXX CHEVROLET TRUCK SXXX PICKUP XXXWD in Washington: Comprehensive is required and must be added. XXXSTRACE:gw.api.extension.PCExtensionInterfacesMapper$block_XXX_.invoke(PCExtensionInterfacesMapper.gs:XXXSTRACERAW:-</v>
      </c>
      <c r="D1713" s="3">
        <f t="shared" si="53"/>
        <v>1</v>
      </c>
    </row>
    <row r="1714" spans="1:4" x14ac:dyDescent="0.35">
      <c r="A1714" t="s">
        <v>1978</v>
      </c>
      <c r="B1714">
        <v>1</v>
      </c>
      <c r="C1714" t="str">
        <f t="shared" si="52"/>
        <v>EMSG:XXX CHEVROLET TRUCK TAHOE XXXDOOR XXXXXXX LT in Colorado: Coverage is on Comprehensive is now available and its value must be verified by the user.; XXX CHEVROLET TRUCK TAHOE XXXDOOR XXXXXXX LT in Colorado: Coverage is on Collision is now available a</v>
      </c>
      <c r="D1714" s="3">
        <f t="shared" si="53"/>
        <v>1</v>
      </c>
    </row>
    <row r="1715" spans="1:4" x14ac:dyDescent="0.35">
      <c r="A1715" t="s">
        <v>1979</v>
      </c>
      <c r="B1715">
        <v>1</v>
      </c>
      <c r="C1715" t="str">
        <f t="shared" si="52"/>
        <v xml:space="preserve">EMSG:XXX CHEVROLET VOLT ELECTRIC XXXD LT in Colorado: Coverage is on Comprehensive is now available and its value must be verified by the user.; XXX CHEVROLET VOLT ELECTRIC XXXD LT in Colorado: Coverage is on Collision is now available and its value must </v>
      </c>
      <c r="D1715" s="3">
        <f t="shared" si="53"/>
        <v>1</v>
      </c>
    </row>
    <row r="1716" spans="1:4" x14ac:dyDescent="0.35">
      <c r="A1716" t="s">
        <v>1980</v>
      </c>
      <c r="B1716">
        <v>1</v>
      </c>
      <c r="C1716" t="str">
        <f t="shared" si="52"/>
        <v>EMSG:XXX CHRYSLER TRUCK PACIFICA VAN TOURING L in Colorado: Coverage is on Comprehensive is now available and its value must be verified by the user.; XXX CHRYSLER TRUCK PACIFICA VAN TOURING L in Colorado: Coverage is on Collision is now available and its</v>
      </c>
      <c r="D1716" s="3">
        <f t="shared" si="53"/>
        <v>1</v>
      </c>
    </row>
    <row r="1717" spans="1:4" x14ac:dyDescent="0.35">
      <c r="A1717" t="s">
        <v>1981</v>
      </c>
      <c r="B1717">
        <v>1</v>
      </c>
      <c r="C1717" t="str">
        <f t="shared" si="52"/>
        <v>EMSG:XXX CHRYSLER XXX XXXD XXXWD TOURING in Oregon: Uninsured Motorist - Property Damage is no longer available and has been removed.; XXX CHRYSLER XXX XXXD XXXWD TOURING in Oregon: Comprehensive is required and must be added. XXXSTRACE:gw.api.extension.P</v>
      </c>
      <c r="D1717" s="3">
        <f t="shared" si="53"/>
        <v>1</v>
      </c>
    </row>
    <row r="1718" spans="1:4" x14ac:dyDescent="0.35">
      <c r="A1718" t="s">
        <v>1982</v>
      </c>
      <c r="B1718">
        <v>1</v>
      </c>
      <c r="C1718" t="str">
        <f t="shared" si="52"/>
        <v>EMSG:XXX DODGE CARAVAN VAN XXXWD SE in Colorado: Coverage is on Comprehensive is now available and its value must be verified by the user.; XXX DODGE CARAVAN VAN XXXWD SE in Colorado: Coverage is on Collision is now available and its value must be verifie</v>
      </c>
      <c r="D1718" s="3">
        <f t="shared" si="53"/>
        <v>1</v>
      </c>
    </row>
    <row r="1719" spans="1:4" x14ac:dyDescent="0.35">
      <c r="A1719" t="s">
        <v>1983</v>
      </c>
      <c r="B1719">
        <v>1</v>
      </c>
      <c r="C1719" t="str">
        <f t="shared" si="52"/>
        <v xml:space="preserve">EMSG:XXX FORD FOCUS XXXD ST in Colorado: Coverage is on Comprehensive is now available and its value must be verified by the user.; XXX FORD FOCUS XXXD ST in Colorado: Coverage is on Collision is now available and its value must be verified by the user.; </v>
      </c>
      <c r="D1719" s="3">
        <f t="shared" si="53"/>
        <v>1</v>
      </c>
    </row>
    <row r="1720" spans="1:4" x14ac:dyDescent="0.35">
      <c r="A1720" t="s">
        <v>1984</v>
      </c>
      <c r="B1720">
        <v>1</v>
      </c>
      <c r="C1720" t="str">
        <f t="shared" si="52"/>
        <v>EMSG:XXX FORD FXXX CREW C PU XXXXXXX SUPER CREW in Colorado: Coverage is on Comprehensive is now available and its value must be verified by the user.; XXX FORD FXXX CREW C PU XXXXXXX SUPER CREW in Colorado: Coverage is on Collision is now available and i</v>
      </c>
      <c r="D1720" s="3">
        <f t="shared" si="53"/>
        <v>1</v>
      </c>
    </row>
    <row r="1721" spans="1:4" x14ac:dyDescent="0.35">
      <c r="A1721" t="s">
        <v>1985</v>
      </c>
      <c r="B1721">
        <v>1</v>
      </c>
      <c r="C1721" t="str">
        <f t="shared" si="52"/>
        <v>EMSG:XXX FORD TRUCK FXXX CREW C PU XXXXXXX CREW CAB in Texas: Comprehensive is required and must be added. XXXSTRACE:gw.api.extension.PCExtensionInterfacesMapper$block_XXX_.invoke(PCExtensionInterfacesMapper.gs:XXXSTRACERAW:-</v>
      </c>
      <c r="D1721" s="3">
        <f t="shared" si="53"/>
        <v>1</v>
      </c>
    </row>
    <row r="1722" spans="1:4" x14ac:dyDescent="0.35">
      <c r="A1722" t="s">
        <v>1986</v>
      </c>
      <c r="B1722">
        <v>1</v>
      </c>
      <c r="C1722" t="str">
        <f t="shared" si="52"/>
        <v>EMSG:XXX FORD TRUCK FXXX SUPER PU XXXXXXX  SUPER CAB in Colorado: Coverage is on Comprehensive is now available and its value must be verified by the user.; XXX FORD TRUCK FXXX SUPER PU XXXXXXX  SUPER CAB in Colorado: Coverage is on Collision is now avail</v>
      </c>
      <c r="D1722" s="3">
        <f t="shared" si="53"/>
        <v>1</v>
      </c>
    </row>
    <row r="1723" spans="1:4" x14ac:dyDescent="0.35">
      <c r="A1723" t="s">
        <v>1987</v>
      </c>
      <c r="B1723">
        <v>1</v>
      </c>
      <c r="C1723" t="str">
        <f t="shared" si="52"/>
        <v>EMSG:XXX GMC TRUCK SIERRA XXX CR XXXXXXX NEW SLT in Colorado: Coverage is on Comprehensive is now available and its value must be verified by the user.; XXX GMC TRUCK SIERRA XXX CR XXXXXXX NEW SLT in Colorado: Coverage is on Collision is now available and</v>
      </c>
      <c r="D1723" s="3">
        <f t="shared" si="53"/>
        <v>1</v>
      </c>
    </row>
    <row r="1724" spans="1:4" x14ac:dyDescent="0.35">
      <c r="A1724" t="s">
        <v>1988</v>
      </c>
      <c r="B1724">
        <v>1</v>
      </c>
      <c r="C1724" t="str">
        <f t="shared" si="52"/>
        <v>EMSG:XXX HONDA ACCORD XXXD EX in Colorado: Coverage is on Comprehensive is now available and its value must be verified by the user.; XXX HONDA ACCORD XXXD EX in Colorado: Coverage is on Collision is now available and its value must be verified by the use</v>
      </c>
      <c r="D1724" s="3">
        <f t="shared" si="53"/>
        <v>1</v>
      </c>
    </row>
    <row r="1725" spans="1:4" x14ac:dyDescent="0.35">
      <c r="A1725" t="s">
        <v>1989</v>
      </c>
      <c r="B1725">
        <v>1</v>
      </c>
      <c r="C1725" t="str">
        <f t="shared" si="52"/>
        <v>EMSG:XXX HONDA CIVIC XXXD EX in Colorado: Coverage is on Comprehensive is now available and its value must be verified by the user.; XXX HONDA CIVIC XXXD EX in Colorado: Coverage is on Collision is now available and its value must be verified by the user.</v>
      </c>
      <c r="D1725" s="3">
        <f t="shared" si="53"/>
        <v>1</v>
      </c>
    </row>
    <row r="1726" spans="1:4" x14ac:dyDescent="0.35">
      <c r="A1726" t="s">
        <v>1990</v>
      </c>
      <c r="B1726">
        <v>1</v>
      </c>
      <c r="C1726" t="str">
        <f t="shared" si="52"/>
        <v>EMSG:XXX HONDA CR-V XXXD XXXWD TOURING in Colorado: Coverage is on Comprehensive is now available and its value must be verified by the user.; XXX HONDA CR-V XXXD XXXWD TOURING in Colorado: Coverage is on Collision is now available and its value must be v</v>
      </c>
      <c r="D1726" s="3">
        <f t="shared" si="53"/>
        <v>1</v>
      </c>
    </row>
    <row r="1727" spans="1:4" x14ac:dyDescent="0.35">
      <c r="A1727" t="s">
        <v>1991</v>
      </c>
      <c r="B1727">
        <v>1</v>
      </c>
      <c r="C1727" t="str">
        <f t="shared" si="52"/>
        <v>EMSG:XXX HONDA ODYSSEY VAN EX-L RES in Colorado: Coverage is on Comprehensive is now available and its value must be verified by the user.; XXX HONDA ODYSSEY VAN EX-L RES in Colorado: Coverage is on Collision is now available and its value must be verifie</v>
      </c>
      <c r="D1727" s="3">
        <f t="shared" si="53"/>
        <v>1</v>
      </c>
    </row>
    <row r="1728" spans="1:4" x14ac:dyDescent="0.35">
      <c r="A1728" t="s">
        <v>1992</v>
      </c>
      <c r="B1728">
        <v>1</v>
      </c>
      <c r="C1728" t="str">
        <f t="shared" si="52"/>
        <v>EMSG:XXX HONDA PILOT XXXD XXXWD BLACK EDITION in Colorado: Coverage is on Comprehensive is now available and its value must be verified by the user.; XXX HONDA PILOT XXXD XXXWD BLACK EDITION in Colorado: Coverage is on Collision is now available and its v</v>
      </c>
      <c r="D1728" s="3">
        <f t="shared" si="53"/>
        <v>1</v>
      </c>
    </row>
    <row r="1729" spans="1:4" x14ac:dyDescent="0.35">
      <c r="A1729" t="s">
        <v>1993</v>
      </c>
      <c r="B1729">
        <v>1</v>
      </c>
      <c r="C1729" t="str">
        <f t="shared" si="52"/>
        <v>EMSG:XXX HONDA PILOT XXXD XXXWD ELITE in Colorado: Coverage is on Comprehensive is now available and its value must be verified by the user.; XXX HONDA PILOT XXXD XXXWD ELITE in Colorado: Coverage is on Collision is now available and its value must be ver</v>
      </c>
      <c r="D1729" s="3">
        <f t="shared" si="53"/>
        <v>1</v>
      </c>
    </row>
    <row r="1730" spans="1:4" x14ac:dyDescent="0.35">
      <c r="A1730" t="s">
        <v>1994</v>
      </c>
      <c r="B1730">
        <v>1</v>
      </c>
      <c r="C1730" t="str">
        <f t="shared" ref="C1730:C1793" si="54">LEFT(A1730,255)</f>
        <v>EMSG:XXX HONDA PILOT XXXD XXXWD EX-L in Colorado: Coverage is on Comprehensive is now available and its value must be verified by the user.; XXX HONDA PILOT XXXD XXXWD EX-L in Colorado: Coverage is on Collision is now available and its value must be verif</v>
      </c>
      <c r="D1730" s="3">
        <f t="shared" ref="D1730:D1793" si="55">IF(AND((B1730/10)&lt;1,(B1730/10)&gt;0),1,(B1730/10)*130%)</f>
        <v>1</v>
      </c>
    </row>
    <row r="1731" spans="1:4" x14ac:dyDescent="0.35">
      <c r="A1731" t="s">
        <v>1995</v>
      </c>
      <c r="B1731">
        <v>1</v>
      </c>
      <c r="C1731" t="str">
        <f t="shared" si="54"/>
        <v>EMSG:XXX HONDA PILOT XXXD XXXWD TOURING WITH RES in Texas: Comprehensive is required and must be added. XXXSTRACE:gw.api.extension.PCExtensionInterfacesMapper$block_XXX_.invoke(PCExtensionInterfacesMapper.gs:XXXSTRACERAW:-</v>
      </c>
      <c r="D1731" s="3">
        <f t="shared" si="55"/>
        <v>1</v>
      </c>
    </row>
    <row r="1732" spans="1:4" x14ac:dyDescent="0.35">
      <c r="A1732" t="s">
        <v>1996</v>
      </c>
      <c r="B1732">
        <v>1</v>
      </c>
      <c r="C1732" t="str">
        <f t="shared" si="54"/>
        <v>EMSG:XXX HYUNDAI KONA XXXD XXXWD SEL in Colorado: Coverage is on Comprehensive is now available and its value must be verified by the user.; XXX HYUNDAI KONA XXXD XXXWD SEL in Colorado: Coverage is on Collision is now available and its value must be verif</v>
      </c>
      <c r="D1732" s="3">
        <f t="shared" si="55"/>
        <v>1</v>
      </c>
    </row>
    <row r="1733" spans="1:4" x14ac:dyDescent="0.35">
      <c r="A1733" t="s">
        <v>1997</v>
      </c>
      <c r="B1733">
        <v>1</v>
      </c>
      <c r="C1733" t="str">
        <f t="shared" si="54"/>
        <v>EMSG:XXX HYUNDAI SANTA FE SPORT XXXD XXXWD in Colorado: Coverage is on Comprehensive is now available and its value must be verified by the user.; XXX HYUNDAI SANTA FE SPORT XXXD XXXWD in Colorado: Coverage is on Collision is now available and its value m</v>
      </c>
      <c r="D1733" s="3">
        <f t="shared" si="55"/>
        <v>1</v>
      </c>
    </row>
    <row r="1734" spans="1:4" x14ac:dyDescent="0.35">
      <c r="A1734" t="s">
        <v>1998</v>
      </c>
      <c r="B1734">
        <v>1</v>
      </c>
      <c r="C1734" t="str">
        <f t="shared" si="54"/>
        <v>EMSG:XXX HYUNDAI TUCSON HYBRID XXXD XXXWD LIMITED in Colorado: Coverage is on Comprehensive is now available and its value must be verified by the user.; XXX HYUNDAI TUCSON HYBRID XXXD XXXWD LIMITED in Colorado: Coverage is on Collision is now available a</v>
      </c>
      <c r="D1734" s="3">
        <f t="shared" si="55"/>
        <v>1</v>
      </c>
    </row>
    <row r="1735" spans="1:4" x14ac:dyDescent="0.35">
      <c r="A1735" t="s">
        <v>1999</v>
      </c>
      <c r="B1735">
        <v>1</v>
      </c>
      <c r="C1735" t="str">
        <f t="shared" si="54"/>
        <v>EMSG:XXX INFINITI QXXX XXXD XXXWD XXX.XXXT in Colorado: Coverage is on Comprehensive is now available and its value must be verified by the user.; XXX INFINITI QXXX XXXD XXXWD XXX.XXXT in Colorado: Coverage is on Collision is now available and its value m</v>
      </c>
      <c r="D1735" s="3">
        <f t="shared" si="55"/>
        <v>1</v>
      </c>
    </row>
    <row r="1736" spans="1:4" x14ac:dyDescent="0.35">
      <c r="A1736" t="s">
        <v>2000</v>
      </c>
      <c r="B1736">
        <v>1</v>
      </c>
      <c r="C1736" t="str">
        <f t="shared" si="54"/>
        <v>EMSG:XXX JAGUAR S-TYPE XXXD XXX.XXX VXXX in Colorado: Comprehensive is required and must be added. XXXSTRACE:gw.api.extension.PCExtensionInterfacesMapper$block_XXX_.invoke(PCExtensionInterfacesMapper.gs:XXXSTRACERAW:-</v>
      </c>
      <c r="D1736" s="3">
        <f t="shared" si="55"/>
        <v>1</v>
      </c>
    </row>
    <row r="1737" spans="1:4" x14ac:dyDescent="0.35">
      <c r="A1737" t="s">
        <v>2001</v>
      </c>
      <c r="B1737">
        <v>1</v>
      </c>
      <c r="C1737" t="str">
        <f t="shared" si="54"/>
        <v>EMSG:XXX JEEP COMPASS XXXD XXXWD (NEW) TRAILHAWK in Colorado: Coverage is on Comprehensive is now available and its value must be verified by the user.; XXX JEEP COMPASS XXXD XXXWD (NEW) TRAILHAWK in Colorado: Coverage is on Collision is now available and</v>
      </c>
      <c r="D1737" s="3">
        <f t="shared" si="55"/>
        <v>1</v>
      </c>
    </row>
    <row r="1738" spans="1:4" x14ac:dyDescent="0.35">
      <c r="A1738" t="s">
        <v>2002</v>
      </c>
      <c r="B1738">
        <v>1</v>
      </c>
      <c r="C1738" t="str">
        <f t="shared" si="54"/>
        <v>EMSG:XXX JEEP GRAND CHEROKEE XXXD XXXXXXX LIMITED in Colorado: Coverage is on Comprehensive is now available and its value must be verified by the user.; XXX JEEP GRAND CHEROKEE XXXD XXXXXXX LIMITED in Colorado: Coverage is on Collision is now available a</v>
      </c>
      <c r="D1738" s="3">
        <f t="shared" si="55"/>
        <v>1</v>
      </c>
    </row>
    <row r="1739" spans="1:4" x14ac:dyDescent="0.35">
      <c r="A1739" t="s">
        <v>2003</v>
      </c>
      <c r="B1739">
        <v>1</v>
      </c>
      <c r="C1739" t="str">
        <f t="shared" si="54"/>
        <v>EMSG:XXX JEEP LIBERTY XXXD XXXXXXX LIMITED in Colorado: Coverage is on Comprehensive is now available and its value must be verified by the user.; XXX JEEP LIBERTY XXXD XXXXXXX LIMITED in Colorado: Coverage is on Collision is now available and its value m</v>
      </c>
      <c r="D1739" s="3">
        <f t="shared" si="55"/>
        <v>1</v>
      </c>
    </row>
    <row r="1740" spans="1:4" x14ac:dyDescent="0.35">
      <c r="A1740" t="s">
        <v>2004</v>
      </c>
      <c r="B1740">
        <v>1</v>
      </c>
      <c r="C1740" t="str">
        <f t="shared" si="54"/>
        <v>EMSG:XXX KIA RIO XXXD S/LX in Texas: Comprehensive is required and must be added. XXXSTRACE:gw.api.extension.PCExtensionInterfacesMapper$block_XXX_.invoke(PCExtensionInterfacesMapper.gs:XXXSTRACERAW:-</v>
      </c>
      <c r="D1740" s="3">
        <f t="shared" si="55"/>
        <v>1</v>
      </c>
    </row>
    <row r="1741" spans="1:4" x14ac:dyDescent="0.35">
      <c r="A1741" t="s">
        <v>2005</v>
      </c>
      <c r="B1741">
        <v>1</v>
      </c>
      <c r="C1741" t="str">
        <f t="shared" si="54"/>
        <v>EMSG:XXX KIA SORENTO XXXD XXXXXXX LX in Colorado: Coverage is on Comprehensive is now available and its value must be verified by the user.; XXX KIA SORENTO XXXD XXXXXXX LX in Colorado: Coverage is on Collision is now available and its value must be verif</v>
      </c>
      <c r="D1741" s="3">
        <f t="shared" si="55"/>
        <v>1</v>
      </c>
    </row>
    <row r="1742" spans="1:4" x14ac:dyDescent="0.35">
      <c r="A1742" t="s">
        <v>2006</v>
      </c>
      <c r="B1742">
        <v>1</v>
      </c>
      <c r="C1742" t="str">
        <f t="shared" si="54"/>
        <v xml:space="preserve">EMSG:XXX KIA SORENTO XXXD XXXXXXX SX/SXP in Colorado: Coverage is on Comprehensive is now available and its value must be verified by the user.; XXX KIA SORENTO XXXD XXXXXXX SX/SXP in Colorado: Coverage is on Collision is now available and its value must </v>
      </c>
      <c r="D1742" s="3">
        <f t="shared" si="55"/>
        <v>1</v>
      </c>
    </row>
    <row r="1743" spans="1:4" x14ac:dyDescent="0.35">
      <c r="A1743" t="s">
        <v>2007</v>
      </c>
      <c r="B1743">
        <v>1</v>
      </c>
      <c r="C1743" t="str">
        <f t="shared" si="54"/>
        <v>EMSG:XXX KIA SPECTRA XXX DOOR in Texas: Comprehensive is required and must be added. XXXSTRACE:gw.api.extension.PCExtensionInterfacesMapper$block_XXX_.invoke(PCExtensionInterfacesMapper.gs:XXXSTRACERAW:-</v>
      </c>
      <c r="D1743" s="3">
        <f t="shared" si="55"/>
        <v>1</v>
      </c>
    </row>
    <row r="1744" spans="1:4" x14ac:dyDescent="0.35">
      <c r="A1744" t="s">
        <v>2008</v>
      </c>
      <c r="B1744">
        <v>1</v>
      </c>
      <c r="C1744" t="str">
        <f t="shared" si="54"/>
        <v>EMSG:XXX LEXUS NX XXXH HYBRID XXXD XXXWD LUXURY in Colorado: Coverage is on Comprehensive is now available and its value must be verified by the user.; XXX LEXUS NX XXXH HYBRID XXXD XXXWD LUXURY in Colorado: Coverage is on Collision is now available and i</v>
      </c>
      <c r="D1744" s="3">
        <f t="shared" si="55"/>
        <v>1</v>
      </c>
    </row>
    <row r="1745" spans="1:4" x14ac:dyDescent="0.35">
      <c r="A1745" t="s">
        <v>2009</v>
      </c>
      <c r="B1745">
        <v>1</v>
      </c>
      <c r="C1745" t="str">
        <f t="shared" si="54"/>
        <v>EMSG:XXX MAZDA B SER. STD PU XXXXXXX in Colorado: Coverage is on Comprehensive is now available and its value must be verified by the user.; XXX MAZDA B SER. STD PU XXXXXXX in Colorado: Coverage is on Collision is now available and its value must be verif</v>
      </c>
      <c r="D1745" s="3">
        <f t="shared" si="55"/>
        <v>1</v>
      </c>
    </row>
    <row r="1746" spans="1:4" x14ac:dyDescent="0.35">
      <c r="A1746" t="s">
        <v>2010</v>
      </c>
      <c r="B1746">
        <v>1</v>
      </c>
      <c r="C1746" t="str">
        <f t="shared" si="54"/>
        <v>EMSG:XXX MAZDA CXXXX XXXD XXXWD GRAND TOURING in Colorado: Coverage is on Comprehensive is now available and its value must be verified by the user.; XXX MAZDA CXXXX XXXD XXXWD GRAND TOURING in Colorado: Coverage is on Collision is now available and its v</v>
      </c>
      <c r="D1746" s="3">
        <f t="shared" si="55"/>
        <v>1</v>
      </c>
    </row>
    <row r="1747" spans="1:4" x14ac:dyDescent="0.35">
      <c r="A1747" t="s">
        <v>2011</v>
      </c>
      <c r="B1747">
        <v>1</v>
      </c>
      <c r="C1747" t="str">
        <f t="shared" si="54"/>
        <v>EMSG:XXX NISSAN ROGUE SPORT XXXD XXXWD S/SV/SL in Colorado: Coverage is on Comprehensive is now available and its value must be verified by the user.; XXX NISSAN ROGUE SPORT XXXD XXXWD S/SV/SL in Colorado: Coverage is on Collision is now available and its</v>
      </c>
      <c r="D1747" s="3">
        <f t="shared" si="55"/>
        <v>1</v>
      </c>
    </row>
    <row r="1748" spans="1:4" x14ac:dyDescent="0.35">
      <c r="A1748" t="s">
        <v>2012</v>
      </c>
      <c r="B1748">
        <v>1</v>
      </c>
      <c r="C1748" t="str">
        <f t="shared" si="54"/>
        <v>EMSG:XXX NISSAN VERSA NOTE SW XXX.XXX S/S PL/SV in Kansas: Comprehensive is required and must be added. XXXSTRACE:gw.api.extension.PCExtensionInterfacesMapper$block_XXX_.invoke(PCExtensionInterfacesMapper.gs:XXXSTRACERAW:-</v>
      </c>
      <c r="D1748" s="3">
        <f t="shared" si="55"/>
        <v>1</v>
      </c>
    </row>
    <row r="1749" spans="1:4" x14ac:dyDescent="0.35">
      <c r="A1749" t="s">
        <v>2013</v>
      </c>
      <c r="B1749">
        <v>1</v>
      </c>
      <c r="C1749" t="str">
        <f t="shared" si="54"/>
        <v>EMSG:XXX PLYMOUTH PROWLER CONV in Michigan: Comprehensive is required and must be added. XXXSTRACE:gw.api.extension.PCExtensionInterfacesMapper$block_XXX_.invoke(PCExtensionInterfacesMapper.gs:XXXSTRACERAW:-</v>
      </c>
      <c r="D1749" s="3">
        <f t="shared" si="55"/>
        <v>1</v>
      </c>
    </row>
    <row r="1750" spans="1:4" x14ac:dyDescent="0.35">
      <c r="A1750" t="s">
        <v>2014</v>
      </c>
      <c r="B1750">
        <v>1</v>
      </c>
      <c r="C1750" t="str">
        <f t="shared" si="54"/>
        <v>EMSG:XXX RAM XXX CREW SHORT XXXXXXX REBEL in Colorado: Coverage is on Comprehensive is now available and its value must be verified by the user.; XXX RAM XXX CREW SHORT XXXXXXX REBEL in Colorado: Coverage is on Collision is now available and its value mus</v>
      </c>
      <c r="D1750" s="3">
        <f t="shared" si="55"/>
        <v>1</v>
      </c>
    </row>
    <row r="1751" spans="1:4" x14ac:dyDescent="0.35">
      <c r="A1751" t="s">
        <v>2015</v>
      </c>
      <c r="B1751">
        <v>1</v>
      </c>
      <c r="C1751" t="str">
        <f t="shared" si="54"/>
        <v>EMSG:XXX SUBARU CRSSTREK EYESGHT XXX.XXXI PRM VDC in Colorado: Coverage is on Comprehensive is now available and its value must be verified by the user.; XXX SUBARU CRSSTREK EYESGHT XXX.XXXI PRM VDC in Colorado: Coverage is on Collision is now available a</v>
      </c>
      <c r="D1751" s="3">
        <f t="shared" si="55"/>
        <v>1</v>
      </c>
    </row>
    <row r="1752" spans="1:4" x14ac:dyDescent="0.35">
      <c r="A1752" t="s">
        <v>2016</v>
      </c>
      <c r="B1752">
        <v>1</v>
      </c>
      <c r="C1752" t="str">
        <f t="shared" si="54"/>
        <v>EMSG:XXX SUBARU FORSTR XXXD XXXWD EYEST WILDERXXXNAV in Colorado: Coverage is on Comprehensive is now available and its value must be verified by the user.; XXX SUBARU FORSTR XXXD XXXWD EYEST WILDERXXXNAV in Colorado: Coverage is on Collision is now avail</v>
      </c>
      <c r="D1752" s="3">
        <f t="shared" si="55"/>
        <v>1</v>
      </c>
    </row>
    <row r="1753" spans="1:4" x14ac:dyDescent="0.35">
      <c r="A1753" t="s">
        <v>2017</v>
      </c>
      <c r="B1753">
        <v>1</v>
      </c>
      <c r="C1753" t="str">
        <f t="shared" si="54"/>
        <v>EMSG:XXX SUBARU FORSTR XXXD XXXWD W/EYE XXX.XXXI SPT in Colorado: Coverage is on Comprehensive is now available and its value must be verified by the user.; XXX SUBARU FORSTR XXXD XXXWD W/EYE XXX.XXXI SPT in Colorado: Coverage is on Collision is now avail</v>
      </c>
      <c r="D1753" s="3">
        <f t="shared" si="55"/>
        <v>1</v>
      </c>
    </row>
    <row r="1754" spans="1:4" x14ac:dyDescent="0.35">
      <c r="A1754" t="s">
        <v>2018</v>
      </c>
      <c r="B1754">
        <v>1</v>
      </c>
      <c r="C1754" t="str">
        <f t="shared" si="54"/>
        <v>EMSG:XXX SUBARU OUTBCK SW XXXWD EYE XXX.XXXI PRM VDC in Colorado: Coverage is on Rideshare and Food Delivery Coverage is now available and its value must be verified by the user.; XXX SUBARU OUTBCK SW XXXWD EYE XXX.XXXI PRM VDC in Colorado: Coverage is on</v>
      </c>
      <c r="D1754" s="3">
        <f t="shared" si="55"/>
        <v>1</v>
      </c>
    </row>
    <row r="1755" spans="1:4" x14ac:dyDescent="0.35">
      <c r="A1755" t="s">
        <v>2019</v>
      </c>
      <c r="B1755">
        <v>1</v>
      </c>
      <c r="C1755" t="str">
        <f t="shared" si="54"/>
        <v>EMSG:XXX TESLA MODEL Y EV XXXD XXXWD in Colorado: Coverage is on Comprehensive is now available and its value must be verified by the user.; XXX TESLA MODEL Y EV XXXD XXXWD in Colorado: Coverage is on Collision is now available and its value must be verif</v>
      </c>
      <c r="D1755" s="3">
        <f t="shared" si="55"/>
        <v>1</v>
      </c>
    </row>
    <row r="1756" spans="1:4" x14ac:dyDescent="0.35">
      <c r="A1756" t="s">
        <v>2020</v>
      </c>
      <c r="B1756">
        <v>1</v>
      </c>
      <c r="C1756" t="str">
        <f t="shared" si="54"/>
        <v>EMSG:XXX TOYOTA COROLLA SEDAN XXXWD L/LE/S in Colorado: Coverage is on Comprehensive is now available and its value must be verified by the user.; XXX TOYOTA COROLLA SEDAN XXXWD L/LE/S in Colorado: Coverage is on Collision is now available and its value m</v>
      </c>
      <c r="D1756" s="3">
        <f t="shared" si="55"/>
        <v>1</v>
      </c>
    </row>
    <row r="1757" spans="1:4" x14ac:dyDescent="0.35">
      <c r="A1757" t="s">
        <v>2021</v>
      </c>
      <c r="B1757">
        <v>1</v>
      </c>
      <c r="C1757" t="str">
        <f t="shared" si="54"/>
        <v>EMSG:XXX TOYOTA MATRIX SW XXXWD STD/XR in Oregon: Comprehensive is required and must be added. XXXSTRACE:gw.api.extension.PCExtensionInterfacesMapper$block_XXX_.invoke(PCExtensionInterfacesMapper.gs:XXXSTRACERAW:-</v>
      </c>
      <c r="D1757" s="3">
        <f t="shared" si="55"/>
        <v>1</v>
      </c>
    </row>
    <row r="1758" spans="1:4" x14ac:dyDescent="0.35">
      <c r="A1758" t="s">
        <v>2022</v>
      </c>
      <c r="B1758">
        <v>1</v>
      </c>
      <c r="C1758" t="str">
        <f t="shared" si="54"/>
        <v>EMSG:XXX TOYOTA RAVXXX XXXD XXXWD XLE in New Mexico: UM/UIM - Bodily Injury is required and must be added. XXXSTRACE:gw.api.extension.PCExtensionInterfacesMapper$block_XXX_.invoke(PCExtensionInterfacesMapper.gs:XXXSTRACERAW:-</v>
      </c>
      <c r="D1758" s="3">
        <f t="shared" si="55"/>
        <v>1</v>
      </c>
    </row>
    <row r="1759" spans="1:4" x14ac:dyDescent="0.35">
      <c r="A1759" t="s">
        <v>2023</v>
      </c>
      <c r="B1759">
        <v>1</v>
      </c>
      <c r="C1759" t="str">
        <f t="shared" si="54"/>
        <v>EMSG:XXX TOYOTA XXXRUNNER XXXD XXXXXXX SRXXX/LTD/TRL VXXX in Colorado: Coverage is on Comprehensive is now available and its value must be verified by the user.; XXX TOYOTA XXXRUNNER XXXD XXXXXXX SRXXX/LTD/TRL VXXX in Colorado: Coverage is on Collision is</v>
      </c>
      <c r="D1759" s="3">
        <f t="shared" si="55"/>
        <v>1</v>
      </c>
    </row>
    <row r="1760" spans="1:4" x14ac:dyDescent="0.35">
      <c r="A1760" t="s">
        <v>2024</v>
      </c>
      <c r="B1760">
        <v>1</v>
      </c>
      <c r="C1760" t="str">
        <f t="shared" si="54"/>
        <v>EMSG:XXX VOLKSWAGEN ID.XXX EV XXXD XXXWD PRO in Colorado: Coverage is on Comprehensive is now available and its value must be verified by the user.; XXX VOLKSWAGEN ID.XXX EV XXXD XXXWD PRO in Colorado: Coverage is on Collision is now available and its val</v>
      </c>
      <c r="D1760" s="3">
        <f t="shared" si="55"/>
        <v>1</v>
      </c>
    </row>
    <row r="1761" spans="1:4" ht="43.5" x14ac:dyDescent="0.35">
      <c r="A1761" s="4" t="s">
        <v>2025</v>
      </c>
      <c r="B1761">
        <v>1</v>
      </c>
      <c r="C1761" t="str">
        <f t="shared" si="54"/>
        <v>EMSG:XXX has exceeded the accident and/or violation threshold for eligibility in this program.STRACE:Khafaga has exceeded the accident and/or violation threshold for eligibility in this program.
	at com.farmers.config.pa.validator.BrightlineValidator.vali</v>
      </c>
      <c r="D1761" s="3">
        <f t="shared" si="55"/>
        <v>1</v>
      </c>
    </row>
    <row r="1762" spans="1:4" ht="43.5" x14ac:dyDescent="0.35">
      <c r="A1762" s="4" t="s">
        <v>2026</v>
      </c>
      <c r="B1762">
        <v>1</v>
      </c>
      <c r="C1762" t="str">
        <f t="shared" si="54"/>
        <v>EMSG:XXX has exceeded the accident and/or violation threshold for eligibility in this program.STRACE:Khafaga has exceeded the accident and/or violation threshold for eligibility in this program.
	at gw.job.QuoteProcess.requestQuote(QuoteProcess.gs:XXXSTRA</v>
      </c>
      <c r="D1762" s="3">
        <f t="shared" si="55"/>
        <v>1</v>
      </c>
    </row>
    <row r="1763" spans="1:4" ht="43.5" x14ac:dyDescent="0.35">
      <c r="A1763" s="4" t="s">
        <v>2027</v>
      </c>
      <c r="B1763">
        <v>1</v>
      </c>
      <c r="C1763" t="str">
        <f t="shared" si="54"/>
        <v>EMSG:XXX has exceeded the accident and/or violation threshold for eligibility in this program.STRACE:Kurban has exceeded the accident and/or violation threshold for eligibility in this program.
	at com.farmers.config.pa.validator.BrightlineValidator.valid</v>
      </c>
      <c r="D1763" s="3">
        <f t="shared" si="55"/>
        <v>1</v>
      </c>
    </row>
    <row r="1764" spans="1:4" ht="43.5" x14ac:dyDescent="0.35">
      <c r="A1764" s="4" t="s">
        <v>2028</v>
      </c>
      <c r="B1764">
        <v>1</v>
      </c>
      <c r="C1764" t="str">
        <f t="shared" si="54"/>
        <v>EMSG:XXX has exceeded the accident and/or violation threshold for eligibility in this program.STRACE:Kurban has exceeded the accident and/or violation threshold for eligibility in this program.
	at gw.job.QuoteProcess.requestQuote(QuoteProcess.gs:XXXSTRAC</v>
      </c>
      <c r="D1764" s="3">
        <f t="shared" si="55"/>
        <v>1</v>
      </c>
    </row>
    <row r="1765" spans="1:4" ht="43.5" x14ac:dyDescent="0.35">
      <c r="A1765" s="4" t="s">
        <v>2029</v>
      </c>
      <c r="B1765">
        <v>1</v>
      </c>
      <c r="C1765" t="str">
        <f t="shared" si="54"/>
        <v>EMSG:XXX has exceeded the accident and/or violation threshold for eligibility in this program.STRACE:Raiymov has exceeded the accident and/or violation threshold for eligibility in this program.
	at com.farmers.config.pa.validator.BrightlineValidator.vali</v>
      </c>
      <c r="D1765" s="3">
        <f t="shared" si="55"/>
        <v>1</v>
      </c>
    </row>
    <row r="1766" spans="1:4" ht="43.5" x14ac:dyDescent="0.35">
      <c r="A1766" s="4" t="s">
        <v>2030</v>
      </c>
      <c r="B1766">
        <v>1</v>
      </c>
      <c r="C1766" t="str">
        <f t="shared" si="54"/>
        <v>EMSG:XXX has exceeded the accident and/or violation threshold for eligibility in this program.STRACE:Wright has exceeded the accident and/or violation threshold for eligibility in this program.
	at com.farmers.config.pa.validator.BrightlineValidator.valid</v>
      </c>
      <c r="D1766" s="3">
        <f t="shared" si="55"/>
        <v>1</v>
      </c>
    </row>
    <row r="1767" spans="1:4" ht="43.5" x14ac:dyDescent="0.35">
      <c r="A1767" s="4" t="s">
        <v>2031</v>
      </c>
      <c r="B1767">
        <v>1</v>
      </c>
      <c r="C1767" t="str">
        <f t="shared" si="54"/>
        <v>EMSG:XXX has exceeded the accident and/or violation threshold for eligibility in this program.STRACE:Wright has exceeded the accident and/or violation threshold for eligibility in this program.
	at gw.job.QuoteProcess.requestQuote(QuoteProcess.gs:XXXSTRAC</v>
      </c>
      <c r="D1767" s="3">
        <f t="shared" si="55"/>
        <v>1</v>
      </c>
    </row>
    <row r="1768" spans="1:4" x14ac:dyDescent="0.35">
      <c r="A1768" t="s">
        <v>2032</v>
      </c>
      <c r="B1768">
        <v>1</v>
      </c>
      <c r="C1768" t="str">
        <f t="shared" si="54"/>
        <v>EMSG:ZOE SMILEYSTRACE:gw.job.QuoteProcess.requestQuote(QuoteProcess.gs:XXXSTRACERAW:-</v>
      </c>
      <c r="D1768" s="3">
        <f t="shared" si="55"/>
        <v>1</v>
      </c>
    </row>
    <row r="1769" spans="1:4" x14ac:dyDescent="0.35">
      <c r="A1769" t="s">
        <v>1120</v>
      </c>
      <c r="B1769">
        <v>1</v>
      </c>
      <c r="C1769" t="str">
        <f t="shared" si="54"/>
        <v>EMSG:[BUSINESS_ERROR::Agent not available anamXXX]STRACE:com.farmers.edge.capabilities.communitymodel.checkgrantaccess.processor.CheckGrantAccessProcessor.processGrantAccess(CheckGrantAccessProcessor.gs:XXXSTRACERAW:-</v>
      </c>
      <c r="D1769" s="3">
        <f t="shared" si="55"/>
        <v>1</v>
      </c>
    </row>
    <row r="1770" spans="1:4" x14ac:dyDescent="0.35">
      <c r="A1770" t="s">
        <v>2033</v>
      </c>
      <c r="B1770">
        <v>1</v>
      </c>
      <c r="C1770" t="str">
        <f t="shared" si="54"/>
        <v>EMSG:[BUSINESS_ERROR::Agent not available clarXXXl]STRACE:com.farmers.edge.capabilities.communitymodel.checkgrantaccess.processor.CheckGrantAccessProcessor.processGrantAccess(CheckGrantAccessProcessor.gs:XXXSTRACERAW:-</v>
      </c>
      <c r="D1770" s="3">
        <f t="shared" si="55"/>
        <v>1</v>
      </c>
    </row>
    <row r="1771" spans="1:4" x14ac:dyDescent="0.35">
      <c r="A1771" t="s">
        <v>2034</v>
      </c>
      <c r="B1771">
        <v>1</v>
      </c>
      <c r="C1771" t="str">
        <f t="shared" si="54"/>
        <v>EMSG:[BUSINESS_ERROR::Agent not available gabbXXX]STRACE:com.farmers.edge.capabilities.communitymodel.checkgrantaccess.processor.CheckGrantAccessProcessor.processGrantAccess(CheckGrantAccessProcessor.gs:XXXSTRACERAW:-</v>
      </c>
      <c r="D1771" s="3">
        <f t="shared" si="55"/>
        <v>1</v>
      </c>
    </row>
    <row r="1772" spans="1:4" x14ac:dyDescent="0.35">
      <c r="A1772" t="s">
        <v>2035</v>
      </c>
      <c r="B1772">
        <v>1</v>
      </c>
      <c r="C1772" t="str">
        <f t="shared" si="54"/>
        <v>EMSG:[BUSINESS_ERROR::Agent not available sellXXXf]STRACE:com.farmers.edge.capabilities.communitymodel.checkgrantaccess.processor.CheckGrantAccessProcessor.processGrantAccess(CheckGrantAccessProcessor.gs:XXXSTRACERAW:-</v>
      </c>
      <c r="D1772" s="3">
        <f t="shared" si="55"/>
        <v>1</v>
      </c>
    </row>
    <row r="1773" spans="1:4" x14ac:dyDescent="0.35">
      <c r="A1773" t="s">
        <v>1203</v>
      </c>
      <c r="B1773">
        <v>1</v>
      </c>
      <c r="C1773" t="str">
        <f t="shared" si="54"/>
        <v>EMSG:[BUSINESS_ERROR::Database bean version conflict : XXXSTRACE:com.farmers.edge.capabilities.communitymodel.checkgrantaccess.processor.CheckGrantAccessProcessor.processGrantAccess(CheckGrantAccessProcessor.gs:XXXSTRACERAW:-</v>
      </c>
      <c r="D1773" s="3">
        <f t="shared" si="55"/>
        <v>1</v>
      </c>
    </row>
    <row r="1774" spans="1:4" x14ac:dyDescent="0.35">
      <c r="A1774" t="s">
        <v>1071</v>
      </c>
      <c r="B1774">
        <v>1</v>
      </c>
      <c r="C1774" t="str">
        <f t="shared" si="54"/>
        <v>EMSG:[XXX] Cannot load a temporary id from the backing entity source: ContingencyPatDetails_Ext:XXXSTRACE:deployment.pc.war//com.guidewire.pl.system.bundle.EntityBundleImpl.loadBean(EntityBundleImpl.java:XXXSTRACERAW:-</v>
      </c>
      <c r="D1774" s="3">
        <f t="shared" si="55"/>
        <v>1</v>
      </c>
    </row>
    <row r="1775" spans="1:4" x14ac:dyDescent="0.35">
      <c r="A1775" t="s">
        <v>2036</v>
      </c>
      <c r="B1775">
        <v>1</v>
      </c>
      <c r="C1775" t="str">
        <f t="shared" si="54"/>
        <v>EMSG:class gw.lang.parser.EvaluationException cannot be cast to class edge.validation.EdgeValidationException (gw.lang.parser.EvaluationException is in unnamed module of loader 'deployment.pc.war' @XXX; edge.validation.EdgeValidationException is in unname</v>
      </c>
      <c r="D1775" s="3">
        <f t="shared" si="55"/>
        <v>1</v>
      </c>
    </row>
    <row r="1776" spans="1:4" x14ac:dyDescent="0.35">
      <c r="A1776" t="s">
        <v>2037</v>
      </c>
      <c r="B1776">
        <v>1</v>
      </c>
      <c r="C1776" t="str">
        <f t="shared" si="54"/>
        <v>EMSG:class gw.lang.parser.EvaluationException cannot be cast to class edge.validation.EdgeValidationException (gw.lang.parser.EvaluationException is in unnamed module of loader 'deployment.pc.war' @XXXaXXXfXXX; edge.validation.EdgeValidationException is i</v>
      </c>
      <c r="D1776" s="3">
        <f t="shared" si="55"/>
        <v>1</v>
      </c>
    </row>
    <row r="1777" spans="1:4" x14ac:dyDescent="0.35">
      <c r="A1777" t="s">
        <v>2038</v>
      </c>
      <c r="B1777">
        <v>1</v>
      </c>
      <c r="C1777" t="str">
        <f t="shared" si="54"/>
        <v>EMSG:class gw.lang.parser.EvaluationException cannot be cast to class edge.validation.EdgeValidationException (gw.lang.parser.EvaluationException is in unnamed module of loader 'deployment.pc.war' @XXXaedbXXXb; edge.validation.EdgeValidationException is i</v>
      </c>
      <c r="D1777" s="3">
        <f t="shared" si="55"/>
        <v>1</v>
      </c>
    </row>
    <row r="1778" spans="1:4" x14ac:dyDescent="0.35">
      <c r="A1778" t="s">
        <v>2039</v>
      </c>
      <c r="B1778">
        <v>1</v>
      </c>
      <c r="C1778" t="str">
        <f t="shared" si="54"/>
        <v xml:space="preserve">EMSG:class gw.lang.parser.EvaluationException cannot be cast to class edge.validation.EdgeValidationException (gw.lang.parser.EvaluationException is in unnamed module of loader 'deployment.pc.war' @XXXcddbad; edge.validation.EdgeValidationException is in </v>
      </c>
      <c r="D1778" s="3">
        <f t="shared" si="55"/>
        <v>1</v>
      </c>
    </row>
    <row r="1779" spans="1:4" x14ac:dyDescent="0.35">
      <c r="A1779" t="s">
        <v>2040</v>
      </c>
      <c r="B1779">
        <v>1</v>
      </c>
      <c r="C1779" t="str">
        <f t="shared" si="54"/>
        <v xml:space="preserve">EMSG:class gw.lang.parser.EvaluationException cannot be cast to class edge.validation.EdgeValidationException (gw.lang.parser.EvaluationException is in unnamed module of loader 'deployment.pc.war' @XXXfXXXaXXXeXXX; edge.validation.EdgeValidationException </v>
      </c>
      <c r="D1779" s="3">
        <f t="shared" si="55"/>
        <v>1</v>
      </c>
    </row>
    <row r="1780" spans="1:4" x14ac:dyDescent="0.35">
      <c r="A1780" t="s">
        <v>2041</v>
      </c>
      <c r="B1780">
        <v>1</v>
      </c>
      <c r="C1780" t="str">
        <f t="shared" si="54"/>
        <v xml:space="preserve">EMSG:class gw.lang.parser.EvaluationException cannot be cast to class edge.validation.EdgeValidationException (gw.lang.parser.EvaluationException is in unnamed module of loader 'deployment.pc.war' @XXXfXXXcf; edge.validation.EdgeValidationException is in </v>
      </c>
      <c r="D1780" s="3">
        <f t="shared" si="55"/>
        <v>1</v>
      </c>
    </row>
    <row r="1781" spans="1:4" x14ac:dyDescent="0.35">
      <c r="A1781" t="s">
        <v>2042</v>
      </c>
      <c r="B1781">
        <v>1</v>
      </c>
      <c r="C1781" t="str">
        <f t="shared" si="54"/>
        <v>EMSG:class gw.lang.parser.EvaluationException cannot be cast to class edge.validation.EdgeValidationException (gw.lang.parser.EvaluationException is in unnamed module of loader 'deployment.pc.war' @cdXXXefc; edge.validation.EdgeValidationException is in u</v>
      </c>
      <c r="D1781" s="3">
        <f t="shared" si="55"/>
        <v>1</v>
      </c>
    </row>
    <row r="1782" spans="1:4" x14ac:dyDescent="0.35">
      <c r="A1782" t="s">
        <v>2043</v>
      </c>
      <c r="B1782">
        <v>1</v>
      </c>
      <c r="C1782" t="str">
        <f t="shared" si="54"/>
        <v>EMSG:class java.lang.RuntimeException cannot be cast to class edge.validation.EdgeValidationException (java.lang.RuntimeException is in module java.base of loader 'bootstrap'; edge.validation.EdgeValidationException is in unnamed module of loader com.guid</v>
      </c>
      <c r="D1782" s="3">
        <f t="shared" si="55"/>
        <v>1</v>
      </c>
    </row>
    <row r="1783" spans="1:4" x14ac:dyDescent="0.35">
      <c r="A1783" t="s">
        <v>1177</v>
      </c>
      <c r="B1783">
        <v>1</v>
      </c>
      <c r="C1783" t="str">
        <f t="shared" si="54"/>
        <v>EMSG:com.guidewire.pl.system.entity.proxy.EffDatedVersionListOverlapException: HomeownersLine_HOE with FixedID:XXX and window XXXSTRACE:com.farmers.integ.documentmgmt.ondemand.api.transformer.GetPolicyDetailsRestRequestTransformer.transform(GetPolicyDetai</v>
      </c>
      <c r="D1783" s="3">
        <f t="shared" si="55"/>
        <v>1</v>
      </c>
    </row>
    <row r="1784" spans="1:4" x14ac:dyDescent="0.35">
      <c r="A1784" t="s">
        <v>2044</v>
      </c>
      <c r="B1784">
        <v>1</v>
      </c>
      <c r="C1784" t="str">
        <f t="shared" si="54"/>
        <v>EMSG:com.guidewire.pl.system.exception.DBException: Failed to execute a querySTRACE:com.farmers.integ.erti.riskanalysis.creditreport.delegate.RetrieveCreditScoreServiceDelegate.retrieveEnterpriseCreditScore(RetrieveCreditScoreServiceDelegate.gs:XXXSTRACER</v>
      </c>
      <c r="D1784" s="3">
        <f t="shared" si="55"/>
        <v>1</v>
      </c>
    </row>
    <row r="1785" spans="1:4" x14ac:dyDescent="0.35">
      <c r="A1785" t="s">
        <v>1258</v>
      </c>
      <c r="B1785">
        <v>1</v>
      </c>
      <c r="C1785" t="str">
        <f t="shared" si="54"/>
        <v>EMSG:com.guidewire.pl.system.exception.DBException: Failed to execute a querySTRACE:deployment.pc.war//com.guidewire.pl.web.widget.Widget.getVisibleValue(Widget.java:XXXSTRACERAW:-</v>
      </c>
      <c r="D1785" s="3">
        <f t="shared" si="55"/>
        <v>1</v>
      </c>
    </row>
    <row r="1786" spans="1:4" x14ac:dyDescent="0.35">
      <c r="A1786" t="s">
        <v>1144</v>
      </c>
      <c r="B1786">
        <v>1</v>
      </c>
      <c r="C1786" t="str">
        <f t="shared" si="54"/>
        <v>EMSG:com.guidewire.pl.system.exception.DBException: Failed to execute a querySTRACE:gw.rating.flow.domain.CalcRoutine.executeRoutine(CalcRoutine.gs:XXXSTRACERAW:-</v>
      </c>
      <c r="D1786" s="3">
        <f t="shared" si="55"/>
        <v>1</v>
      </c>
    </row>
    <row r="1787" spans="1:4" x14ac:dyDescent="0.35">
      <c r="A1787" t="s">
        <v>2045</v>
      </c>
      <c r="B1787">
        <v>1</v>
      </c>
      <c r="C1787" t="str">
        <f t="shared" si="54"/>
        <v>EMSG:error trying to execute query of type entity.DiscountDetail_ExtSTRACE:deployment.pc.war//com.guidewire.pl.system.database.entitysource.DatabaseEntitySource.executeQueryAndPopulateBeans(DatabaseEntitySource.java:XXXSTRACERAW:-</v>
      </c>
      <c r="D1787" s="3">
        <f t="shared" si="55"/>
        <v>1</v>
      </c>
    </row>
    <row r="1788" spans="1:4" x14ac:dyDescent="0.35">
      <c r="A1788" t="s">
        <v>1006</v>
      </c>
      <c r="B1788">
        <v>1</v>
      </c>
      <c r="C1788" t="str">
        <f t="shared" si="54"/>
        <v>EMSG:error trying to execute query of type entity.HOLocation_HOESTRACE:deployment.pc.war//com.guidewire.pl.system.database.entitysource.DatabaseEntitySource.executeQueryAndPopulateBeans(DatabaseEntitySource.java:XXXSTRACERAW:-</v>
      </c>
      <c r="D1788" s="3">
        <f t="shared" si="55"/>
        <v>1</v>
      </c>
    </row>
    <row r="1789" spans="1:4" x14ac:dyDescent="0.35">
      <c r="A1789" t="s">
        <v>2046</v>
      </c>
      <c r="B1789">
        <v>1</v>
      </c>
      <c r="C1789" t="str">
        <f t="shared" si="54"/>
        <v>EMSG:java.lang.IllegalStateException: Attempt to access bean of type "HOTransaction_HOE" id=XXX with a null bundleSTRACE:com.farmers.integ.documentmgmt.ondemand.api.transformer.GetPolicyDetailsRestRequestTransformer.transform(GetPolicyDetailsRestRequestTr</v>
      </c>
      <c r="D1789" s="3">
        <f t="shared" si="55"/>
        <v>1</v>
      </c>
    </row>
    <row r="1790" spans="1:4" x14ac:dyDescent="0.35">
      <c r="A1790" t="s">
        <v>2047</v>
      </c>
      <c r="B1790">
        <v>1</v>
      </c>
      <c r="C1790" t="str">
        <f t="shared" si="54"/>
        <v>EMSG:java.lang.NullPointerExceptionSTRACE:com.farmers.config.ho.fortifiedhome.FortifiedHomeReportOrderProcess.invokeFortifiedHomeService(FortifiedHomeReportOrderProcess.gs:XXXSTRACERAW:-</v>
      </c>
      <c r="D1790" s="3">
        <f t="shared" si="55"/>
        <v>1</v>
      </c>
    </row>
    <row r="1791" spans="1:4" x14ac:dyDescent="0.35">
      <c r="A1791" t="s">
        <v>696</v>
      </c>
      <c r="B1791">
        <v>1</v>
      </c>
      <c r="C1791" t="str">
        <f t="shared" si="54"/>
        <v>EMSG:java.lang.RuntimeException: java.util.concurrent.TimeoutExceptionSTRACE:com.farmers.config.pup.prefill.PUPPrefillPreProcesser.getPolicySummaryFromMDM(PUPPrefillPreProcesser.gs:XXXSTRACERAW:-</v>
      </c>
      <c r="D1791" s="3">
        <f t="shared" si="55"/>
        <v>1</v>
      </c>
    </row>
    <row r="1792" spans="1:4" x14ac:dyDescent="0.35">
      <c r="A1792" t="s">
        <v>2048</v>
      </c>
      <c r="B1792" s="8">
        <v>30960</v>
      </c>
      <c r="C1792" t="str">
        <f t="shared" si="54"/>
        <v>EMSG:JMSWMQXXX: Failed to send a message to destination 'FIG.INF.FROM.PC.OPRA.PROCESS'.STRACE:deployment.wmq.jmsra.rar//com.ibm.msg.client.wmq.common.internal.Reason.reasonToException(Reason.java:XXXSTRACERAW:-</v>
      </c>
      <c r="D1792" s="3">
        <f t="shared" si="55"/>
        <v>4024.8</v>
      </c>
    </row>
    <row r="1793" spans="1:4" x14ac:dyDescent="0.35">
      <c r="A1793" t="s">
        <v>2049</v>
      </c>
      <c r="B1793" s="8">
        <v>15480</v>
      </c>
      <c r="C1793" t="str">
        <f t="shared" si="54"/>
        <v>EMSG:-STRACE:-STRACERAW:com.farmers.integ.distribution.opra.batch.OpraBatchImpl.processWorkItem(OpraBatchImpl.gs:XXX</v>
      </c>
      <c r="D1793" s="3">
        <f t="shared" si="55"/>
        <v>2012.4</v>
      </c>
    </row>
    <row r="1794" spans="1:4" x14ac:dyDescent="0.35">
      <c r="A1794" t="s">
        <v>2050</v>
      </c>
      <c r="B1794">
        <v>423</v>
      </c>
      <c r="C1794" t="str">
        <f t="shared" ref="C1794:C1857" si="56">LEFT(A1794,255)</f>
        <v>EMSG:-STRACE:-STRACERAW:com.farmers.integ.framework.job.automatejob.AutomatedJobAPIExecutor.execute(AutomatedJobAPIExecutor.gs:XXX</v>
      </c>
      <c r="D1794" s="3">
        <f t="shared" ref="D1794:D1857" si="57">IF(AND((B1794/10)&lt;1,(B1794/10)&gt;0),1,(B1794/10)*130%)</f>
        <v>54.989999999999995</v>
      </c>
    </row>
    <row r="1795" spans="1:4" x14ac:dyDescent="0.35">
      <c r="A1795" t="s">
        <v>2051</v>
      </c>
      <c r="B1795">
        <v>350</v>
      </c>
      <c r="C1795" t="str">
        <f t="shared" si="56"/>
        <v>EMSG:java.lang.RuntimeException: java.net.NoRouteToHostException: No route to host (Host unreachable)STRACE:deployment.pc.war//gw.internal.xml.ws.WsdlPortImpl.invoke(WsdlPortImpl.java:XXXSTRACERAW:-</v>
      </c>
      <c r="D1795" s="3">
        <f t="shared" si="57"/>
        <v>45.5</v>
      </c>
    </row>
    <row r="1796" spans="1:4" x14ac:dyDescent="0.35">
      <c r="A1796" t="s">
        <v>2052</v>
      </c>
      <c r="B1796">
        <v>289</v>
      </c>
      <c r="C1796" t="str">
        <f t="shared" si="56"/>
        <v>EMSG:-STRACE:-STRACERAW:program_.__Program__XXX.evaluate(Unknown Source</v>
      </c>
      <c r="D1796" s="3">
        <f t="shared" si="57"/>
        <v>37.57</v>
      </c>
    </row>
    <row r="1797" spans="1:4" x14ac:dyDescent="0.35">
      <c r="A1797" t="s">
        <v>1225</v>
      </c>
      <c r="B1797">
        <v>134</v>
      </c>
      <c r="C1797" t="str">
        <f t="shared" si="56"/>
        <v>EMSG:-STRACE:com.farmers.integ.billing.policysummary.helper.PolicySummaryHelper.fetchPolicyPeriod(PolicySummaryHelper.gs:XXXSTRACERAW:-</v>
      </c>
      <c r="D1797" s="3">
        <f t="shared" si="57"/>
        <v>17.420000000000002</v>
      </c>
    </row>
    <row r="1798" spans="1:4" x14ac:dyDescent="0.35">
      <c r="A1798" t="s">
        <v>2053</v>
      </c>
      <c r="B1798">
        <v>123</v>
      </c>
      <c r="C1798" t="str">
        <f t="shared" si="56"/>
        <v>EMSG:Could not parse XML file /jboss/pcprodXXX/jboss-eapXXX.XXX/standalone/tmp/vfs/temp/tempfXXXedXXXeXXX/contentXXXbXXXce/modules/configuration/config/datatypes/key.dtiSTRACE:deployment.pc.war//gw.xml.XMLParserBase.makeParseException(XMLParserBase.java:X</v>
      </c>
      <c r="D1798" s="3">
        <f t="shared" si="57"/>
        <v>15.990000000000002</v>
      </c>
    </row>
    <row r="1799" spans="1:4" x14ac:dyDescent="0.35">
      <c r="A1799" t="s">
        <v>1237</v>
      </c>
      <c r="B1799">
        <v>82</v>
      </c>
      <c r="C1799" t="str">
        <f t="shared" si="56"/>
        <v>EMSG:-STRACE:-STRACERAW:com.farmers.edge.framework.exception.EdgeFrameworkHandlerExt.handle(EdgeFrameworkHandlerExt.gs:XXX</v>
      </c>
      <c r="D1799" s="3">
        <f t="shared" si="57"/>
        <v>10.66</v>
      </c>
    </row>
    <row r="1800" spans="1:4" x14ac:dyDescent="0.35">
      <c r="A1800" t="s">
        <v>992</v>
      </c>
      <c r="B1800">
        <v>78</v>
      </c>
      <c r="C1800" t="str">
        <f t="shared" si="56"/>
        <v>EMSG:java.lang.RuntimeException: java.net.SocketException: Connection resetSTRACE:deployment.pc.war//gw.internal.xml.ws.WsdlPortImpl.invoke(WsdlPortImpl.java:XXXSTRACERAW:-</v>
      </c>
      <c r="D1800" s="3">
        <f t="shared" si="57"/>
        <v>10.14</v>
      </c>
    </row>
    <row r="1801" spans="1:4" ht="58" x14ac:dyDescent="0.35">
      <c r="A1801" s="4" t="s">
        <v>685</v>
      </c>
      <c r="B1801">
        <v>68</v>
      </c>
      <c r="C1801" t="str">
        <f t="shared" si="56"/>
        <v>EMSG:'Unable to parse XML from xml string using schemas [com.farmers.integ.documentmgmt.ondemand.wsc.homeondemand.homeondemandformgenerationschema] and schema root com.farmers.integ.documentmgmt.ondemand.wsc.homeondemand.homeondemandformgenerationschema.G</v>
      </c>
      <c r="D1801" s="3">
        <f t="shared" si="57"/>
        <v>8.84</v>
      </c>
    </row>
    <row r="1802" spans="1:4" ht="43.5" x14ac:dyDescent="0.35">
      <c r="A1802" s="4" t="s">
        <v>1040</v>
      </c>
      <c r="B1802">
        <v>50</v>
      </c>
      <c r="C1802" t="str">
        <f t="shared" si="56"/>
        <v>EMSG:'Unable to parse XML from xml string using schemas [com.farmers.integ.documentmgmt.ondemand.wsc.autoondemand.autoondemandformgenerationschema] and schema root com.farmers.integ.documentmgmt.ondemand.wsc.autoondemand.autoondemandformgenerationschema.G</v>
      </c>
      <c r="D1802" s="3">
        <f t="shared" si="57"/>
        <v>6.5</v>
      </c>
    </row>
    <row r="1803" spans="1:4" x14ac:dyDescent="0.35">
      <c r="A1803" t="s">
        <v>2054</v>
      </c>
      <c r="B1803">
        <v>40</v>
      </c>
      <c r="C1803" t="str">
        <f t="shared" si="56"/>
        <v>EMSG:-STRACE:-STRACERAW:deployment.pc.war//gw.pl.util.ArgCheck.nonNull(ArgCheck.java:XXX</v>
      </c>
      <c r="D1803" s="3">
        <f t="shared" si="57"/>
        <v>5.2</v>
      </c>
    </row>
    <row r="1804" spans="1:4" ht="58" x14ac:dyDescent="0.35">
      <c r="A1804" s="4" t="s">
        <v>686</v>
      </c>
      <c r="B1804">
        <v>34</v>
      </c>
      <c r="C1804" t="str">
        <f t="shared" si="56"/>
        <v>EMSG:'Unable to parse XML from xml string using schemas [com.farmers.integ.documentmgmt.ondemand.wsc.homeondemand.homeondemandformgenerationschema] and schema root com.farmers.integ.documentmgmt.ondemand.wsc.homeondemand.homeondemandformgenerationschema.G</v>
      </c>
      <c r="D1804" s="3">
        <f t="shared" si="57"/>
        <v>4.42</v>
      </c>
    </row>
    <row r="1805" spans="1:4" x14ac:dyDescent="0.35">
      <c r="A1805" t="s">
        <v>2055</v>
      </c>
      <c r="B1805">
        <v>28</v>
      </c>
      <c r="C1805" t="str">
        <f t="shared" si="56"/>
        <v>EMSG:Enter XXX-month Estimated mileage for XXX BUICK ENCORE GX XXXD XXXWD PREFERRED on Vehicles screen. Annual Miles is required for Quote.;STRACE:edge.capabilities.quote.submission.quoting.util.SubmissionUnderwritingIssuesUtil.checkVerifyRateExceptions(S</v>
      </c>
      <c r="D1805" s="3">
        <f t="shared" si="57"/>
        <v>3.6399999999999997</v>
      </c>
    </row>
    <row r="1806" spans="1:4" x14ac:dyDescent="0.35">
      <c r="A1806" t="s">
        <v>2056</v>
      </c>
      <c r="B1806">
        <v>26</v>
      </c>
      <c r="C1806" t="str">
        <f t="shared" si="56"/>
        <v>EMSG:-STRACE:-STRACERAW:com.farmers.credit.pa.address.mismatch.AddressMismatchService.&lt;init&gt;(AddressMismatchService.gs:XXX</v>
      </c>
      <c r="D1806" s="3">
        <f t="shared" si="57"/>
        <v>3.3800000000000003</v>
      </c>
    </row>
    <row r="1807" spans="1:4" x14ac:dyDescent="0.35">
      <c r="A1807" t="s">
        <v>2057</v>
      </c>
      <c r="B1807">
        <v>26</v>
      </c>
      <c r="C1807" t="str">
        <f t="shared" si="56"/>
        <v>EMSG:Cannot update address mismatch information; the policy period has no credit scoring informationSTRACE:com.farmers.credit.pa.address.mismatch.AddressMismatchService.&lt;init&gt;(AddressMismatchService.gs:XXXSTRACERAW:-</v>
      </c>
      <c r="D1807" s="3">
        <f t="shared" si="57"/>
        <v>3.3800000000000003</v>
      </c>
    </row>
    <row r="1808" spans="1:4" ht="43.5" x14ac:dyDescent="0.35">
      <c r="A1808" s="4" t="s">
        <v>1072</v>
      </c>
      <c r="B1808">
        <v>25</v>
      </c>
      <c r="C1808" t="str">
        <f t="shared" si="56"/>
        <v>EMSG:'Unable to parse XML from xml string using schemas [com.farmers.integ.documentmgmt.ondemand.wsc.autoondemand.autoondemandformgenerationschema] and schema root com.farmers.integ.documentmgmt.ondemand.wsc.autoondemand.autoondemandformgenerationschema.G</v>
      </c>
      <c r="D1808" s="3">
        <f t="shared" si="57"/>
        <v>3.25</v>
      </c>
    </row>
    <row r="1809" spans="1:4" ht="29" x14ac:dyDescent="0.35">
      <c r="A1809" s="4" t="s">
        <v>2058</v>
      </c>
      <c r="B1809">
        <v>25</v>
      </c>
      <c r="C1809" t="str">
        <f t="shared" si="56"/>
        <v>EMSG:There is no period in force for policy pc:XXX at date Feb XXXSTRACE:date Feb XXX, XXX.
	at deployment.pc.war//com.guidewire.pc.domain.job.impl.JobImpl.getBasedOnPeriod(JobImpl.java:XXXSTRACERAW:-</v>
      </c>
      <c r="D1809" s="3">
        <f t="shared" si="57"/>
        <v>3.25</v>
      </c>
    </row>
    <row r="1810" spans="1:4" x14ac:dyDescent="0.35">
      <c r="A1810" t="s">
        <v>2059</v>
      </c>
      <c r="B1810">
        <v>24</v>
      </c>
      <c r="C1810" t="str">
        <f t="shared" si="56"/>
        <v>EMSG:-STRACE:-STRACERAW:gw.wsi.pl.DataChangeAPI$block_XXX_.invoke(DataChangeAPI.gs:XXX</v>
      </c>
      <c r="D1810" s="3">
        <f t="shared" si="57"/>
        <v>3.12</v>
      </c>
    </row>
    <row r="1811" spans="1:4" x14ac:dyDescent="0.35">
      <c r="A1811" t="s">
        <v>2060</v>
      </c>
      <c r="B1811">
        <v>21</v>
      </c>
      <c r="C1811" t="str">
        <f t="shared" si="56"/>
        <v>EMSG:-STRACE:-STRACERAW:gw.acc.luw.plugin.policyperiod.impl.LUWJobProcessCreationPlugin.createJobProcess(LUWJobProcessCreationPlugin.gs:XXX</v>
      </c>
      <c r="D1811" s="3">
        <f t="shared" si="57"/>
        <v>2.7300000000000004</v>
      </c>
    </row>
    <row r="1812" spans="1:4" x14ac:dyDescent="0.35">
      <c r="A1812" t="s">
        <v>2061</v>
      </c>
      <c r="B1812">
        <v>20</v>
      </c>
      <c r="C1812" t="str">
        <f t="shared" si="56"/>
        <v>EMSG:Cannot start a Reinstatement with on policy XXX: There would be an overlap between the reinstatement period and a previously bound periodSTRACE:deployment.pc.war//com.guidewire.pc.domain.job.impl.JobImpl.checkCanStartJob(JobImpl.java:XXXSTRACERAW:-</v>
      </c>
      <c r="D1812" s="3">
        <f t="shared" si="57"/>
        <v>2.6</v>
      </c>
    </row>
    <row r="1813" spans="1:4" x14ac:dyDescent="0.35">
      <c r="A1813" t="s">
        <v>531</v>
      </c>
      <c r="B1813">
        <v>20</v>
      </c>
      <c r="C1813" t="str">
        <f t="shared" si="56"/>
        <v>EMSG:Connect to api-int.farmersinsurance.com:XXX [api-int.farmersinsurance.com/XXX.XXX.XXX.XXXSTRACE:deployment.pc.war//org.apache.http.impl.conn.DefaultHttpClientConnectionOperator.connect(DefaultHttpClientConnectionOperator.java:XXXSTRACERAW:-</v>
      </c>
      <c r="D1813" s="3">
        <f t="shared" si="57"/>
        <v>2.6</v>
      </c>
    </row>
    <row r="1814" spans="1:4" x14ac:dyDescent="0.35">
      <c r="A1814" t="s">
        <v>2062</v>
      </c>
      <c r="B1814">
        <v>18</v>
      </c>
      <c r="C1814" t="str">
        <f t="shared" si="56"/>
        <v>EMSG:-STRACE:-STRACERAW:com.farmers.config.commonutil.FarmersDateUtil.differenceInYears(FarmersDateUtil.gs:XXX</v>
      </c>
      <c r="D1814" s="3">
        <f t="shared" si="57"/>
        <v>2.3400000000000003</v>
      </c>
    </row>
    <row r="1815" spans="1:4" x14ac:dyDescent="0.35">
      <c r="A1815" t="s">
        <v>2063</v>
      </c>
      <c r="B1815">
        <v>18</v>
      </c>
      <c r="C1815" t="str">
        <f t="shared" si="56"/>
        <v>EMSG:Re-enter "License #". Duplicate License Number entered for the following Drivers Donna KubischtaSTRACE:edge.capabilities.quote.submission.quoting.util.SubmissionUnderwritingIssuesUtil.checkVerifyRateExceptions(SubmissionUnderwritingIssuesUtil.gs:XXXS</v>
      </c>
      <c r="D1815" s="3">
        <f t="shared" si="57"/>
        <v>2.3400000000000003</v>
      </c>
    </row>
    <row r="1816" spans="1:4" x14ac:dyDescent="0.35">
      <c r="A1816" t="s">
        <v>2064</v>
      </c>
      <c r="B1816">
        <v>18</v>
      </c>
      <c r="C1816" t="str">
        <f t="shared" si="56"/>
        <v xml:space="preserve">EMSG:Update Signal Phone number for JOSHUA Shuttleworth. Each driver enrolled in the Signal program needs a unique cell phone number.;Update Signal Phone number for Alison Shuttleworth. Each driver enrolled in the Signal program needs a unique cell phone </v>
      </c>
      <c r="D1816" s="3">
        <f t="shared" si="57"/>
        <v>2.3400000000000003</v>
      </c>
    </row>
    <row r="1817" spans="1:4" x14ac:dyDescent="0.35">
      <c r="A1817" t="s">
        <v>2065</v>
      </c>
      <c r="B1817">
        <v>16</v>
      </c>
      <c r="C1817" t="str">
        <f t="shared" si="56"/>
        <v>EMSG:Correct VIN on XXX.  VIN failed verification.;Update XXX for Driver XXXSTRACE:edge.capabilities.quote.submission.quoting.util.SubmissionUnderwritingIssuesUtil.checkVerifyRateExceptions(SubmissionUnderwritingIssuesUtil.gs:XXXSTRACERAW:-</v>
      </c>
      <c r="D1817" s="3">
        <f t="shared" si="57"/>
        <v>2.08</v>
      </c>
    </row>
    <row r="1818" spans="1:4" x14ac:dyDescent="0.35">
      <c r="A1818" t="s">
        <v>2066</v>
      </c>
      <c r="B1818">
        <v>15</v>
      </c>
      <c r="C1818" t="str">
        <f t="shared" si="56"/>
        <v>EMSG:Cannot calculate years between two dates when one of the dates is nullSTRACE:com.farmers.config.commonutil.FarmersDateUtil.differenceInYears(FarmersDateUtil.gs:XXXSTRACERAW:-</v>
      </c>
      <c r="D1818" s="3">
        <f t="shared" si="57"/>
        <v>1.9500000000000002</v>
      </c>
    </row>
    <row r="1819" spans="1:4" x14ac:dyDescent="0.35">
      <c r="A1819" t="s">
        <v>2067</v>
      </c>
      <c r="B1819">
        <v>14</v>
      </c>
      <c r="C1819" t="str">
        <f t="shared" si="56"/>
        <v>EMSG:-STRACE:-STRACERAW:gw.account.AccountFileMLIUIController.getPolicyType(AccountFileMLIUIController.gs:XXX</v>
      </c>
      <c r="D1819" s="3">
        <f t="shared" si="57"/>
        <v>1.8199999999999998</v>
      </c>
    </row>
    <row r="1820" spans="1:4" x14ac:dyDescent="0.35">
      <c r="A1820" t="s">
        <v>1037</v>
      </c>
      <c r="B1820">
        <v>14</v>
      </c>
      <c r="C1820" t="str">
        <f t="shared" si="56"/>
        <v>EMSG:Try again later. Locale Score failedSTRACE:com.farmers.integ.tnedicca.vo.TnediccaDataCommitHelper.commitDataAndRaiseExceptionIfAny(TnediccaDataCommitHelper.gs:XXXSTRACERAW:-</v>
      </c>
      <c r="D1820" s="3">
        <f t="shared" si="57"/>
        <v>1.8199999999999998</v>
      </c>
    </row>
    <row r="1821" spans="1:4" x14ac:dyDescent="0.35">
      <c r="A1821" t="s">
        <v>2068</v>
      </c>
      <c r="B1821">
        <v>13</v>
      </c>
      <c r="C1821" t="str">
        <f t="shared" si="56"/>
        <v>EMSG:-STRACE:-STRACERAW:Jan XXX XXX:XXX:XXX PST XXX, MSG=Error(s</v>
      </c>
      <c r="D1821" s="3">
        <f t="shared" si="57"/>
        <v>1.6900000000000002</v>
      </c>
    </row>
    <row r="1822" spans="1:4" x14ac:dyDescent="0.35">
      <c r="A1822" t="s">
        <v>2069</v>
      </c>
      <c r="B1822">
        <v>12</v>
      </c>
      <c r="C1822" t="str">
        <f t="shared" si="56"/>
        <v>EMSG:For eligible contact John Swanson credit score is null. Please make sure credit is orderedSTRACE:com.farmers.config.common.credit.CreditScoreHelper.populateRatingCreditDTO(CreditScoreHelper.gs:XXXSTRACERAW:-</v>
      </c>
      <c r="D1822" s="3">
        <f t="shared" si="57"/>
        <v>1.56</v>
      </c>
    </row>
    <row r="1823" spans="1:4" x14ac:dyDescent="0.35">
      <c r="A1823" t="s">
        <v>2070</v>
      </c>
      <c r="B1823">
        <v>12</v>
      </c>
      <c r="C1823" t="str">
        <f t="shared" si="56"/>
        <v xml:space="preserve">EMSG:Update Signal Phone number for Alison Shuttleworth. Each driver enrolled in the Signal program needs a unique cell phone number.;Update Signal Phone number for JOSHUA Shuttleworth. Each driver enrolled in the Signal program needs a unique cell phone </v>
      </c>
      <c r="D1823" s="3">
        <f t="shared" si="57"/>
        <v>1.56</v>
      </c>
    </row>
    <row r="1824" spans="1:4" x14ac:dyDescent="0.35">
      <c r="A1824" t="s">
        <v>2071</v>
      </c>
      <c r="B1824">
        <v>12</v>
      </c>
      <c r="C1824" t="str">
        <f t="shared" si="56"/>
        <v>EMSG:java.lang.ClassCastException: class java.lang.IllegalStateException cannot be cast to class gw.acc.luw.perf.ChildJobException (java.lang.IllegalStateException is in module java.base of loader 'bootstrap'; gw.acc.luw.perf.ChildJobException is in unnam</v>
      </c>
      <c r="D1824" s="3">
        <f t="shared" si="57"/>
        <v>1.56</v>
      </c>
    </row>
    <row r="1825" spans="1:4" ht="29" x14ac:dyDescent="0.35">
      <c r="A1825" s="4" t="s">
        <v>612</v>
      </c>
      <c r="B1825">
        <v>12</v>
      </c>
      <c r="C1825" t="str">
        <f t="shared" si="56"/>
        <v>EMSG:java.lang.IllegalStateException: Cannot modify a bean of type PUPVehicleOper_PUE that is in a readonly bundleSTRACE:is in a readonly bundle
	at com.farmers.integ.documentmgmt.vipdocument.multilobformgen.transformer.VIPFormGenRequestTransformer.transf</v>
      </c>
      <c r="D1825" s="3">
        <f t="shared" si="57"/>
        <v>1.56</v>
      </c>
    </row>
    <row r="1826" spans="1:4" ht="58" x14ac:dyDescent="0.35">
      <c r="A1826" s="4" t="s">
        <v>2072</v>
      </c>
      <c r="B1826">
        <v>11</v>
      </c>
      <c r="C1826" t="str">
        <f t="shared" si="56"/>
        <v>EMSG:Dwelling at XXXSTRACE:XXX S XXXth St, Girard, KS: Perils on Personal Property is now available and its value must be verified by the user.; XXX, XXX/XXX/XXX, XXX/XXX/XXX, XXX: No message configured for MissingQuestionIssue; XXX, XXX/XXX/XXX, XXX/XXX/</v>
      </c>
      <c r="D1826" s="3">
        <f t="shared" si="57"/>
        <v>1.4300000000000002</v>
      </c>
    </row>
    <row r="1827" spans="1:4" x14ac:dyDescent="0.35">
      <c r="A1827" t="s">
        <v>2073</v>
      </c>
      <c r="B1827">
        <v>11</v>
      </c>
      <c r="C1827" t="str">
        <f t="shared" si="56"/>
        <v>EMSG:Invalid or unpopulated credit report returned for job 'XXX'STRACE:com.farmers.credit.common.provider.impl.LiveCreditReportProvider.retrieveCreditReport(LiveCreditReportProvider.gs:XXXSTRACERAW:-</v>
      </c>
      <c r="D1827" s="3">
        <f t="shared" si="57"/>
        <v>1.4300000000000002</v>
      </c>
    </row>
    <row r="1828" spans="1:4" x14ac:dyDescent="0.35">
      <c r="A1828" t="s">
        <v>2074</v>
      </c>
      <c r="B1828">
        <v>10</v>
      </c>
      <c r="C1828" t="str">
        <f t="shared" si="56"/>
        <v>EMSG:, AOR=XXXSTRACE:com.farmers.integ.productrewrite.prefill.HHInquiryAutoHelper.createAddressFromPolicyAddress(HHInquiryAutoHelper.gs:XXXSTRACERAW:-</v>
      </c>
      <c r="D1828" s="3">
        <f t="shared" si="57"/>
        <v>1.3</v>
      </c>
    </row>
    <row r="1829" spans="1:4" x14ac:dyDescent="0.35">
      <c r="A1829" t="s">
        <v>479</v>
      </c>
      <c r="B1829">
        <v>10</v>
      </c>
      <c r="C1829" t="str">
        <f t="shared" si="56"/>
        <v>EMSG:-STRACE:-STRACERAW:java.lang.String.contains(String.java:XXX</v>
      </c>
      <c r="D1829" s="3">
        <f t="shared" si="57"/>
        <v>1.3</v>
      </c>
    </row>
    <row r="1830" spans="1:4" x14ac:dyDescent="0.35">
      <c r="A1830" t="s">
        <v>2075</v>
      </c>
      <c r="B1830">
        <v>10</v>
      </c>
      <c r="C1830" t="str">
        <f t="shared" si="56"/>
        <v>EMSG:For eligible contact Coltan Lawson credit score is null. Please make sure credit is orderedSTRACE:com.farmers.config.common.credit.CreditScoreHelper.populateRatingCreditDTO(CreditScoreHelper.gs:XXXSTRACERAW:-</v>
      </c>
      <c r="D1830" s="3">
        <f t="shared" si="57"/>
        <v>1.3</v>
      </c>
    </row>
    <row r="1831" spans="1:4" x14ac:dyDescent="0.35">
      <c r="A1831" t="s">
        <v>2076</v>
      </c>
      <c r="B1831">
        <v>10</v>
      </c>
      <c r="C1831" t="str">
        <f t="shared" si="56"/>
        <v>EMSG:HouseHold Inquiry Service failedSTRACE:com.farmers.integ.productrewrite.prefill.HHInquiryHelper.prefillPolicyFromHHInquiry(HHInquiryHelper.gs:XXXSTRACERAW:-</v>
      </c>
      <c r="D1831" s="3">
        <f t="shared" si="57"/>
        <v>1.3</v>
      </c>
    </row>
    <row r="1832" spans="1:4" x14ac:dyDescent="0.35">
      <c r="A1832" t="s">
        <v>2077</v>
      </c>
      <c r="B1832">
        <v>10</v>
      </c>
      <c r="C1832" t="str">
        <f t="shared" si="56"/>
        <v>EMSG:No route to host (Host unreachable)STRACE:java.base/java.net.PlainSocketImpl.socketConnect(Native MethodSTRACERAW:-</v>
      </c>
      <c r="D1832" s="3">
        <f t="shared" si="57"/>
        <v>1.3</v>
      </c>
    </row>
    <row r="1833" spans="1:4" x14ac:dyDescent="0.35">
      <c r="A1833" t="s">
        <v>2078</v>
      </c>
      <c r="B1833">
        <v>10</v>
      </c>
      <c r="C1833" t="str">
        <f t="shared" si="56"/>
        <v>EMSG:Policy Effective Date must be on or after XXX/XXX/XXX. Please change the Policy Effective Date to proceed further.;STRACE:edge.capabilities.quote.submission.quoting.util.SubmissionUnderwritingIssuesUtil.checkVerifyRateExceptions(SubmissionUnderwritin</v>
      </c>
      <c r="D1833" s="3">
        <f t="shared" si="57"/>
        <v>1.3</v>
      </c>
    </row>
    <row r="1834" spans="1:4" x14ac:dyDescent="0.35">
      <c r="A1834" t="s">
        <v>2079</v>
      </c>
      <c r="B1834">
        <v>9</v>
      </c>
      <c r="C1834" t="str">
        <f t="shared" si="56"/>
        <v>EMSG:, AOR=XXXSTRACE:com.farmers.integ.fwsConversion.prefill.FWSConversionAutoPoliciesProcessor.handleWaivedCoverages(FWSConversionAutoPoliciesProcessor.gs:XXXSTRACERAW:-</v>
      </c>
      <c r="D1834" s="3">
        <f t="shared" si="57"/>
        <v>1</v>
      </c>
    </row>
    <row r="1835" spans="1:4" x14ac:dyDescent="0.35">
      <c r="A1835" t="s">
        <v>2080</v>
      </c>
      <c r="B1835">
        <v>9</v>
      </c>
      <c r="C1835" t="str">
        <f t="shared" si="56"/>
        <v>EMSG:, AOR=XXXSTRACE:java.base/java.util.Calendar.setTime(Calendar.java:XXXSTRACERAW:-</v>
      </c>
      <c r="D1835" s="3">
        <f t="shared" si="57"/>
        <v>1</v>
      </c>
    </row>
    <row r="1836" spans="1:4" x14ac:dyDescent="0.35">
      <c r="A1836" t="s">
        <v>2081</v>
      </c>
      <c r="B1836">
        <v>9</v>
      </c>
      <c r="C1836" t="str">
        <f t="shared" si="56"/>
        <v>EMSG:-STRACE:-STRACERAW:java.util.Calendar.setTime(Calendar.java:XXX</v>
      </c>
      <c r="D1836" s="3">
        <f t="shared" si="57"/>
        <v>1</v>
      </c>
    </row>
    <row r="1837" spans="1:4" x14ac:dyDescent="0.35">
      <c r="A1837" t="s">
        <v>768</v>
      </c>
      <c r="B1837">
        <v>9</v>
      </c>
      <c r="C1837" t="str">
        <f t="shared" si="56"/>
        <v>EMSG:-STRACE:java.base/java.util.Date.getMillisOf(Date.java:XXXSTRACERAW:-</v>
      </c>
      <c r="D1837" s="3">
        <f t="shared" si="57"/>
        <v>1</v>
      </c>
    </row>
    <row r="1838" spans="1:4" ht="43.5" x14ac:dyDescent="0.35">
      <c r="A1838" s="4" t="s">
        <v>2082</v>
      </c>
      <c r="B1838">
        <v>9</v>
      </c>
      <c r="C1838" t="str">
        <f t="shared" si="56"/>
        <v>EMSG:Effective ranges overlap for DriverSignal_Ext with BranchID XXX and with FixedID XXXSTRACE:Mar XXX XXX:XXX:XXX PDT XXX - Mon Sep XXX XXX:XXX:XXX PDT XXX, Sat Mar XXX XXX:XXX:XXX PDT XXX - Mon Sep XXX XXX:XXX:XXX PDT XXX
	at deployment.pc.war//com.gui</v>
      </c>
      <c r="D1838" s="3">
        <f t="shared" si="57"/>
        <v>1</v>
      </c>
    </row>
    <row r="1839" spans="1:4" x14ac:dyDescent="0.35">
      <c r="A1839" t="s">
        <v>2083</v>
      </c>
      <c r="B1839">
        <v>9</v>
      </c>
      <c r="C1839" t="str">
        <f t="shared" si="56"/>
        <v>EMSG:Exception during Rating ExecuteIterationsMultiThreaded : java.lang.NullPointerExceptionSTRACE:com.farmers.rating.common.flow.iteration.impl.IterationsExecutorImpl$block_XXX_.invoke(IterationsExecutorImpl.gs:XXXSTRACERAW:-</v>
      </c>
      <c r="D1839" s="3">
        <f t="shared" si="57"/>
        <v>1</v>
      </c>
    </row>
    <row r="1840" spans="1:4" ht="58" x14ac:dyDescent="0.35">
      <c r="A1840" s="4" t="s">
        <v>2084</v>
      </c>
      <c r="B1840">
        <v>9</v>
      </c>
      <c r="C1840" t="str">
        <f t="shared" si="56"/>
        <v>EMSG:Select XXX as the Primary Driver on at least one vehicle. Since the number of vehicles is greater than the number of driversSTRACE:least one vehicle. Since the number of vehicles is greater than the number of drivers, each driver must be a Primary Dr</v>
      </c>
      <c r="D1840" s="3">
        <f t="shared" si="57"/>
        <v>1</v>
      </c>
    </row>
    <row r="1841" spans="1:4" x14ac:dyDescent="0.35">
      <c r="A1841" t="s">
        <v>384</v>
      </c>
      <c r="B1841">
        <v>8</v>
      </c>
      <c r="C1841" t="str">
        <f t="shared" si="56"/>
        <v>EMSG:-STRACE:-STRACERAW:com.guidewire.pl.system.entity.proxy.EffDatedBranchProxy.createNewBranch(EffDatedBranchProxy.java:XXX</v>
      </c>
      <c r="D1841" s="3">
        <f t="shared" si="57"/>
        <v>1</v>
      </c>
    </row>
    <row r="1842" spans="1:4" x14ac:dyDescent="0.35">
      <c r="A1842" t="s">
        <v>2085</v>
      </c>
      <c r="B1842">
        <v>8</v>
      </c>
      <c r="C1842" t="str">
        <f t="shared" si="56"/>
        <v>EMSG:-STRACE:gw.pcf.job.PolicyInfoHelper.addSpouseToHomePolicy_Ext(PolicyInfoHelper.gs:XXXSTRACERAW:-</v>
      </c>
      <c r="D1842" s="3">
        <f t="shared" si="57"/>
        <v>1</v>
      </c>
    </row>
    <row r="1843" spans="1:4" x14ac:dyDescent="0.35">
      <c r="A1843" t="s">
        <v>1011</v>
      </c>
      <c r="B1843">
        <v>8</v>
      </c>
      <c r="C1843" t="str">
        <f t="shared" si="56"/>
        <v>EMSG:Cannot start a Reinstatement with on policy XXX: There is a pending reinstatement transactionSTRACE:deployment.pc.war//com.guidewire.pc.domain.job.impl.JobImpl.checkCanStartJob(JobImpl.java:XXXSTRACERAW:-</v>
      </c>
      <c r="D1843" s="3">
        <f t="shared" si="57"/>
        <v>1</v>
      </c>
    </row>
    <row r="1844" spans="1:4" x14ac:dyDescent="0.35">
      <c r="A1844" t="s">
        <v>2086</v>
      </c>
      <c r="B1844">
        <v>7</v>
      </c>
      <c r="C1844" t="str">
        <f t="shared" si="56"/>
        <v>EMSG:, AOR=XXXSTRACE:com.farmers.config.pa.adpf.ADPFDriverdupingProcess.prefillDrivers(ADPFDriverdupingProcess.gs:XXXSTRACERAW:-</v>
      </c>
      <c r="D1844" s="3">
        <f t="shared" si="57"/>
        <v>1</v>
      </c>
    </row>
    <row r="1845" spans="1:4" x14ac:dyDescent="0.35">
      <c r="A1845" t="s">
        <v>1222</v>
      </c>
      <c r="B1845">
        <v>7</v>
      </c>
      <c r="C1845" t="str">
        <f t="shared" si="56"/>
        <v>EMSG:-STRACE:-STRACERAW:java.util.Objects.requireNonNull(Objects.java:XXX</v>
      </c>
      <c r="D1845" s="3">
        <f t="shared" si="57"/>
        <v>1</v>
      </c>
    </row>
    <row r="1846" spans="1:4" x14ac:dyDescent="0.35">
      <c r="A1846" t="s">
        <v>2087</v>
      </c>
      <c r="B1846">
        <v>7</v>
      </c>
      <c r="C1846" t="str">
        <f t="shared" si="56"/>
        <v>EMSG:Exception during Rating ExecuteIterationsMultiThreaded : gw.api.rating.RatingException: There is no bi code in the table 'pa_pi_no_prior_codes' for carrier group INNOCENTNOPRIORSURPLTSTRACE:com.farmers.rating.common.flow.iteration.impl.IterationsExec</v>
      </c>
      <c r="D1846" s="3">
        <f t="shared" si="57"/>
        <v>1</v>
      </c>
    </row>
    <row r="1847" spans="1:4" x14ac:dyDescent="0.35">
      <c r="A1847" t="s">
        <v>2088</v>
      </c>
      <c r="B1847">
        <v>7</v>
      </c>
      <c r="C1847" t="str">
        <f t="shared" si="56"/>
        <v>EMSG:The value "ELAINE PEASE TRUSTEE OF THE ELAINE PEAS TRUST DATED DECEMBER XXXSTRACE:deployment.pc.war//gw.datatype.impl.StringConstraintsHandlerBase.validateStringLength(StringConstraintsHandlerBase.java:XXXSTRACERAW:-</v>
      </c>
      <c r="D1847" s="3">
        <f t="shared" si="57"/>
        <v>1</v>
      </c>
    </row>
    <row r="1848" spans="1:4" x14ac:dyDescent="0.35">
      <c r="A1848" t="s">
        <v>2089</v>
      </c>
      <c r="B1848">
        <v>7</v>
      </c>
      <c r="C1848" t="str">
        <f t="shared" si="56"/>
        <v>EMSG:for policy: XXX canStartPolicyChange() has returned error: User does not have permission to change this periodSTRACE:gw.acc.luw.perf.JobCreationHelper.useParentEffectiveDateOrNot(JobCreationHelper.gs:XXXSTRACERAW:-</v>
      </c>
      <c r="D1848" s="3">
        <f t="shared" si="57"/>
        <v>1</v>
      </c>
    </row>
    <row r="1849" spans="1:4" x14ac:dyDescent="0.35">
      <c r="A1849" t="s">
        <v>831</v>
      </c>
      <c r="B1849">
        <v>6</v>
      </c>
      <c r="C1849" t="str">
        <f t="shared" si="56"/>
        <v>EMSG:, AOR=XXXSTRACE:gw.contact.AbstractPolicyContactRoleAccountSyncableImpl.refreshAccountInformation(AbstractPolicyContactRoleAccountSyncableImpl.gs:XXXSTRACERAW:-</v>
      </c>
      <c r="D1849" s="3">
        <f t="shared" si="57"/>
        <v>1</v>
      </c>
    </row>
    <row r="1850" spans="1:4" x14ac:dyDescent="0.35">
      <c r="A1850" t="s">
        <v>1134</v>
      </c>
      <c r="B1850">
        <v>6</v>
      </c>
      <c r="C1850" t="str">
        <f t="shared" si="56"/>
        <v>EMSG:-STRACE:-STRACERAW:[Source: UNKNOWN; byte offset: #UNKNOWN] (through reference chain: edge.capabilities.quote.submission.dto.QuoteDataDTO["lobData"]-&gt;edge.capabilities.policyjob.lob.personalauto.dto.PaLobDataDTO["coverables"]-&gt;edge.capabilities.polic</v>
      </c>
      <c r="D1850" s="3">
        <f t="shared" si="57"/>
        <v>1</v>
      </c>
    </row>
    <row r="1851" spans="1:4" x14ac:dyDescent="0.35">
      <c r="A1851" t="s">
        <v>998</v>
      </c>
      <c r="B1851">
        <v>6</v>
      </c>
      <c r="C1851" t="str">
        <f t="shared" si="56"/>
        <v>EMSG:-STRACE:-STRACERAW:com.guidewire.pl.system.database.entitywriter.TableWriterImpl.throwDBDuplicateKeyException(TableWriterImpl.java:XXX</v>
      </c>
      <c r="D1851" s="3">
        <f t="shared" si="57"/>
        <v>1</v>
      </c>
    </row>
    <row r="1852" spans="1:4" x14ac:dyDescent="0.35">
      <c r="A1852" t="s">
        <v>2090</v>
      </c>
      <c r="B1852">
        <v>6</v>
      </c>
      <c r="C1852" t="str">
        <f t="shared" si="56"/>
        <v>EMSG:-STRACE:-STRACERAW:deployment.pc.war//gw.xml.date.AbstractXmlDateType.parseString(AbstractXmlDateType.java:XXX</v>
      </c>
      <c r="D1852" s="3">
        <f t="shared" si="57"/>
        <v>1</v>
      </c>
    </row>
    <row r="1853" spans="1:4" x14ac:dyDescent="0.35">
      <c r="A1853" t="s">
        <v>2091</v>
      </c>
      <c r="B1853">
        <v>6</v>
      </c>
      <c r="C1853" t="str">
        <f t="shared" si="56"/>
        <v>EMSG:-STRACE:-STRACERAW:java.net.PlainSocketImpl.socketConnect(Native Method</v>
      </c>
      <c r="D1853" s="3">
        <f t="shared" si="57"/>
        <v>1</v>
      </c>
    </row>
    <row r="1854" spans="1:4" x14ac:dyDescent="0.35">
      <c r="A1854" t="s">
        <v>2092</v>
      </c>
      <c r="B1854">
        <v>6</v>
      </c>
      <c r="C1854" t="str">
        <f t="shared" si="56"/>
        <v>EMSG:-STRACE:-STRACERAW:program_.__Program__XXX.setPolicyChangeDetails(Unknown Source</v>
      </c>
      <c r="D1854" s="3">
        <f t="shared" si="57"/>
        <v>1</v>
      </c>
    </row>
    <row r="1855" spans="1:4" x14ac:dyDescent="0.35">
      <c r="A1855" t="s">
        <v>2093</v>
      </c>
      <c r="B1855">
        <v>6</v>
      </c>
      <c r="C1855" t="str">
        <f t="shared" si="56"/>
        <v>EMSG:-STRACE:com.farmers.config.pa.helper.RiskAnalysisUIHelper$block_XXX_.invoke(RiskAnalysisUIHelper.gs:XXXSTRACERAW:-</v>
      </c>
      <c r="D1855" s="3">
        <f t="shared" si="57"/>
        <v>1</v>
      </c>
    </row>
    <row r="1856" spans="1:4" x14ac:dyDescent="0.35">
      <c r="A1856" t="s">
        <v>2094</v>
      </c>
      <c r="B1856">
        <v>6</v>
      </c>
      <c r="C1856" t="str">
        <f t="shared" si="56"/>
        <v>EMSG:-STRACE:edge.capabilities.policyjob.lob.homeowners.coverables.DefaultHoCoverablePlugin$block_XXX_.invoke(DefaultHoCoverablePlugin.gs:XXXSTRACERAW:-</v>
      </c>
      <c r="D1856" s="3">
        <f t="shared" si="57"/>
        <v>1</v>
      </c>
    </row>
    <row r="1857" spans="1:4" ht="29" x14ac:dyDescent="0.35">
      <c r="A1857" s="4" t="s">
        <v>2095</v>
      </c>
      <c r="B1857">
        <v>6</v>
      </c>
      <c r="C1857" t="str">
        <f t="shared" si="56"/>
        <v>EMSG:A report shows that the XXXSTRACE:the  XXX BMW XXX I/IS/CI XXXD has been flagged as having Vehicle History activity.;
	at edge.capabilities.quote.submission.quoting.util.SubmissionUnderwritingIssuesUtil.checkVerifyRateExceptions(SubmissionUnderwritin</v>
      </c>
      <c r="D1857" s="3">
        <f t="shared" si="57"/>
        <v>1</v>
      </c>
    </row>
    <row r="1858" spans="1:4" ht="29" x14ac:dyDescent="0.35">
      <c r="A1858" s="4" t="s">
        <v>2096</v>
      </c>
      <c r="B1858">
        <v>6</v>
      </c>
      <c r="C1858" t="str">
        <f t="shared" ref="C1858:C1921" si="58">LEFT(A1858,255)</f>
        <v>EMSG:A report shows that the XXXSTRACE:the  XXX BMW XXXX XXXD XXXWD SDRIVE XXXI has been flagged as having Vehicle History activity.
	at edge.capabilities.quote.submission.quoting.util.SubmissionUnderwritingIssuesUtil.checkSideBySideProcessExceptions(Subm</v>
      </c>
      <c r="D1858" s="3">
        <f t="shared" ref="D1858:D1921" si="59">IF(AND((B1858/10)&lt;1,(B1858/10)&gt;0),1,(B1858/10)*130%)</f>
        <v>1</v>
      </c>
    </row>
    <row r="1859" spans="1:4" ht="29" x14ac:dyDescent="0.35">
      <c r="A1859" s="4" t="s">
        <v>2097</v>
      </c>
      <c r="B1859">
        <v>6</v>
      </c>
      <c r="C1859" t="str">
        <f t="shared" si="58"/>
        <v>EMSG:A report shows that the XXXSTRACE:the  XXX HONDA CIVIC XXXD COUPE LX has been flagged as having Vehicle History activity.;
	at edge.capabilities.quote.submission.quoting.util.SubmissionUnderwritingIssuesUtil.checkVerifyRateExceptions(SubmissionUnderw</v>
      </c>
      <c r="D1859" s="3">
        <f t="shared" si="59"/>
        <v>1</v>
      </c>
    </row>
    <row r="1860" spans="1:4" ht="29" x14ac:dyDescent="0.35">
      <c r="A1860" s="4" t="s">
        <v>2098</v>
      </c>
      <c r="B1860">
        <v>6</v>
      </c>
      <c r="C1860" t="str">
        <f t="shared" si="58"/>
        <v>EMSG:A report shows that the XXXSTRACE:the  XXX MITSUBISHI LANCER XXXD XXXWD ES has been flagged as having Vehicle History activity.
	at edge.capabilities.quote.submission.quoting.util.SubmissionUnderwritingIssuesUtil.checkSideBySideProcessExceptions(Subm</v>
      </c>
      <c r="D1860" s="3">
        <f t="shared" si="59"/>
        <v>1</v>
      </c>
    </row>
    <row r="1861" spans="1:4" ht="29" x14ac:dyDescent="0.35">
      <c r="A1861" s="4" t="s">
        <v>2099</v>
      </c>
      <c r="B1861">
        <v>6</v>
      </c>
      <c r="C1861" t="str">
        <f t="shared" si="58"/>
        <v>EMSG:Access the quote again later and revalidate the policy. Driver VALERIE SHODINSTRACE:may take XXX days to retrieve.
	at com.farmers.config.pa.mvr.validator.MVRDriverValidator.validateOnlineState(MVRDriverValidator.gs:XXXSTRACERAW:-</v>
      </c>
      <c r="D1861" s="3">
        <f t="shared" si="59"/>
        <v>1</v>
      </c>
    </row>
    <row r="1862" spans="1:4" ht="29" x14ac:dyDescent="0.35">
      <c r="A1862" s="4" t="s">
        <v>2100</v>
      </c>
      <c r="B1862">
        <v>6</v>
      </c>
      <c r="C1862" t="str">
        <f t="shared" si="58"/>
        <v>EMSG:ConcurrentDataChangeException XXXSTRACE:XXX/XXX/XXX XXX:XXX PM. Please cancel and retry your change.
	at com.farmers.edge.capabilities.documerge.DocuMergeUploadHandler.uploadViaEmail(DocuMergeUploadHandler.gs:XXXSTRACERAW:-</v>
      </c>
      <c r="D1862" s="3">
        <f t="shared" si="59"/>
        <v>1</v>
      </c>
    </row>
    <row r="1863" spans="1:4" ht="29" x14ac:dyDescent="0.35">
      <c r="A1863" s="4" t="s">
        <v>1151</v>
      </c>
      <c r="B1863">
        <v>6</v>
      </c>
      <c r="C1863" t="str">
        <f t="shared" si="58"/>
        <v>EMSG:Database bean version conflict : XXXSTRACE:Dat Nguyen at XXX/XXX/XXX XXX:XXX PM. Please cancel and retry your change.
	at deployment.pc.war//com.guidewire.pl.system.database.DatabaseChangedBeanWriter.createConcurrentDataChangeException(DatabaseChange</v>
      </c>
      <c r="D1863" s="3">
        <f t="shared" si="59"/>
        <v>1</v>
      </c>
    </row>
    <row r="1864" spans="1:4" ht="29" x14ac:dyDescent="0.35">
      <c r="A1864" s="4" t="s">
        <v>2101</v>
      </c>
      <c r="B1864">
        <v>6</v>
      </c>
      <c r="C1864" t="str">
        <f t="shared" si="58"/>
        <v>EMSG:Dwelling at XXXSTRACE:XXX Amber Dr, Galax, VA: Standard Limit on Special Limits on Personal Property is no longer available and has been removed. Please enter a new value.
	at gw.api.extension.PCExtensionInterfacesMapper$block_XXX_.invoke(PCExtension</v>
      </c>
      <c r="D1864" s="3">
        <f t="shared" si="59"/>
        <v>1</v>
      </c>
    </row>
    <row r="1865" spans="1:4" ht="29" x14ac:dyDescent="0.35">
      <c r="A1865" s="4" t="s">
        <v>2102</v>
      </c>
      <c r="B1865">
        <v>6</v>
      </c>
      <c r="C1865" t="str">
        <f t="shared" si="58"/>
        <v>EMSG:Dwelling at XXXSTRACE:XXX Hillcrest Rd, Berkeley, CA: XXX% Limit on Loss of Use is no longer available and has been removed. Please enter a new value.
	at gw.api.extension.PCExtensionInterfacesMapper$block_XXX_.invoke(PCExtensionInterfacesMapper.gs:X</v>
      </c>
      <c r="D1865" s="3">
        <f t="shared" si="59"/>
        <v>1</v>
      </c>
    </row>
    <row r="1866" spans="1:4" ht="29" x14ac:dyDescent="0.35">
      <c r="A1866" s="4" t="s">
        <v>2103</v>
      </c>
      <c r="B1866">
        <v>6</v>
      </c>
      <c r="C1866" t="str">
        <f t="shared" si="58"/>
        <v>EMSG:Dwelling at XXXSTRACE:XXX Johnson Rd, Lynchburg, VA: Standard Limit on Special Limits on Personal Property is no longer available and has been removed. Please enter a new value.
	at gw.api.extension.PCExtensionInterfacesMapper$block_XXX_.invoke(PCExt</v>
      </c>
      <c r="D1866" s="3">
        <f t="shared" si="59"/>
        <v>1</v>
      </c>
    </row>
    <row r="1867" spans="1:4" ht="29" x14ac:dyDescent="0.35">
      <c r="A1867" s="4" t="s">
        <v>2104</v>
      </c>
      <c r="B1867">
        <v>6</v>
      </c>
      <c r="C1867" t="str">
        <f t="shared" si="58"/>
        <v>EMSG:Dwelling at XXXSTRACE:XXX Royal Oak Dr, El Dorado, AR: XXX% Limit on Extended Replacement Cost is no longer available and has been removed. Please enter a new value.
	at gw.api.extension.PCExtensionInterfacesMapper$block_XXX_.invoke(PCExtensionInterf</v>
      </c>
      <c r="D1867" s="3">
        <f t="shared" si="59"/>
        <v>1</v>
      </c>
    </row>
    <row r="1868" spans="1:4" ht="29" x14ac:dyDescent="0.35">
      <c r="A1868" s="4" t="s">
        <v>2105</v>
      </c>
      <c r="B1868">
        <v>6</v>
      </c>
      <c r="C1868" t="str">
        <f t="shared" si="58"/>
        <v>EMSG:Dwelling at XXXSTRACE:XXX XXXth St N, Birmingham, AL: Perils on Personal Property is now available and its value must be verified by the user.
	at gw.api.extension.PCExtensionInterfacesMapper$block_XXX_.invoke(PCExtensionInterfacesMapper.gs:XXXSTRACE</v>
      </c>
      <c r="D1868" s="3">
        <f t="shared" si="59"/>
        <v>1</v>
      </c>
    </row>
    <row r="1869" spans="1:4" x14ac:dyDescent="0.35">
      <c r="A1869" t="s">
        <v>379</v>
      </c>
      <c r="B1869">
        <v>6</v>
      </c>
      <c r="C1869" t="str">
        <f t="shared" si="58"/>
        <v>EMSG:Exception during Rating ExecuteIterationsMultiThreaded : java.util.concurrent.ExecutionException: gw.api.rating.RatingException: There is no credit tier for credit peril 'firenonwildfire' and model 'HOF'STRACE:com.farmers.rating.common.flow.iteration</v>
      </c>
      <c r="D1869" s="3">
        <f t="shared" si="59"/>
        <v>1</v>
      </c>
    </row>
    <row r="1870" spans="1:4" x14ac:dyDescent="0.35">
      <c r="A1870" t="s">
        <v>2106</v>
      </c>
      <c r="B1870">
        <v>6</v>
      </c>
      <c r="C1870" t="str">
        <f t="shared" si="58"/>
        <v>EMSG:For eligible contact Anthony Maddox credit score is null. Please make sure credit is orderedSTRACE:com.farmers.config.common.credit.CreditScoreHelper.populateRatingCreditDTO(CreditScoreHelper.gs:XXXSTRACERAW:-</v>
      </c>
      <c r="D1870" s="3">
        <f t="shared" si="59"/>
        <v>1</v>
      </c>
    </row>
    <row r="1871" spans="1:4" x14ac:dyDescent="0.35">
      <c r="A1871" t="s">
        <v>2107</v>
      </c>
      <c r="B1871">
        <v>6</v>
      </c>
      <c r="C1871" t="str">
        <f t="shared" si="58"/>
        <v>EMSG:For eligible contact Brooklynn Allen credit score is null. Please make sure credit is orderedSTRACE:com.farmers.config.common.credit.CreditScoreHelper.populateRatingCreditDTO(CreditScoreHelper.gs:XXXSTRACERAW:-</v>
      </c>
      <c r="D1871" s="3">
        <f t="shared" si="59"/>
        <v>1</v>
      </c>
    </row>
    <row r="1872" spans="1:4" x14ac:dyDescent="0.35">
      <c r="A1872" t="s">
        <v>2108</v>
      </c>
      <c r="B1872">
        <v>6</v>
      </c>
      <c r="C1872" t="str">
        <f t="shared" si="58"/>
        <v>EMSG:For eligible contact Delcina Woodson credit score is null. Please make sure credit is orderedSTRACE:com.farmers.config.common.credit.CreditScoreHelper.populateRatingCreditDTO(CreditScoreHelper.gs:XXXSTRACERAW:-</v>
      </c>
      <c r="D1872" s="3">
        <f t="shared" si="59"/>
        <v>1</v>
      </c>
    </row>
    <row r="1873" spans="1:4" x14ac:dyDescent="0.35">
      <c r="A1873" t="s">
        <v>2109</v>
      </c>
      <c r="B1873">
        <v>6</v>
      </c>
      <c r="C1873" t="str">
        <f t="shared" si="58"/>
        <v>EMSG:For eligible contact Evan Ffqtest credit score is null. Please make sure credit is orderedSTRACE:com.farmers.config.common.credit.CreditScoreHelper.populateRatingCreditDTO(CreditScoreHelper.gs:XXXSTRACERAW:-</v>
      </c>
      <c r="D1873" s="3">
        <f t="shared" si="59"/>
        <v>1</v>
      </c>
    </row>
    <row r="1874" spans="1:4" x14ac:dyDescent="0.35">
      <c r="A1874" t="s">
        <v>2110</v>
      </c>
      <c r="B1874">
        <v>6</v>
      </c>
      <c r="C1874" t="str">
        <f t="shared" si="58"/>
        <v>EMSG:For eligible contact Jacob Weiss credit score is null. Please make sure credit is orderedSTRACE:com.farmers.config.common.credit.CreditScoreHelper.populateRatingCreditDTO(CreditScoreHelper.gs:XXXSTRACERAW:-</v>
      </c>
      <c r="D1874" s="3">
        <f t="shared" si="59"/>
        <v>1</v>
      </c>
    </row>
    <row r="1875" spans="1:4" x14ac:dyDescent="0.35">
      <c r="A1875" t="s">
        <v>2111</v>
      </c>
      <c r="B1875">
        <v>6</v>
      </c>
      <c r="C1875" t="str">
        <f t="shared" si="58"/>
        <v>EMSG:For eligible contact Kevin Vance credit score is null. Please make sure credit is orderedSTRACE:com.farmers.config.common.credit.CreditScoreHelper.populateRatingCreditDTO(CreditScoreHelper.gs:XXXSTRACERAW:-</v>
      </c>
      <c r="D1875" s="3">
        <f t="shared" si="59"/>
        <v>1</v>
      </c>
    </row>
    <row r="1876" spans="1:4" x14ac:dyDescent="0.35">
      <c r="A1876" t="s">
        <v>2112</v>
      </c>
      <c r="B1876">
        <v>6</v>
      </c>
      <c r="C1876" t="str">
        <f t="shared" si="58"/>
        <v>EMSG:For eligible contact Khondaker Ahmed credit score is null. Please make sure credit is orderedSTRACE:com.farmers.config.common.credit.CreditScoreHelper.populateRatingCreditDTO(CreditScoreHelper.gs:XXXSTRACERAW:-</v>
      </c>
      <c r="D1876" s="3">
        <f t="shared" si="59"/>
        <v>1</v>
      </c>
    </row>
    <row r="1877" spans="1:4" ht="43.5" x14ac:dyDescent="0.35">
      <c r="A1877" s="4" t="s">
        <v>2113</v>
      </c>
      <c r="B1877">
        <v>6</v>
      </c>
      <c r="C1877" t="str">
        <f t="shared" si="58"/>
        <v>EMSG:Found more than one target of the property XXXSTRACE:XXX Chester Ave, Saint Louis, MO': ['HOConstructionDetails_Ext:pc:XXX - Dwelling Construction Details', 'HOConstructionDetails_Ext:pc:XXX - Dwelling Construction Details']. This could be due to a c</v>
      </c>
      <c r="D1877" s="3">
        <f t="shared" si="59"/>
        <v>1</v>
      </c>
    </row>
    <row r="1878" spans="1:4" x14ac:dyDescent="0.35">
      <c r="A1878" t="s">
        <v>954</v>
      </c>
      <c r="B1878">
        <v>6</v>
      </c>
      <c r="C1878" t="str">
        <f t="shared" si="58"/>
        <v>EMSG:Legacy BI Limit is not valid or unavailableSTRACE:com.farmers.rating.pa.scenario.transitionpremium.PATransitionDTOMapper.modifyVehicleLevelVariables(PATransitionDTOMapper.gs:XXXSTRACERAW:-</v>
      </c>
      <c r="D1878" s="3">
        <f t="shared" si="59"/>
        <v>1</v>
      </c>
    </row>
    <row r="1879" spans="1:4" x14ac:dyDescent="0.35">
      <c r="A1879" t="s">
        <v>2114</v>
      </c>
      <c r="B1879">
        <v>6</v>
      </c>
      <c r="C1879" t="str">
        <f t="shared" si="58"/>
        <v>EMSG:Re-enter "License #". Duplicate License Number entered for the following Drivers Michael ThompsonSTRACE:edge.capabilities.quote.submission.quoting.util.SubmissionUnderwritingIssuesUtil.checkVerifyRateExceptions(SubmissionUnderwritingIssuesUtil.gs:XXX</v>
      </c>
      <c r="D1879" s="3">
        <f t="shared" si="59"/>
        <v>1</v>
      </c>
    </row>
    <row r="1880" spans="1:4" x14ac:dyDescent="0.35">
      <c r="A1880" t="s">
        <v>2115</v>
      </c>
      <c r="B1880">
        <v>6</v>
      </c>
      <c r="C1880" t="str">
        <f t="shared" si="58"/>
        <v>EMSG:Re-enter "License #". Duplicate License Number entered for the following Drivers William KubischtaSTRACE:edge.capabilities.quote.submission.quoting.util.SubmissionUnderwritingIssuesUtil.checkVerifyRateExceptions(SubmissionUnderwritingIssuesUtil.gs:XX</v>
      </c>
      <c r="D1880" s="3">
        <f t="shared" si="59"/>
        <v>1</v>
      </c>
    </row>
    <row r="1881" spans="1:4" ht="58" x14ac:dyDescent="0.35">
      <c r="A1881" s="4" t="s">
        <v>2116</v>
      </c>
      <c r="B1881">
        <v>6</v>
      </c>
      <c r="C1881" t="str">
        <f t="shared" si="58"/>
        <v>EMSG:Select XXX as the Primary Driver on at least one vehicle. Since the number of vehicles is greater than the number of driversSTRACE:least one vehicle. Since the number of vehicles is greater than the number of drivers, each driver must be a Primary Dr</v>
      </c>
      <c r="D1881" s="3">
        <f t="shared" si="59"/>
        <v>1</v>
      </c>
    </row>
    <row r="1882" spans="1:4" ht="58" x14ac:dyDescent="0.35">
      <c r="A1882" s="4" t="s">
        <v>2117</v>
      </c>
      <c r="B1882">
        <v>6</v>
      </c>
      <c r="C1882" t="str">
        <f t="shared" si="58"/>
        <v>EMSG:Select XXX as the Primary Driver on at least one vehicle. Since the number of vehicles is greater than the number of driversSTRACE:least one vehicle. Since the number of vehicles is greater than the number of drivers, each driver must be a Primary Dr</v>
      </c>
      <c r="D1882" s="3">
        <f t="shared" si="59"/>
        <v>1</v>
      </c>
    </row>
    <row r="1883" spans="1:4" x14ac:dyDescent="0.35">
      <c r="A1883" t="s">
        <v>568</v>
      </c>
      <c r="B1883">
        <v>6</v>
      </c>
      <c r="C1883" t="str">
        <f t="shared" si="58"/>
        <v>EMSG:String index out of range: XXXSTRACE:java.base/java.lang.String.substring(String.java:XXXSTRACERAW:-</v>
      </c>
      <c r="D1883" s="3">
        <f t="shared" si="59"/>
        <v>1</v>
      </c>
    </row>
    <row r="1884" spans="1:4" x14ac:dyDescent="0.35">
      <c r="A1884" t="s">
        <v>2118</v>
      </c>
      <c r="B1884">
        <v>6</v>
      </c>
      <c r="C1884" t="str">
        <f t="shared" si="58"/>
        <v>EMSG:The value "CAROL ANN COLLINS TRUSTEESTRACE:deployment.pc.war//gw.datatype.impl.StringConstraintsHandlerBase.validateStringLength(StringConstraintsHandlerBase.java:XXXSTRACERAW:-</v>
      </c>
      <c r="D1884" s="3">
        <f t="shared" si="59"/>
        <v>1</v>
      </c>
    </row>
    <row r="1885" spans="1:4" x14ac:dyDescent="0.35">
      <c r="A1885" t="s">
        <v>2119</v>
      </c>
      <c r="B1885">
        <v>6</v>
      </c>
      <c r="C1885" t="str">
        <f t="shared" si="58"/>
        <v>EMSG:The value "THE TAKVORIAN AND JENABIAN FAMILY TRUST DATED OCTOBER XXXSTRACE:deployment.pc.war//gw.datatype.impl.StringConstraintsHandlerBase.validateStringLength(StringConstraintsHandlerBase.java:XXXSTRACERAW:-</v>
      </c>
      <c r="D1885" s="3">
        <f t="shared" si="59"/>
        <v>1</v>
      </c>
    </row>
    <row r="1886" spans="1:4" x14ac:dyDescent="0.35">
      <c r="A1886" t="s">
        <v>2120</v>
      </c>
      <c r="B1886">
        <v>6</v>
      </c>
      <c r="C1886" t="str">
        <f t="shared" si="58"/>
        <v>EMSG:The value "XXX acres vacant land e SWXXX/XXX of SWXXX/XXX of Section XXXSTRACE:deployment.pc.war//gw.datatype.impl.StringConstraintsHandlerBase.validateStringLength(StringConstraintsHandlerBase.java:XXXSTRACERAW:-</v>
      </c>
      <c r="D1886" s="3">
        <f t="shared" si="59"/>
        <v>1</v>
      </c>
    </row>
    <row r="1887" spans="1:4" x14ac:dyDescent="0.35">
      <c r="A1887" t="s">
        <v>569</v>
      </c>
      <c r="B1887">
        <v>6</v>
      </c>
      <c r="C1887" t="str">
        <f t="shared" si="58"/>
        <v>EMSG:The value XXX is not formatted correctly for the field "LastNameSC": Exceeds the maximum length of XXX characters (XXX)STRACE:deployment.pc.war//gw.datatype.impl.StringConstraintsHandlerBase.validateStringLength(StringConstraintsHandlerBase.java:XXXS</v>
      </c>
      <c r="D1887" s="3">
        <f t="shared" si="59"/>
        <v>1</v>
      </c>
    </row>
    <row r="1888" spans="1:4" ht="29" x14ac:dyDescent="0.35">
      <c r="A1888" s="4" t="s">
        <v>1066</v>
      </c>
      <c r="B1888">
        <v>6</v>
      </c>
      <c r="C1888" t="str">
        <f t="shared" si="58"/>
        <v>EMSG:Try again tomorrow. Cancellation is pendingSTRACE:this time.
	at com.farmers.billing.dao.BillingInformationProcessor.validateNOCorServiceFailure(BillingInformationProcessor.gs:XXXSTRACERAW:-</v>
      </c>
      <c r="D1888" s="3">
        <f t="shared" si="59"/>
        <v>1</v>
      </c>
    </row>
    <row r="1889" spans="1:4" x14ac:dyDescent="0.35">
      <c r="A1889" t="s">
        <v>2121</v>
      </c>
      <c r="B1889">
        <v>6</v>
      </c>
      <c r="C1889" t="str">
        <f t="shared" si="58"/>
        <v>EMSG:Update the missing required field. Garaged ZIP Town for vehicle XXX TOYOTA AVALON XXXD VXXX/VXXX LIMITED needs to be selected when Garaging location ZIP code is associated with multiple town names.;STRACE:edge.capabilities.quote.submission.quoting.ut</v>
      </c>
      <c r="D1889" s="3">
        <f t="shared" si="59"/>
        <v>1</v>
      </c>
    </row>
    <row r="1890" spans="1:4" x14ac:dyDescent="0.35">
      <c r="A1890" t="s">
        <v>2122</v>
      </c>
      <c r="B1890">
        <v>6</v>
      </c>
      <c r="C1890" t="str">
        <f t="shared" si="58"/>
        <v>EMSG:for policy: XXX canStartPolicyChange() has returned error: The policy is not issuedSTRACE:gw.acc.luw.perf.JobCreationHelper.useParentEffectiveDateOrNot(JobCreationHelper.gs:XXXSTRACERAW:-</v>
      </c>
      <c r="D1890" s="3">
        <f t="shared" si="59"/>
        <v>1</v>
      </c>
    </row>
    <row r="1891" spans="1:4" x14ac:dyDescent="0.35">
      <c r="A1891" t="s">
        <v>1146</v>
      </c>
      <c r="B1891">
        <v>5</v>
      </c>
      <c r="C1891" t="str">
        <f t="shared" si="58"/>
        <v>EMSG:, AOR=XXXSTRACE:com.farmers.integ.fwsConversion.prefill.FWSConversionAutoPoliciesProcessor.updateContactData(FWSConversionAutoPoliciesProcessor.gs:XXXSTRACERAW:-</v>
      </c>
      <c r="D1891" s="3">
        <f t="shared" si="59"/>
        <v>1</v>
      </c>
    </row>
    <row r="1892" spans="1:4" x14ac:dyDescent="0.35">
      <c r="A1892" t="s">
        <v>1205</v>
      </c>
      <c r="B1892">
        <v>5</v>
      </c>
      <c r="C1892" t="str">
        <f t="shared" si="58"/>
        <v>EMSG:-STRACE:-STRACERAW:com.guidewire.pl.web.navigation.wizard.Wizard.hasPrev(Wizard.java:XXX</v>
      </c>
      <c r="D1892" s="3">
        <f t="shared" si="59"/>
        <v>1</v>
      </c>
    </row>
    <row r="1893" spans="1:4" ht="43.5" x14ac:dyDescent="0.35">
      <c r="A1893" s="4" t="s">
        <v>2123</v>
      </c>
      <c r="B1893">
        <v>5</v>
      </c>
      <c r="C1893" t="str">
        <f t="shared" si="58"/>
        <v>EMSG:Change Location Type. An Umbrella policy can contain at most XXX of each: Incidental FarmSTRACE:most XXX of each: Incidental Farm, Farmland Leased to Others, and Vacant Land exposure.
	at gw.lob.pup.PUPLocationValidation_PUE.validateLocationMatch_Ext</v>
      </c>
      <c r="D1893" s="3">
        <f t="shared" si="59"/>
        <v>1</v>
      </c>
    </row>
    <row r="1894" spans="1:4" x14ac:dyDescent="0.35">
      <c r="A1894" t="s">
        <v>335</v>
      </c>
      <c r="B1894">
        <v>5</v>
      </c>
      <c r="C1894" t="str">
        <f t="shared" si="58"/>
        <v>EMSG:Correct the address. Address line for MortgageesSTRACE:edge.capabilities.quote.submission.quoting.util.SubmissionUnderwritingIssuesUtil.checkVerifyRateExceptions(SubmissionUnderwritingIssuesUtil.gs:XXXSTRACERAW:-</v>
      </c>
      <c r="D1894" s="3">
        <f t="shared" si="59"/>
        <v>1</v>
      </c>
    </row>
    <row r="1895" spans="1:4" x14ac:dyDescent="0.35">
      <c r="A1895" t="s">
        <v>2124</v>
      </c>
      <c r="B1895">
        <v>5</v>
      </c>
      <c r="C1895" t="str">
        <f t="shared" si="58"/>
        <v>EMSG:DANIELA PASKARSTRACE:com.farmers.config.pa.validator.BrightlineValidator.validateQuoteBrightlineRules(BrightlineValidator.gs:XXXSTRACERAW:-</v>
      </c>
      <c r="D1895" s="3">
        <f t="shared" si="59"/>
        <v>1</v>
      </c>
    </row>
    <row r="1896" spans="1:4" x14ac:dyDescent="0.35">
      <c r="A1896" t="s">
        <v>2125</v>
      </c>
      <c r="B1896">
        <v>5</v>
      </c>
      <c r="C1896" t="str">
        <f t="shared" si="58"/>
        <v>EMSG:DANIELA PASKARSTRACE:gw.job.QuoteProcess.requestQuote(QuoteProcess.gs:XXXSTRACERAW:-</v>
      </c>
      <c r="D1896" s="3">
        <f t="shared" si="59"/>
        <v>1</v>
      </c>
    </row>
    <row r="1897" spans="1:4" ht="29" x14ac:dyDescent="0.35">
      <c r="A1897" s="4" t="s">
        <v>621</v>
      </c>
      <c r="B1897">
        <v>5</v>
      </c>
      <c r="C1897" t="str">
        <f t="shared" si="58"/>
        <v>EMSG:Database bean version conflict : XXXSTRACE:at XXX/XXX/XXX XXX:XXX PM. Please cancel and retry your change.
	at deployment.pc.war//com.guidewire.pl.system.database.DatabaseChangedBeanWriter.createConcurrentDataChangeException(DatabaseChangedBeanWriter</v>
      </c>
      <c r="D1897" s="3">
        <f t="shared" si="59"/>
        <v>1</v>
      </c>
    </row>
    <row r="1898" spans="1:4" x14ac:dyDescent="0.35">
      <c r="A1898" t="s">
        <v>1099</v>
      </c>
      <c r="B1898">
        <v>5</v>
      </c>
      <c r="C1898" t="str">
        <f t="shared" si="58"/>
        <v>EMSG:Effective ranges overlap for ReportOrderedPerson_Ext with BranchID XXX and with FixedID XXXSTRACE:deployment.pc.war//com.guidewire.pl.system.entity.proxy.EffDatedBeanProxy.checkForOverlaps(EffDatedBeanProxy.java:XXXSTRACERAW:-</v>
      </c>
      <c r="D1898" s="3">
        <f t="shared" si="59"/>
        <v>1</v>
      </c>
    </row>
    <row r="1899" spans="1:4" x14ac:dyDescent="0.35">
      <c r="A1899" t="s">
        <v>2126</v>
      </c>
      <c r="B1899">
        <v>5</v>
      </c>
      <c r="C1899" t="str">
        <f t="shared" si="58"/>
        <v>EMSG:For eligible contact Darren Cupery credit score is null. Please make sure credit is orderedSTRACE:com.farmers.config.common.credit.CreditScoreHelper.populateRatingCreditDTO(CreditScoreHelper.gs:XXXSTRACERAW:-</v>
      </c>
      <c r="D1899" s="3">
        <f t="shared" si="59"/>
        <v>1</v>
      </c>
    </row>
    <row r="1900" spans="1:4" x14ac:dyDescent="0.35">
      <c r="A1900" t="s">
        <v>2127</v>
      </c>
      <c r="B1900">
        <v>5</v>
      </c>
      <c r="C1900" t="str">
        <f t="shared" si="58"/>
        <v>EMSG:For eligible contact Robin Secor credit score is null. Please make sure credit is orderedSTRACE:com.farmers.config.common.credit.CreditScoreHelper.populateRatingCreditDTO(CreditScoreHelper.gs:XXXSTRACERAW:-</v>
      </c>
      <c r="D1900" s="3">
        <f t="shared" si="59"/>
        <v>1</v>
      </c>
    </row>
    <row r="1901" spans="1:4" x14ac:dyDescent="0.35">
      <c r="A1901" t="s">
        <v>1062</v>
      </c>
      <c r="B1901">
        <v>5</v>
      </c>
      <c r="C1901" t="str">
        <f t="shared" si="58"/>
        <v>EMSG:One or more null constraint violations detected for EffectiveDatedFieldsSTRACE:deployment.pc.war//com.guidewire.pl.system.database.entitywriter.DatabaseEntityWriterImpl.checkForNullConstraintViolation(DatabaseEntityWriterImpl.java:XXXSTRACERAW:-</v>
      </c>
      <c r="D1901" s="3">
        <f t="shared" si="59"/>
        <v>1</v>
      </c>
    </row>
    <row r="1902" spans="1:4" x14ac:dyDescent="0.35">
      <c r="A1902" t="s">
        <v>1115</v>
      </c>
      <c r="B1902">
        <v>5</v>
      </c>
      <c r="C1902" t="str">
        <f t="shared" si="58"/>
        <v>EMSG:The value "LEO M RONCES AND ALMA A RONCESSTRACE:deployment.pc.war//gw.datatype.impl.StringConstraintsHandlerBase.validateStringLength(StringConstraintsHandlerBase.java:XXXSTRACERAW:-</v>
      </c>
      <c r="D1902" s="3">
        <f t="shared" si="59"/>
        <v>1</v>
      </c>
    </row>
    <row r="1903" spans="1:4" ht="43.5" x14ac:dyDescent="0.35">
      <c r="A1903" s="4" t="s">
        <v>2128</v>
      </c>
      <c r="B1903">
        <v>5</v>
      </c>
      <c r="C1903" t="str">
        <f t="shared" si="58"/>
        <v>EMSG:XXX has exceeded the accident and/or violation threshold for eligibility in this program.STRACE:Prieto has exceeded the accident and/or violation threshold for eligibility in this program.
	at com.farmers.config.pa.validator.BrightlineValidator.valid</v>
      </c>
      <c r="D1903" s="3">
        <f t="shared" si="59"/>
        <v>1</v>
      </c>
    </row>
    <row r="1904" spans="1:4" x14ac:dyDescent="0.35">
      <c r="A1904" t="s">
        <v>2129</v>
      </c>
      <c r="B1904">
        <v>4</v>
      </c>
      <c r="C1904" t="str">
        <f t="shared" si="58"/>
        <v>EMSG:, AOR=XXXSTRACE:program_.__Program__XXX.evaluate(Unknown SourceSTRACERAW:-</v>
      </c>
      <c r="D1904" s="3">
        <f t="shared" si="59"/>
        <v>1</v>
      </c>
    </row>
    <row r="1905" spans="1:4" x14ac:dyDescent="0.35">
      <c r="A1905" t="s">
        <v>2130</v>
      </c>
      <c r="B1905">
        <v>4</v>
      </c>
      <c r="C1905" t="str">
        <f t="shared" si="58"/>
        <v>EMSG:-STRACE:-STRACERAW:Jan XXX XXX:XXX:XXX PST XXX, MSG=Transaction Failed. Failed to parse response : Cannot deserialize value of type `java.util.ArrayList&lt;com.farmers.integ.erti.riskanalysis.riskreports.vo.restdto.Remark&gt;` from Object value (token `Jso</v>
      </c>
      <c r="D1905" s="3">
        <f t="shared" si="59"/>
        <v>1</v>
      </c>
    </row>
    <row r="1906" spans="1:4" x14ac:dyDescent="0.35">
      <c r="A1906" t="s">
        <v>876</v>
      </c>
      <c r="B1906">
        <v>4</v>
      </c>
      <c r="C1906" t="str">
        <f t="shared" si="58"/>
        <v>EMSG:-STRACE:-STRACERAW:[Source: UNKNOWN; byte offset: #UNKNOWN] (through reference chain: edge.capabilities.quote.submission.dto.QuoteDataDTO["lobData"]-&gt;edge.capabilities.policyjob.lob.homeowners.dto.HoLobDataDTO["coverables"]-&gt;edge.capabilities.policyj</v>
      </c>
      <c r="D1906" s="3">
        <f t="shared" si="59"/>
        <v>1</v>
      </c>
    </row>
    <row r="1907" spans="1:4" x14ac:dyDescent="0.35">
      <c r="A1907" t="s">
        <v>464</v>
      </c>
      <c r="B1907">
        <v>4</v>
      </c>
      <c r="C1907" t="str">
        <f t="shared" si="58"/>
        <v>EMSG:-STRACE:-STRACERAW:deployment.pc.war//com.guidewire.pl.system.entity.proxy.EffDatedBeanProxy.setEffectiveWindow(EffDatedBeanProxy.java:XXX</v>
      </c>
      <c r="D1907" s="3">
        <f t="shared" si="59"/>
        <v>1</v>
      </c>
    </row>
    <row r="1908" spans="1:4" x14ac:dyDescent="0.35">
      <c r="A1908" t="s">
        <v>1024</v>
      </c>
      <c r="B1908">
        <v>4</v>
      </c>
      <c r="C1908" t="str">
        <f t="shared" si="58"/>
        <v>EMSG:-STRACE:-STRACERAW:deployment.pc.war//gw.datatype.impl.StringConstraintsHandlerBase.validateStringLength(StringConstraintsHandlerBase.java:XXX</v>
      </c>
      <c r="D1908" s="3">
        <f t="shared" si="59"/>
        <v>1</v>
      </c>
    </row>
    <row r="1909" spans="1:4" x14ac:dyDescent="0.35">
      <c r="A1909" t="s">
        <v>2131</v>
      </c>
      <c r="B1909">
        <v>4</v>
      </c>
      <c r="C1909" t="str">
        <f t="shared" si="58"/>
        <v>EMSG:-STRACE:-STRACERAW:gw.lob.pa.PersonalVehicleEnhancement.latestVehicleLevelFeeAmount_Ext(PersonalVehicleEnhancement.gsx:XXX</v>
      </c>
      <c r="D1909" s="3">
        <f t="shared" si="59"/>
        <v>1</v>
      </c>
    </row>
    <row r="1910" spans="1:4" x14ac:dyDescent="0.35">
      <c r="A1910" t="s">
        <v>996</v>
      </c>
      <c r="B1910">
        <v>4</v>
      </c>
      <c r="C1910" t="str">
        <f t="shared" si="58"/>
        <v>EMSG:-STRACE:-STRACERAW:gw.web.job.common.PCFHelper_Ext$block_XXX_.invoke(PCFHelper_Ext.gs:XXX</v>
      </c>
      <c r="D1910" s="3">
        <f t="shared" si="59"/>
        <v>1</v>
      </c>
    </row>
    <row r="1911" spans="1:4" x14ac:dyDescent="0.35">
      <c r="A1911" t="s">
        <v>2132</v>
      </c>
      <c r="B1911">
        <v>4</v>
      </c>
      <c r="C1911" t="str">
        <f t="shared" si="58"/>
        <v>EMSG:-STRACE:-STRACERAW:java.base/java.net.PlainSocketImpl.socketConnect(Native Method</v>
      </c>
      <c r="D1911" s="3">
        <f t="shared" si="59"/>
        <v>1</v>
      </c>
    </row>
    <row r="1912" spans="1:4" ht="29" x14ac:dyDescent="0.35">
      <c r="A1912" s="4" t="s">
        <v>2133</v>
      </c>
      <c r="B1912">
        <v>4</v>
      </c>
      <c r="C1912" t="str">
        <f t="shared" si="58"/>
        <v>EMSG:A report shows that the XXXSTRACE:the  XXX HONDA ODYSSEY VAN  EX, XXX HONDA CR-V HYBRID XXXD XXXWD SPORT has been flagged as having Vehicle History activity.
	at edge.capabilities.quote.submission.quoting.util.SubmissionUnderwritingIssuesUtil.checkSi</v>
      </c>
      <c r="D1912" s="3">
        <f t="shared" si="59"/>
        <v>1</v>
      </c>
    </row>
    <row r="1913" spans="1:4" ht="29" x14ac:dyDescent="0.35">
      <c r="A1913" s="4" t="s">
        <v>2134</v>
      </c>
      <c r="B1913">
        <v>4</v>
      </c>
      <c r="C1913" t="str">
        <f t="shared" si="58"/>
        <v>EMSG:A report shows that the XXXSTRACE:the  XXX HYUNDAI SONATA XXXD SEL/LIMITED ULTIMATE has been flagged as having Vehicle History activity.
	at edge.capabilities.quote.submission.quoting.util.SubmissionUnderwritingIssuesUtil.checkSideBySideProcessExcept</v>
      </c>
      <c r="D1913" s="3">
        <f t="shared" si="59"/>
        <v>1</v>
      </c>
    </row>
    <row r="1914" spans="1:4" ht="29" x14ac:dyDescent="0.35">
      <c r="A1914" s="4" t="s">
        <v>2135</v>
      </c>
      <c r="B1914">
        <v>4</v>
      </c>
      <c r="C1914" t="str">
        <f t="shared" si="58"/>
        <v>EMSG:A report shows that the XXXSTRACE:the  XXX HYUNDAI VENUE XXXD XXXWD SEL/LIMITED has been flagged as having Vehicle History activity.
	at edge.capabilities.quote.submission.quoting.util.SubmissionUnderwritingIssuesUtil.checkSideBySideProcessExceptions</v>
      </c>
      <c r="D1914" s="3">
        <f t="shared" si="59"/>
        <v>1</v>
      </c>
    </row>
    <row r="1915" spans="1:4" ht="29" x14ac:dyDescent="0.35">
      <c r="A1915" s="4" t="s">
        <v>2136</v>
      </c>
      <c r="B1915">
        <v>4</v>
      </c>
      <c r="C1915" t="str">
        <f t="shared" si="58"/>
        <v>EMSG:A report shows that the XXXSTRACE:the  XXX MERCEDES BENZ E CLASS XXXD XXXWD XXX has been flagged as having Vehicle History activity.
	at edge.capabilities.quote.submission.quoting.util.SubmissionUnderwritingIssuesUtil.checkSideBySideProcessExceptions</v>
      </c>
      <c r="D1915" s="3">
        <f t="shared" si="59"/>
        <v>1</v>
      </c>
    </row>
    <row r="1916" spans="1:4" x14ac:dyDescent="0.35">
      <c r="A1916" t="s">
        <v>1193</v>
      </c>
      <c r="B1916">
        <v>4</v>
      </c>
      <c r="C1916" t="str">
        <f t="shared" si="58"/>
        <v>EMSG:Attempt to access bean of type "DiscountDetail_Ext" id=XXX with a null bundleSTRACE:deployment.pc.war//com.guidewire.pl.system.entity.proxy.BeanProxy.checkIsInBundle(BeanProxy.java:XXXSTRACERAW:-</v>
      </c>
      <c r="D1916" s="3">
        <f t="shared" si="59"/>
        <v>1</v>
      </c>
    </row>
    <row r="1917" spans="1:4" x14ac:dyDescent="0.35">
      <c r="A1917" t="s">
        <v>579</v>
      </c>
      <c r="B1917">
        <v>4</v>
      </c>
      <c r="C1917" t="str">
        <f t="shared" si="58"/>
        <v>EMSG:Connect to apis-pceisg.farmersinsurance.com:XXX [apis-pceisg.farmersinsurance.com/XXX.XXX.XXX.XXX] failed: Read timed outSTRACE:deployment.pc.war//org.apache.http.impl.conn.DefaultHttpClientConnectionOperator.connect(DefaultHttpClientConnectionOperat</v>
      </c>
      <c r="D1917" s="3">
        <f t="shared" si="59"/>
        <v>1</v>
      </c>
    </row>
    <row r="1918" spans="1:4" x14ac:dyDescent="0.35">
      <c r="A1918" t="s">
        <v>482</v>
      </c>
      <c r="B1918">
        <v>4</v>
      </c>
      <c r="C1918" t="str">
        <f t="shared" si="58"/>
        <v>EMSG:Couldn't kickstart handshakingSTRACE:java.base/sun.security.ssl.Alert.createSSLException(Alert.java:XXXSTRACERAW:-</v>
      </c>
      <c r="D1918" s="3">
        <f t="shared" si="59"/>
        <v>1</v>
      </c>
    </row>
    <row r="1919" spans="1:4" ht="29" x14ac:dyDescent="0.35">
      <c r="A1919" s="4" t="s">
        <v>959</v>
      </c>
      <c r="B1919">
        <v>4</v>
      </c>
      <c r="C1919" t="str">
        <f t="shared" si="58"/>
        <v>EMSG:Database bean version conflict : XXXSTRACE:S at XXX/XXX/XXX XXX:XXX PM. Please cancel and retry your change.
	at deployment.pc.war//com.guidewire.pl.system.database.DatabaseChangedBeanWriter.createConcurrentDataChangeException(DatabaseChangedBeanWrit</v>
      </c>
      <c r="D1919" s="3">
        <f t="shared" si="59"/>
        <v>1</v>
      </c>
    </row>
    <row r="1920" spans="1:4" x14ac:dyDescent="0.35">
      <c r="A1920" t="s">
        <v>2137</v>
      </c>
      <c r="B1920">
        <v>4</v>
      </c>
      <c r="C1920" t="str">
        <f t="shared" si="58"/>
        <v>EMSG:For eligible contact Bobby Greene credit score is null. Please make sure credit is orderedSTRACE:com.farmers.config.common.credit.CreditScoreHelper.populateRatingCreditDTO(CreditScoreHelper.gs:XXXSTRACERAW:-</v>
      </c>
      <c r="D1920" s="3">
        <f t="shared" si="59"/>
        <v>1</v>
      </c>
    </row>
    <row r="1921" spans="1:4" x14ac:dyDescent="0.35">
      <c r="A1921" t="s">
        <v>2138</v>
      </c>
      <c r="B1921">
        <v>4</v>
      </c>
      <c r="C1921" t="str">
        <f t="shared" si="58"/>
        <v>EMSG:For eligible contact Cornelia Budnick credit score is null. Please make sure credit is orderedSTRACE:com.farmers.config.common.credit.CreditScoreHelper.populateRatingCreditDTO(CreditScoreHelper.gs:XXXSTRACERAW:-</v>
      </c>
      <c r="D1921" s="3">
        <f t="shared" si="59"/>
        <v>1</v>
      </c>
    </row>
    <row r="1922" spans="1:4" x14ac:dyDescent="0.35">
      <c r="A1922" t="s">
        <v>2139</v>
      </c>
      <c r="B1922">
        <v>4</v>
      </c>
      <c r="C1922" t="str">
        <f t="shared" ref="C1922:C1985" si="60">LEFT(A1922,255)</f>
        <v>EMSG:For eligible contact Evan Ellison credit score is null. Please make sure credit is orderedSTRACE:com.farmers.config.common.credit.CreditScoreHelper.populateRatingCreditDTO(CreditScoreHelper.gs:XXXSTRACERAW:-</v>
      </c>
      <c r="D1922" s="3">
        <f t="shared" ref="D1922:D1985" si="61">IF(AND((B1922/10)&lt;1,(B1922/10)&gt;0),1,(B1922/10)*130%)</f>
        <v>1</v>
      </c>
    </row>
    <row r="1923" spans="1:4" x14ac:dyDescent="0.35">
      <c r="A1923" t="s">
        <v>2140</v>
      </c>
      <c r="B1923">
        <v>4</v>
      </c>
      <c r="C1923" t="str">
        <f t="shared" si="60"/>
        <v>EMSG:For eligible contact Lucas Pickett credit score is null. Please make sure credit is orderedSTRACE:com.farmers.config.common.credit.CreditScoreHelper.populateRatingCreditDTO(CreditScoreHelper.gs:XXXSTRACERAW:-</v>
      </c>
      <c r="D1923" s="3">
        <f t="shared" si="61"/>
        <v>1</v>
      </c>
    </row>
    <row r="1924" spans="1:4" x14ac:dyDescent="0.35">
      <c r="A1924" t="s">
        <v>2141</v>
      </c>
      <c r="B1924">
        <v>4</v>
      </c>
      <c r="C1924" t="str">
        <f t="shared" si="60"/>
        <v>EMSG:For eligible contact Mingcong Zhang credit score is null. Please make sure credit is orderedSTRACE:com.farmers.config.common.credit.CreditScoreHelper.populateRatingCreditDTO(CreditScoreHelper.gs:XXXSTRACERAW:-</v>
      </c>
      <c r="D1924" s="3">
        <f t="shared" si="61"/>
        <v>1</v>
      </c>
    </row>
    <row r="1925" spans="1:4" x14ac:dyDescent="0.35">
      <c r="A1925" t="s">
        <v>2142</v>
      </c>
      <c r="B1925">
        <v>4</v>
      </c>
      <c r="C1925" t="str">
        <f t="shared" si="60"/>
        <v>EMSG:For eligible contact Teresa Miller credit score is null. Please make sure credit is orderedSTRACE:com.farmers.config.common.credit.CreditScoreHelper.populateRatingCreditDTO(CreditScoreHelper.gs:XXXSTRACERAW:-</v>
      </c>
      <c r="D1925" s="3">
        <f t="shared" si="61"/>
        <v>1</v>
      </c>
    </row>
    <row r="1926" spans="1:4" x14ac:dyDescent="0.35">
      <c r="A1926" t="s">
        <v>2143</v>
      </c>
      <c r="B1926">
        <v>4</v>
      </c>
      <c r="C1926" t="str">
        <f t="shared" si="60"/>
        <v>EMSG:For input string: "FW"STRACE:java.base/java.lang.NumberFormatException.forInputString(NumberFormatException.java:XXXSTRACERAW:-</v>
      </c>
      <c r="D1926" s="3">
        <f t="shared" si="61"/>
        <v>1</v>
      </c>
    </row>
    <row r="1927" spans="1:4" ht="43.5" x14ac:dyDescent="0.35">
      <c r="A1927" s="4" t="s">
        <v>2144</v>
      </c>
      <c r="B1927">
        <v>4</v>
      </c>
      <c r="C1927" t="str">
        <f t="shared" si="60"/>
        <v>EMSG:Found more than one target of the property XXXSTRACE:# XXX, San Diego, CA': ['HOConstructionDetails_Ext:pc:XXX - Dwelling Construction Details', 'HOConstructionDetails_Ext:pc:XXX - Dwelling Construction Details']. This could be due to a concurrent da</v>
      </c>
      <c r="D1927" s="3">
        <f t="shared" si="61"/>
        <v>1</v>
      </c>
    </row>
    <row r="1928" spans="1:4" ht="43.5" x14ac:dyDescent="0.35">
      <c r="A1928" s="4" t="s">
        <v>2145</v>
      </c>
      <c r="B1928">
        <v>4</v>
      </c>
      <c r="C1928" t="str">
        <f t="shared" si="60"/>
        <v>EMSG:Found more than one target of the property XXXSTRACE:XXX Avenida Las Palmas, Rancho Mirage, CA': ['HOConstructionDetails_Ext:pc:XXX - Dwelling Construction Details', 'HOConstructionDetails_Ext:pc:XXX - Dwelling Construction Details']. This could be d</v>
      </c>
      <c r="D1928" s="3">
        <f t="shared" si="61"/>
        <v>1</v>
      </c>
    </row>
    <row r="1929" spans="1:4" ht="43.5" x14ac:dyDescent="0.35">
      <c r="A1929" s="4" t="s">
        <v>2146</v>
      </c>
      <c r="B1929">
        <v>4</v>
      </c>
      <c r="C1929" t="str">
        <f t="shared" si="60"/>
        <v>EMSG:Found more than one target of the property XXXSTRACE:XXX Espirit Cir, Hemet, CA': ['HOConstructionDetails_Ext:pc:XXX - Dwelling Construction Details', 'HOConstructionDetails_Ext:pc:XXX - Dwelling Construction Details']. This could be due to a concurr</v>
      </c>
      <c r="D1929" s="3">
        <f t="shared" si="61"/>
        <v>1</v>
      </c>
    </row>
    <row r="1930" spans="1:4" ht="43.5" x14ac:dyDescent="0.35">
      <c r="A1930" s="4" t="s">
        <v>2147</v>
      </c>
      <c r="B1930">
        <v>4</v>
      </c>
      <c r="C1930" t="str">
        <f t="shared" si="60"/>
        <v>EMSG:Found more than one target of the property XXXSTRACE:XXX Highway XXX, Alturas, CA': ['HOConstructionDetails_Ext:pc:XXX - Dwelling Construction Details', 'HOConstructionDetails_Ext:pc:XXX - Dwelling Construction Details']. This could be due to a concu</v>
      </c>
      <c r="D1930" s="3">
        <f t="shared" si="61"/>
        <v>1</v>
      </c>
    </row>
    <row r="1931" spans="1:4" ht="43.5" x14ac:dyDescent="0.35">
      <c r="A1931" s="4" t="s">
        <v>2148</v>
      </c>
      <c r="B1931">
        <v>4</v>
      </c>
      <c r="C1931" t="str">
        <f t="shared" si="60"/>
        <v>EMSG:Illegal character in path at index XXX: https://apis-mgeisg.farmersinsurance.com/plcyms/vXXX/policies/ XXX/policyDetails?operation=searchByCriteriaSTRACE:index XXX: https://apis-mgeisg.farmersinsurance.com/plcyms/vXXX/policies/ XXX/policyDetails?oper</v>
      </c>
      <c r="D1931" s="3">
        <f t="shared" si="61"/>
        <v>1</v>
      </c>
    </row>
    <row r="1932" spans="1:4" x14ac:dyDescent="0.35">
      <c r="A1932" t="s">
        <v>2149</v>
      </c>
      <c r="B1932">
        <v>4</v>
      </c>
      <c r="C1932" t="str">
        <f t="shared" si="60"/>
        <v>EMSG:Ineligible Condition - The roof material is not acceptable in this county.STRACE:edge.capabilities.quote.submission.quoting.util.SubmissionUnderwritingIssuesUtil.checkSideBySideProcessExceptions(SubmissionUnderwritingIssuesUtil.gs:XXXSTRACERAW:-</v>
      </c>
      <c r="D1932" s="3">
        <f t="shared" si="61"/>
        <v>1</v>
      </c>
    </row>
    <row r="1933" spans="1:4" x14ac:dyDescent="0.35">
      <c r="A1933" t="s">
        <v>2150</v>
      </c>
      <c r="B1933">
        <v>4</v>
      </c>
      <c r="C1933" t="str">
        <f t="shared" si="60"/>
        <v>EMSG:Missing/Invalid Mandatory Fields - FROMAGENTIDSTRACE:com.farmers.integ.distribution.opra.batch.validator.OpraValidator.validate(OpraValidator.gs:XXXSTRACERAW:-</v>
      </c>
      <c r="D1933" s="3">
        <f t="shared" si="61"/>
        <v>1</v>
      </c>
    </row>
    <row r="1934" spans="1:4" x14ac:dyDescent="0.35">
      <c r="A1934" t="s">
        <v>2151</v>
      </c>
      <c r="B1934">
        <v>4</v>
      </c>
      <c r="C1934" t="str">
        <f t="shared" si="60"/>
        <v>EMSG:Prebind Contingency must satisfy before bind. Please complete them and try binding again  Home Eligibility - Auto RequiredSTRACE:edge.capabilities.quote.submission.GatewayQuoteHandler$block_XXX_.invoke(GatewayQuoteHandler.gs:XXXSTRACERAW:-</v>
      </c>
      <c r="D1934" s="3">
        <f t="shared" si="61"/>
        <v>1</v>
      </c>
    </row>
    <row r="1935" spans="1:4" x14ac:dyDescent="0.35">
      <c r="A1935" t="s">
        <v>2152</v>
      </c>
      <c r="B1935">
        <v>4</v>
      </c>
      <c r="C1935" t="str">
        <f t="shared" si="60"/>
        <v>EMSG:Re-enter "License #". Duplicate License Number entered for the following Drivers DAVID NARVAEZ ALVAREZSTRACE:edge.capabilities.quote.submission.quoting.util.SubmissionUnderwritingIssuesUtil.checkVerifyRateExceptions(SubmissionUnderwritingIssuesUtil.g</v>
      </c>
      <c r="D1935" s="3">
        <f t="shared" si="61"/>
        <v>1</v>
      </c>
    </row>
    <row r="1936" spans="1:4" x14ac:dyDescent="0.35">
      <c r="A1936" t="s">
        <v>2153</v>
      </c>
      <c r="B1936">
        <v>4</v>
      </c>
      <c r="C1936" t="str">
        <f t="shared" si="60"/>
        <v>EMSG:Re-enter "License #". Duplicate License Number entered for the following Drivers DAVID NARVAEZSTRACE:edge.capabilities.quote.submission.quoting.util.SubmissionUnderwritingIssuesUtil.checkVerifyRateExceptions(SubmissionUnderwritingIssuesUtil.gs:XXXSTR</v>
      </c>
      <c r="D1936" s="3">
        <f t="shared" si="61"/>
        <v>1</v>
      </c>
    </row>
    <row r="1937" spans="1:4" x14ac:dyDescent="0.35">
      <c r="A1937" t="s">
        <v>2154</v>
      </c>
      <c r="B1937">
        <v>4</v>
      </c>
      <c r="C1937" t="str">
        <f t="shared" si="60"/>
        <v>EMSG:Re-enter "License #". Duplicate License Number entered for the following Drivers DONALD LOVELACESTRACE:edge.capabilities.quote.submission.quoting.util.SubmissionUnderwritingIssuesUtil.checkVerifyRateExceptions(SubmissionUnderwritingIssuesUtil.gs:XXXS</v>
      </c>
      <c r="D1937" s="3">
        <f t="shared" si="61"/>
        <v>1</v>
      </c>
    </row>
    <row r="1938" spans="1:4" x14ac:dyDescent="0.35">
      <c r="A1938" t="s">
        <v>588</v>
      </c>
      <c r="B1938">
        <v>4</v>
      </c>
      <c r="C1938" t="str">
        <f t="shared" si="60"/>
        <v>EMSG:Remove Vehicle Replacement Plus coverage from vehicle XXXSTRACE:edge.capabilities.quote.submission.quoting.util.SubmissionUnderwritingIssuesUtil.checkSideBySideProcessExceptions(SubmissionUnderwritingIssuesUtil.gs:XXXSTRACERAW:-</v>
      </c>
      <c r="D1938" s="3">
        <f t="shared" si="61"/>
        <v>1</v>
      </c>
    </row>
    <row r="1939" spans="1:4" x14ac:dyDescent="0.35">
      <c r="A1939" t="s">
        <v>2155</v>
      </c>
      <c r="B1939">
        <v>4</v>
      </c>
      <c r="C1939" t="str">
        <f t="shared" si="60"/>
        <v>EMSG:The value "XXX Circle J Trl ProsperSTRACE:deployment.pc.war//gw.datatype.impl.StringConstraintsHandlerBase.validateStringLength(StringConstraintsHandlerBase.java:XXXSTRACERAW:-</v>
      </c>
      <c r="D1939" s="3">
        <f t="shared" si="61"/>
        <v>1</v>
      </c>
    </row>
    <row r="1940" spans="1:4" x14ac:dyDescent="0.35">
      <c r="A1940" t="s">
        <v>2156</v>
      </c>
      <c r="B1940">
        <v>4</v>
      </c>
      <c r="C1940" t="str">
        <f t="shared" si="60"/>
        <v>EMSG:Transition Premium can not be XXXSTRACE:com.farmers.rating.pa.scenario.transitionpremium.PATransitionPremiumIterationResult.getTransitionPremiumOnVehicle(PATransitionPremiumIterationResult.gs:XXXSTRACERAW:-</v>
      </c>
      <c r="D1940" s="3">
        <f t="shared" si="61"/>
        <v>1</v>
      </c>
    </row>
    <row r="1941" spans="1:4" x14ac:dyDescent="0.35">
      <c r="A1941" t="s">
        <v>2157</v>
      </c>
      <c r="B1941">
        <v>4</v>
      </c>
      <c r="C1941" t="str">
        <f t="shared" si="60"/>
        <v>EMSG:Uninsured Motorist - Bodily Injury coverage cannot be added to this quote. Please remove it and re-rateSTRACE:edge.capabilities.policycommon.coverage.util.CoverageUtil.updateFrom XXXSTRACERAW:-</v>
      </c>
      <c r="D1941" s="3">
        <f t="shared" si="61"/>
        <v>1</v>
      </c>
    </row>
    <row r="1942" spans="1:4" ht="43.5" x14ac:dyDescent="0.35">
      <c r="A1942" s="4" t="s">
        <v>2158</v>
      </c>
      <c r="B1942">
        <v>4</v>
      </c>
      <c r="C1942" t="str">
        <f t="shared" si="60"/>
        <v>EMSG:Update 'What vehicle do you customarily drive?' for Landon Martin. This is required for active drivers.STRACE:vehicle do you customarily drive?' for Landon Martin. This is required for active drivers.
	at edge.capabilities.quote.submission.quoting.ut</v>
      </c>
      <c r="D1942" s="3">
        <f t="shared" si="61"/>
        <v>1</v>
      </c>
    </row>
    <row r="1943" spans="1:4" x14ac:dyDescent="0.35">
      <c r="A1943" t="s">
        <v>2159</v>
      </c>
      <c r="B1943">
        <v>4</v>
      </c>
      <c r="C1943" t="str">
        <f t="shared" si="60"/>
        <v>EMSG:Update PNI/SNI/Spouse Information. A PNI/SNI/Spouse cannot be a PNI/SNI/Spouse on another policySTRACE:edge.capabilities.quote.submission.quoting.util.SubmissionUnderwritingIssuesUtil.checkVerifyRateExceptions(SubmissionUnderwritingIssuesUtil.gs:XXXS</v>
      </c>
      <c r="D1943" s="3">
        <f t="shared" si="61"/>
        <v>1</v>
      </c>
    </row>
    <row r="1944" spans="1:4" x14ac:dyDescent="0.35">
      <c r="A1944" t="s">
        <v>2160</v>
      </c>
      <c r="B1944">
        <v>4</v>
      </c>
      <c r="C1944" t="str">
        <f t="shared" si="60"/>
        <v>EMSG:XXX FORD TRUCK FXXX SUPER PU XXXXXXX    SUPERCAB in Colorado: Coverage is on Comprehensive is now available and its value must be verified by the user.; XXX FORD TRUCK FXXX SUPER PU XXXXXXX    SUPERCAB in Colorado: Coverage is on Collision is now ava</v>
      </c>
      <c r="D1944" s="3">
        <f t="shared" si="61"/>
        <v>1</v>
      </c>
    </row>
    <row r="1945" spans="1:4" x14ac:dyDescent="0.35">
      <c r="A1945" t="s">
        <v>637</v>
      </c>
      <c r="B1945">
        <v>4</v>
      </c>
      <c r="C1945" t="str">
        <f t="shared" si="60"/>
        <v>EMSG:\ i : entity.windowed.UWIssueVersionList -&gt; i.AllVersions.first().IssueKey does not define a unique value across all elements of this Collection :  Element com.guidewire._generated.entity.UWIssueVersionListImpl XXX have the value HOInvalidOccupancyTy</v>
      </c>
      <c r="D1945" s="3">
        <f t="shared" si="61"/>
        <v>1</v>
      </c>
    </row>
    <row r="1946" spans="1:4" x14ac:dyDescent="0.35">
      <c r="A1946" t="s">
        <v>2161</v>
      </c>
      <c r="B1946">
        <v>4</v>
      </c>
      <c r="C1946" t="str">
        <f t="shared" si="60"/>
        <v>EMSG:java.lang.IllegalStateException: Attempt to access bean of type "PAPriorLoss_Ext" id=XXX with a null bundleSTRACE:deployment.pc.war//com.guidewire.pl.web.widget.Widget.getVisibleValue(Widget.java:XXXSTRACERAW:-</v>
      </c>
      <c r="D1946" s="3">
        <f t="shared" si="61"/>
        <v>1</v>
      </c>
    </row>
    <row r="1947" spans="1:4" x14ac:dyDescent="0.35">
      <c r="A1947" t="s">
        <v>2162</v>
      </c>
      <c r="B1947">
        <v>4</v>
      </c>
      <c r="C1947" t="str">
        <f t="shared" si="60"/>
        <v>EMSG:java.lang.RuntimeException: java.net.UnknownHostException: formsdatint.farmersinsurance.comSTRACE:deployment.pc.war//gw.internal.xml.ws.WsdlPortImpl.invoke(WsdlPortImpl.java:XXXSTRACERAW:-</v>
      </c>
      <c r="D1947" s="3">
        <f t="shared" si="61"/>
        <v>1</v>
      </c>
    </row>
    <row r="1948" spans="1:4" x14ac:dyDescent="0.35">
      <c r="A1948" t="s">
        <v>2163</v>
      </c>
      <c r="B1948">
        <v>3</v>
      </c>
      <c r="C1948" t="str">
        <f t="shared" si="60"/>
        <v>EMSG:, AOR=XXXSTRACE:com.farmers.config.pa.adpf.ADPFReportHelper.updateResidenceTypeAndPNIDetailsFromADPF(ADPFReportHelper.gs:XXXSTRACERAW:-</v>
      </c>
      <c r="D1948" s="3">
        <f t="shared" si="61"/>
        <v>1</v>
      </c>
    </row>
    <row r="1949" spans="1:4" x14ac:dyDescent="0.35">
      <c r="A1949" t="s">
        <v>658</v>
      </c>
      <c r="B1949">
        <v>3</v>
      </c>
      <c r="C1949" t="str">
        <f t="shared" si="60"/>
        <v>EMSG:, AOR=XXXSTRACE:edge.validation.EdgeValidationContext.raiseExceptionIfProblemsFound(EdgeValidationContext.gs:XXXSTRACERAW:-</v>
      </c>
      <c r="D1949" s="3">
        <f t="shared" si="61"/>
        <v>1</v>
      </c>
    </row>
    <row r="1950" spans="1:4" x14ac:dyDescent="0.35">
      <c r="A1950" t="s">
        <v>1181</v>
      </c>
      <c r="B1950">
        <v>3</v>
      </c>
      <c r="C1950" t="str">
        <f t="shared" si="60"/>
        <v>EMSG:-STRACE:-STRACERAW:Jan XXX XXX:XXX:XXX PST XXX, MSG=Transaction Failed. Failed to parse response : Cannot deserialize value of type `java.lang.String` from Array value (token `JsonToken.START_ARRAY`</v>
      </c>
      <c r="D1950" s="3">
        <f t="shared" si="61"/>
        <v>1</v>
      </c>
    </row>
    <row r="1951" spans="1:4" x14ac:dyDescent="0.35">
      <c r="A1951" t="s">
        <v>2164</v>
      </c>
      <c r="B1951">
        <v>3</v>
      </c>
      <c r="C1951" t="str">
        <f t="shared" si="60"/>
        <v>EMSG:-STRACE:-STRACERAW:com.guidewire.pc.domain.personaldata.purge.PersonalDataPurgeHandler.doPurge(PersonalDataPurgeHandler.java:XXX</v>
      </c>
      <c r="D1951" s="3">
        <f t="shared" si="61"/>
        <v>1</v>
      </c>
    </row>
    <row r="1952" spans="1:4" x14ac:dyDescent="0.35">
      <c r="A1952" t="s">
        <v>1158</v>
      </c>
      <c r="B1952">
        <v>3</v>
      </c>
      <c r="C1952" t="str">
        <f t="shared" si="60"/>
        <v>EMSG:-STRACE:-STRACERAW:gw.lang.enhancements.CoreIterableEnhancement.singleWhere(CoreIterableEnhancement.gsx:XXX</v>
      </c>
      <c r="D1952" s="3">
        <f t="shared" si="61"/>
        <v>1</v>
      </c>
    </row>
    <row r="1953" spans="1:4" x14ac:dyDescent="0.35">
      <c r="A1953" t="s">
        <v>546</v>
      </c>
      <c r="B1953">
        <v>3</v>
      </c>
      <c r="C1953" t="str">
        <f t="shared" si="60"/>
        <v>EMSG:-STRACE:-STRACERAW:gw.web.productmodel.ProductModelSyncIssuesHandler$block_XXX_.invoke(ProductModelSyncIssuesHandler.gs:XXX</v>
      </c>
      <c r="D1953" s="3">
        <f t="shared" si="61"/>
        <v>1</v>
      </c>
    </row>
    <row r="1954" spans="1:4" x14ac:dyDescent="0.35">
      <c r="A1954" t="s">
        <v>1243</v>
      </c>
      <c r="B1954">
        <v>3</v>
      </c>
      <c r="C1954" t="str">
        <f t="shared" si="60"/>
        <v>EMSG:-STRACE:-STRACERAW:program_.__Program__XXX.evaluate(SubmissionWizard_PriorCarrier_ExtScreen_TemplatePanelXXX.gst:XXX</v>
      </c>
      <c r="D1954" s="3">
        <f t="shared" si="61"/>
        <v>1</v>
      </c>
    </row>
    <row r="1955" spans="1:4" x14ac:dyDescent="0.35">
      <c r="A1955" t="s">
        <v>2165</v>
      </c>
      <c r="B1955">
        <v>3</v>
      </c>
      <c r="C1955" t="str">
        <f t="shared" si="60"/>
        <v>EMSG:-STRACE:com.farmers.integ.billing.batch.AutoPayEnroll.plugin.AutoPayEnrollmentInboundBatchImpl$block_XXX_.invoke(AutoPayEnrollmentInboundBatchImpl.gs:XXXSTRACERAW:-</v>
      </c>
      <c r="D1955" s="3">
        <f t="shared" si="61"/>
        <v>1</v>
      </c>
    </row>
    <row r="1956" spans="1:4" ht="29" x14ac:dyDescent="0.35">
      <c r="A1956" s="4" t="s">
        <v>1208</v>
      </c>
      <c r="B1956">
        <v>3</v>
      </c>
      <c r="C1956" t="str">
        <f t="shared" si="60"/>
        <v>EMSG:-STRACE:is in a readonly bundle
	at deployment.pc.war//com.guidewire.pl.system.entity.proxy.BeanProxy.checkIsInWriteableBundle(BeanProxy.java:XXXSTRACERAW:-</v>
      </c>
      <c r="D1956" s="3">
        <f t="shared" si="61"/>
        <v>1</v>
      </c>
    </row>
    <row r="1957" spans="1:4" ht="58" x14ac:dyDescent="0.35">
      <c r="A1957" s="4" t="s">
        <v>2166</v>
      </c>
      <c r="B1957">
        <v>3</v>
      </c>
      <c r="C1957" t="str">
        <f t="shared" si="60"/>
        <v>EMSG:-STRACE:least one vehicle. Since the number of vehicles is greater than the number of drivers, each driver must be a Primary Driver on at least one vehicle.
Update Primary Driver on the Vehicle XXX CHEVROLET TRUCK SLVRDO XXX PU EXT CAB XXXWD. Primary</v>
      </c>
      <c r="D1957" s="3">
        <f t="shared" si="61"/>
        <v>1</v>
      </c>
    </row>
    <row r="1958" spans="1:4" ht="43.5" x14ac:dyDescent="0.35">
      <c r="A1958" s="4" t="s">
        <v>2167</v>
      </c>
      <c r="B1958">
        <v>3</v>
      </c>
      <c r="C1958" t="str">
        <f t="shared" si="60"/>
        <v>EMSG:-STRACE:least one vehicle. Since the number of vehicles is greater than the number of drivers, each driver must be a Primary Driver on at least one vehicle.
Update Primary Driver on the Vehicle XXX TOYOTA SIENNA VAN XXXWD LE VXXX XXXD. Primary Driver</v>
      </c>
      <c r="D1958" s="3">
        <f t="shared" si="61"/>
        <v>1</v>
      </c>
    </row>
    <row r="1959" spans="1:4" x14ac:dyDescent="0.35">
      <c r="A1959" t="s">
        <v>2168</v>
      </c>
      <c r="B1959">
        <v>3</v>
      </c>
      <c r="C1959" t="str">
        <f t="shared" si="60"/>
        <v>EMSG:ALICE PACHECOSTRACE:com.farmers.config.pa.validator.BrightlineValidator.validateQuoteBrightlineRules(BrightlineValidator.gs:XXXSTRACERAW:-</v>
      </c>
      <c r="D1959" s="3">
        <f t="shared" si="61"/>
        <v>1</v>
      </c>
    </row>
    <row r="1960" spans="1:4" x14ac:dyDescent="0.35">
      <c r="A1960" t="s">
        <v>456</v>
      </c>
      <c r="B1960">
        <v>3</v>
      </c>
      <c r="C1960" t="str">
        <f t="shared" si="60"/>
        <v>EMSG:Cannot calculate an age without a date of birth.STRACE:com.farmers.integ.framework.job.automatejob.AutomatedJob.executeJob(AutomatedJob.gs:XXXSTRACERAW:-</v>
      </c>
      <c r="D1960" s="3">
        <f t="shared" si="61"/>
        <v>1</v>
      </c>
    </row>
    <row r="1961" spans="1:4" x14ac:dyDescent="0.35">
      <c r="A1961" t="s">
        <v>2169</v>
      </c>
      <c r="B1961">
        <v>3</v>
      </c>
      <c r="C1961" t="str">
        <f t="shared" si="60"/>
        <v>EMSG:Cannot re-add LegacySpillOverPolicy_Ext:XXX since it has already been removed.  You must use bundle rollback to undo a remove.STRACE:deployment.pc.war//com.guidewire.pl.system.bundle.EntityBundleImpl.add(EntityBundleImpl.java:XXXSTRACERAW:-</v>
      </c>
      <c r="D1961" s="3">
        <f t="shared" si="61"/>
        <v>1</v>
      </c>
    </row>
    <row r="1962" spans="1:4" ht="29" x14ac:dyDescent="0.35">
      <c r="A1962" s="4" t="s">
        <v>2170</v>
      </c>
      <c r="B1962">
        <v>3</v>
      </c>
      <c r="C1962" t="str">
        <f t="shared" si="60"/>
        <v>EMSG:Dwelling at XXXSTRACE:XXX Athena Hill Ct, Henderson, NV: XXX% Limit on Extended Replacement Cost is no longer available and has been removed. Please enter a new value.
	at gw.api.extension.PCExtensionInterfacesMapper$block_XXX_.invoke(PCExtensionInte</v>
      </c>
      <c r="D1962" s="3">
        <f t="shared" si="61"/>
        <v>1</v>
      </c>
    </row>
    <row r="1963" spans="1:4" ht="43.5" x14ac:dyDescent="0.35">
      <c r="A1963" s="4" t="s">
        <v>2171</v>
      </c>
      <c r="B1963">
        <v>3</v>
      </c>
      <c r="C1963" t="str">
        <f t="shared" si="60"/>
        <v>EMSG:Dwelling at XXXSTRACE:XXX Autumn Point Trail Fancy Gap Va, Fancy Gap, VA: No message configured; Dwelling at XXX Autumn Point Trail Fancy Gap Va, Fancy Gap, VA: Standard Limit on Special Limits on Personal Property is no longer available and has been</v>
      </c>
      <c r="D1963" s="3">
        <f t="shared" si="61"/>
        <v>1</v>
      </c>
    </row>
    <row r="1964" spans="1:4" ht="29" x14ac:dyDescent="0.35">
      <c r="A1964" s="4" t="s">
        <v>2172</v>
      </c>
      <c r="B1964">
        <v>3</v>
      </c>
      <c r="C1964" t="str">
        <f t="shared" si="60"/>
        <v>EMSG:Dwelling at XXXSTRACE:XXX Carriage Rd, Poway, CA: XXX% Limit on Loss of Use is no longer available and has been removed. Please enter a new value.
	at gw.api.extension.PCExtensionInterfacesMapper$block_XXX_.invoke(PCExtensionInterfacesMapper.gs:XXXST</v>
      </c>
      <c r="D1964" s="3">
        <f t="shared" si="61"/>
        <v>1</v>
      </c>
    </row>
    <row r="1965" spans="1:4" ht="29" x14ac:dyDescent="0.35">
      <c r="A1965" s="4" t="s">
        <v>2173</v>
      </c>
      <c r="B1965">
        <v>3</v>
      </c>
      <c r="C1965" t="str">
        <f t="shared" si="60"/>
        <v>EMSG:Dwelling at XXXSTRACE:XXX Delta Rd, San Jose, CA: XXX% Limit on Loss of Use is no longer available and has been removed. Please enter a new value.
	at gw.api.extension.PCExtensionInterfacesMapper$block_XXX_.invoke(PCExtensionInterfacesMapper.gs:XXXST</v>
      </c>
      <c r="D1965" s="3">
        <f t="shared" si="61"/>
        <v>1</v>
      </c>
    </row>
    <row r="1966" spans="1:4" ht="29" x14ac:dyDescent="0.35">
      <c r="A1966" s="4" t="s">
        <v>2174</v>
      </c>
      <c r="B1966">
        <v>3</v>
      </c>
      <c r="C1966" t="str">
        <f t="shared" si="60"/>
        <v>EMSG:Dwelling at XXXSTRACE:XXX Dwight Way, Berkeley, CA: XXX% Limit on Loss of Use is no longer available and has been removed. Please enter a new value.
	at gw.api.extension.PCExtensionInterfacesMapper$block_XXX_.invoke(PCExtensionInterfacesMapper.gs:XXX</v>
      </c>
      <c r="D1966" s="3">
        <f t="shared" si="61"/>
        <v>1</v>
      </c>
    </row>
    <row r="1967" spans="1:4" ht="29" x14ac:dyDescent="0.35">
      <c r="A1967" s="4" t="s">
        <v>2175</v>
      </c>
      <c r="B1967">
        <v>3</v>
      </c>
      <c r="C1967" t="str">
        <f t="shared" si="60"/>
        <v>EMSG:Dwelling at XXXSTRACE:XXX Eagle Canyon Rd, San Diego, CA: XXX% Limit on Loss of Use is no longer available and has been removed. Please enter a new value.
	at gw.api.extension.PCExtensionInterfacesMapper$block_XXX_.invoke(PCExtensionInterfacesMapper.</v>
      </c>
      <c r="D1967" s="3">
        <f t="shared" si="61"/>
        <v>1</v>
      </c>
    </row>
    <row r="1968" spans="1:4" ht="43.5" x14ac:dyDescent="0.35">
      <c r="A1968" s="4" t="s">
        <v>2176</v>
      </c>
      <c r="B1968">
        <v>3</v>
      </c>
      <c r="C1968" t="str">
        <f t="shared" si="60"/>
        <v>EMSG:Dwelling at XXXSTRACE:XXX Haddon Dr, Hoover, AL: Perils on Personal Property is now available and its value must be verified by the user.; Dwelling at XXX Haddon Dr, Hoover, AL: No message configured
	at gw.api.extension.PCExtensionInterfacesMapper$b</v>
      </c>
      <c r="D1968" s="3">
        <f t="shared" si="61"/>
        <v>1</v>
      </c>
    </row>
    <row r="1969" spans="1:4" ht="29" x14ac:dyDescent="0.35">
      <c r="A1969" s="4" t="s">
        <v>2177</v>
      </c>
      <c r="B1969">
        <v>3</v>
      </c>
      <c r="C1969" t="str">
        <f t="shared" si="60"/>
        <v>EMSG:Dwelling at XXXSTRACE:XXX Luke Rivers Rd, Mc Intosh, AL: Perils on Personal Property is now available and its value must be verified by the user.
	at gw.api.extension.PCExtensionInterfacesMapper$block_XXX_.invoke(PCExtensionInterfacesMapper.gs:XXXSTR</v>
      </c>
      <c r="D1969" s="3">
        <f t="shared" si="61"/>
        <v>1</v>
      </c>
    </row>
    <row r="1970" spans="1:4" ht="29" x14ac:dyDescent="0.35">
      <c r="A1970" s="4" t="s">
        <v>1152</v>
      </c>
      <c r="B1970">
        <v>3</v>
      </c>
      <c r="C1970" t="str">
        <f t="shared" si="60"/>
        <v>EMSG:Dwelling at XXXSTRACE:XXX N El Adobe Dr, Fresno, CA: XXX% Limit on Loss of Use is no longer available and has been removed. Please enter a new value.
	at gw.api.extension.PCExtensionInterfacesMapper$block_XXX_.invoke(PCExtensionInterfacesMapper.gs:XX</v>
      </c>
      <c r="D1970" s="3">
        <f t="shared" si="61"/>
        <v>1</v>
      </c>
    </row>
    <row r="1971" spans="1:4" ht="43.5" x14ac:dyDescent="0.35">
      <c r="A1971" s="4" t="s">
        <v>2178</v>
      </c>
      <c r="B1971">
        <v>3</v>
      </c>
      <c r="C1971" t="str">
        <f t="shared" si="60"/>
        <v>EMSG:Dwelling at XXXSTRACE:XXX N Westchester Dr, Petersburg, VA: Standard Limit on Special Limits on Personal Property is no longer available and has been removed. Please enter a new value.
	at gw.api.extension.PCExtensionInterfacesMapper$block_XXX_.invok</v>
      </c>
      <c r="D1971" s="3">
        <f t="shared" si="61"/>
        <v>1</v>
      </c>
    </row>
    <row r="1972" spans="1:4" ht="29" x14ac:dyDescent="0.35">
      <c r="A1972" s="4" t="s">
        <v>2179</v>
      </c>
      <c r="B1972">
        <v>3</v>
      </c>
      <c r="C1972" t="str">
        <f t="shared" si="60"/>
        <v>EMSG:Dwelling at XXXSTRACE:XXX Paul Duncan Rd, Cottondale, AL: Perils on Personal Property is now available and its value must be verified by the user.
	at gw.api.extension.PCExtensionInterfacesMapper$block_XXX_.invoke(PCExtensionInterfacesMapper.gs:XXXST</v>
      </c>
      <c r="D1972" s="3">
        <f t="shared" si="61"/>
        <v>1</v>
      </c>
    </row>
    <row r="1973" spans="1:4" ht="29" x14ac:dyDescent="0.35">
      <c r="A1973" s="4" t="s">
        <v>2180</v>
      </c>
      <c r="B1973">
        <v>3</v>
      </c>
      <c r="C1973" t="str">
        <f t="shared" si="60"/>
        <v>EMSG:Dwelling at XXXSTRACE:XXX Reynolds Dr, Morgan Hill, CA: XXX% Limit on Loss of Use is no longer available and has been removed. Please enter a new value.
	at gw.api.extension.PCExtensionInterfacesMapper$block_XXX_.invoke(PCExtensionInterfacesMapper.gs</v>
      </c>
      <c r="D1973" s="3">
        <f t="shared" si="61"/>
        <v>1</v>
      </c>
    </row>
    <row r="1974" spans="1:4" ht="43.5" x14ac:dyDescent="0.35">
      <c r="A1974" s="4" t="s">
        <v>2181</v>
      </c>
      <c r="B1974">
        <v>3</v>
      </c>
      <c r="C1974" t="str">
        <f t="shared" si="60"/>
        <v>EMSG:Dwelling at XXXSTRACE:XXX S XXX W, Hurricane, UT: No message configured; Dwelling at XXX S XXX W, Hurricane, UT: XXX% Limit on Extended Replacement Cost is no longer available and has been removed. Please enter a new value.
	at gw.api.extension.PCExt</v>
      </c>
      <c r="D1974" s="3">
        <f t="shared" si="61"/>
        <v>1</v>
      </c>
    </row>
    <row r="1975" spans="1:4" ht="29" x14ac:dyDescent="0.35">
      <c r="A1975" s="4" t="s">
        <v>2182</v>
      </c>
      <c r="B1975">
        <v>3</v>
      </c>
      <c r="C1975" t="str">
        <f t="shared" si="60"/>
        <v>EMSG:Dwelling at XXXSTRACE:XXX Teal Ln, Alameda, CA: XXX% Limit on Loss of Use is no longer available and has been removed. Please enter a new value.
	at gw.api.extension.PCExtensionInterfacesMapper$block_XXX_.invoke(PCExtensionInterfacesMapper.gs:XXXSTRA</v>
      </c>
      <c r="D1975" s="3">
        <f t="shared" si="61"/>
        <v>1</v>
      </c>
    </row>
    <row r="1976" spans="1:4" ht="29" x14ac:dyDescent="0.35">
      <c r="A1976" s="4" t="s">
        <v>2183</v>
      </c>
      <c r="B1976">
        <v>3</v>
      </c>
      <c r="C1976" t="str">
        <f t="shared" si="60"/>
        <v>EMSG:Dwelling at XXXSTRACE:XXX Terrace View Ave, Antioch, CA: XXX% Limit on Loss of Use is no longer available and has been removed. Please enter a new value.
	at gw.api.extension.PCExtensionInterfacesMapper$block_XXX_.invoke(PCExtensionInterfacesMapper.g</v>
      </c>
      <c r="D1976" s="3">
        <f t="shared" si="61"/>
        <v>1</v>
      </c>
    </row>
    <row r="1977" spans="1:4" x14ac:dyDescent="0.35">
      <c r="A1977" t="s">
        <v>2184</v>
      </c>
      <c r="B1977">
        <v>3</v>
      </c>
      <c r="C1977" t="str">
        <f t="shared" si="60"/>
        <v>EMSG:Effective ranges overlap for HomeownersModifier_HOE with BranchID XXX and with FixedID XXXSTRACE:deployment.pc.war//com.guidewire.pl.system.entity.proxy.EffDatedBeanProxy.checkForOverlaps(EffDatedBeanProxy.java:XXXSTRACERAW:-</v>
      </c>
      <c r="D1977" s="3">
        <f t="shared" si="61"/>
        <v>1</v>
      </c>
    </row>
    <row r="1978" spans="1:4" x14ac:dyDescent="0.35">
      <c r="A1978" t="s">
        <v>1169</v>
      </c>
      <c r="B1978">
        <v>3</v>
      </c>
      <c r="C1978" t="str">
        <f t="shared" si="60"/>
        <v>EMSG:Exception during Rating ExecuteIterationsMultiThreaded : java.util.concurrent.ExecutionException: java.lang.IllegalStateException: More than one element matches the given conditionSTRACE:com.farmers.rating.common.flow.iteration.impl.IterationsExecuto</v>
      </c>
      <c r="D1978" s="3">
        <f t="shared" si="61"/>
        <v>1</v>
      </c>
    </row>
    <row r="1979" spans="1:4" x14ac:dyDescent="0.35">
      <c r="A1979" t="s">
        <v>2185</v>
      </c>
      <c r="B1979">
        <v>3</v>
      </c>
      <c r="C1979" t="str">
        <f t="shared" si="60"/>
        <v>EMSG:Failed to find Driver Order Class Code for SIERRA READINGSTRACE:com.farmers.lob.pa.driverassignment.DriverAssignmentDriver.setDriverOrderData(DriverAssignmentDriver.gs:XXXSTRACERAW:-</v>
      </c>
      <c r="D1979" s="3">
        <f t="shared" si="61"/>
        <v>1</v>
      </c>
    </row>
    <row r="1980" spans="1:4" x14ac:dyDescent="0.35">
      <c r="A1980" t="s">
        <v>1133</v>
      </c>
      <c r="B1980">
        <v>3</v>
      </c>
      <c r="C1980" t="str">
        <f t="shared" si="60"/>
        <v>EMSG:For eligible contact Gary Withers credit score is null. Please make sure credit is orderedSTRACE:com.farmers.config.common.credit.CreditScoreHelper.populateRatingCreditDTO(CreditScoreHelper.gs:XXXSTRACERAW:-</v>
      </c>
      <c r="D1980" s="3">
        <f t="shared" si="61"/>
        <v>1</v>
      </c>
    </row>
    <row r="1981" spans="1:4" x14ac:dyDescent="0.35">
      <c r="A1981" t="s">
        <v>2186</v>
      </c>
      <c r="B1981">
        <v>3</v>
      </c>
      <c r="C1981" t="str">
        <f t="shared" si="60"/>
        <v>EMSG:For eligible contact Mesfin Mekonnen credit score is null. Please make sure credit is orderedSTRACE:com.farmers.config.common.credit.CreditScoreHelper.populateRatingCreditDTO(CreditScoreHelper.gs:XXXSTRACERAW:-</v>
      </c>
      <c r="D1981" s="3">
        <f t="shared" si="61"/>
        <v>1</v>
      </c>
    </row>
    <row r="1982" spans="1:4" x14ac:dyDescent="0.35">
      <c r="A1982" t="s">
        <v>2187</v>
      </c>
      <c r="B1982">
        <v>3</v>
      </c>
      <c r="C1982" t="str">
        <f t="shared" si="60"/>
        <v>EMSG:For eligible contact Sairamchandra Veerasaiva credit score is null. Please make sure credit is orderedSTRACE:com.farmers.config.common.credit.CreditScoreHelper.populateRatingCreditDTO(CreditScoreHelper.gs:XXXSTRACERAW:-</v>
      </c>
      <c r="D1982" s="3">
        <f t="shared" si="61"/>
        <v>1</v>
      </c>
    </row>
    <row r="1983" spans="1:4" x14ac:dyDescent="0.35">
      <c r="A1983" t="s">
        <v>2188</v>
      </c>
      <c r="B1983">
        <v>3</v>
      </c>
      <c r="C1983" t="str">
        <f t="shared" si="60"/>
        <v>EMSG:For eligible contact Scott Smith credit score is null. Please make sure credit is orderedSTRACE:com.farmers.config.common.credit.CreditScoreHelper.populateRatingCreditDTO(CreditScoreHelper.gs:XXXSTRACERAW:-</v>
      </c>
      <c r="D1983" s="3">
        <f t="shared" si="61"/>
        <v>1</v>
      </c>
    </row>
    <row r="1984" spans="1:4" x14ac:dyDescent="0.35">
      <c r="A1984" t="s">
        <v>2189</v>
      </c>
      <c r="B1984">
        <v>3</v>
      </c>
      <c r="C1984" t="str">
        <f t="shared" si="60"/>
        <v>EMSG:LUW Policy Change Job XXX: Enter a Carrier Name. It is required for an underlying policy.STRACE:com.farmers.integ.framework.job.automatejob.AutomatedJob.executeJob(AutomatedJob.gs:XXXSTRACERAW:-</v>
      </c>
      <c r="D1984" s="3">
        <f t="shared" si="61"/>
        <v>1</v>
      </c>
    </row>
    <row r="1985" spans="1:4" x14ac:dyDescent="0.35">
      <c r="A1985" t="s">
        <v>2190</v>
      </c>
      <c r="B1985">
        <v>3</v>
      </c>
      <c r="C1985" t="str">
        <f t="shared" si="60"/>
        <v>EMSG:LUW Policy Change Job XXX: Failed to close the connectionSTRACE:com.farmers.integ.framework.job.automatejob.AutomatedJob.executeJob(AutomatedJob.gs:XXXSTRACERAW:-</v>
      </c>
      <c r="D1985" s="3">
        <f t="shared" si="61"/>
        <v>1</v>
      </c>
    </row>
    <row r="1986" spans="1:4" ht="87" x14ac:dyDescent="0.35">
      <c r="A1986" s="4" t="s">
        <v>2191</v>
      </c>
      <c r="B1986">
        <v>3</v>
      </c>
      <c r="C1986" t="str">
        <f t="shared" ref="C1986:C2049" si="62">LEFT(A1986,255)</f>
        <v>EMSG:LUW Policy Change Job XXX: The object you are trying to update was XXXSTRACE:XXX/XXX/XXX XXX:XXX AM. Please cancel and retry your change.
LUW Policy Change Job XXX: The object you are trying to update was 'Policy:CN:017798853008467550800705XXX - CN:0</v>
      </c>
      <c r="D1986" s="3">
        <f t="shared" ref="D1986:D2049" si="63">IF(AND((B1986/10)&lt;1,(B1986/10)&gt;0),1,(B1986/10)*130%)</f>
        <v>1</v>
      </c>
    </row>
    <row r="1987" spans="1:4" ht="87" x14ac:dyDescent="0.35">
      <c r="A1987" s="4" t="s">
        <v>2192</v>
      </c>
      <c r="B1987">
        <v>3</v>
      </c>
      <c r="C1987" t="str">
        <f t="shared" si="62"/>
        <v>EMSG:LUW Policy Change Job XXX: The object you are trying to update was XXXSTRACE:XXX/XXX/XXX XXX:XXX AM. Please cancel and retry your change.
LUW Policy Change Job XXX: The object you are trying to update was 'Policy:CN:055357822107783375510636XXX - CN:0</v>
      </c>
      <c r="D1987" s="3">
        <f t="shared" si="63"/>
        <v>1</v>
      </c>
    </row>
    <row r="1988" spans="1:4" ht="87" x14ac:dyDescent="0.35">
      <c r="A1988" s="4" t="s">
        <v>2193</v>
      </c>
      <c r="B1988">
        <v>3</v>
      </c>
      <c r="C1988" t="str">
        <f t="shared" si="62"/>
        <v>EMSG:LUW Policy Change Job XXX: The object you are trying to update was XXXSTRACE:XXX/XXX/XXX XXX:XXX AM. Please cancel and retry your change.
LUW Policy Change Job XXX: The object you are trying to update was 'Policy:CN:19464780380326132277019XXX - CN:19</v>
      </c>
      <c r="D1988" s="3">
        <f t="shared" si="63"/>
        <v>1</v>
      </c>
    </row>
    <row r="1989" spans="1:4" ht="58" x14ac:dyDescent="0.35">
      <c r="A1989" s="4" t="s">
        <v>662</v>
      </c>
      <c r="B1989">
        <v>3</v>
      </c>
      <c r="C1989" t="str">
        <f t="shared" si="62"/>
        <v xml:space="preserve">EMSG:LUW Policy Change Job XXX: The object you are trying to update was XXXSTRACE:XXX/XXX/XXX XXX:XXX AM. Please cancel and retry your change.
LUW Policy Change Job XXX: The object you are trying to update was 'Policy:pc:XXX - pc:XXX', and it was changed </v>
      </c>
      <c r="D1989" s="3">
        <f t="shared" si="63"/>
        <v>1</v>
      </c>
    </row>
    <row r="1990" spans="1:4" ht="58" x14ac:dyDescent="0.35">
      <c r="A1990" s="4" t="s">
        <v>2194</v>
      </c>
      <c r="B1990">
        <v>3</v>
      </c>
      <c r="C1990" t="str">
        <f t="shared" si="62"/>
        <v>EMSG:LUW Policy Change Job XXX: The object you are trying to update was XXXSTRACE:XXX/XXX/XXX XXX:XXX AM. Please cancel and retry your change.
The object you are trying to update was 'Policy:CN:05893194510056XXX - CN:05893194510056XXX', and it was changed</v>
      </c>
      <c r="D1990" s="3">
        <f t="shared" si="63"/>
        <v>1</v>
      </c>
    </row>
    <row r="1991" spans="1:4" ht="87" x14ac:dyDescent="0.35">
      <c r="A1991" s="4" t="s">
        <v>2195</v>
      </c>
      <c r="B1991">
        <v>3</v>
      </c>
      <c r="C1991" t="str">
        <f t="shared" si="62"/>
        <v>EMSG:LUW Policy Change Job XXX: The object you are trying to update was XXXSTRACE:XXX/XXX/XXX XXX:XXX PM. Please cancel and retry your change.
LUW Policy Change Job XXX: The object you are trying to update was 'Policy:CN:018649178608131161380012XXX - CN:0</v>
      </c>
      <c r="D1991" s="3">
        <f t="shared" si="63"/>
        <v>1</v>
      </c>
    </row>
    <row r="1992" spans="1:4" ht="87" x14ac:dyDescent="0.35">
      <c r="A1992" s="4" t="s">
        <v>2196</v>
      </c>
      <c r="B1992">
        <v>3</v>
      </c>
      <c r="C1992" t="str">
        <f t="shared" si="62"/>
        <v>EMSG:LUW Policy Change Job XXX: The object you are trying to update was XXXSTRACE:XXX/XXX/XXX XXX:XXX PM. Please cancel and retry your change.
LUW Policy Change Job XXX: The object you are trying to update was 'Policy:CN:19899545360694941904019XXX - CN:19</v>
      </c>
      <c r="D1992" s="3">
        <f t="shared" si="63"/>
        <v>1</v>
      </c>
    </row>
    <row r="1993" spans="1:4" ht="43.5" x14ac:dyDescent="0.35">
      <c r="A1993" s="4" t="s">
        <v>2197</v>
      </c>
      <c r="B1993">
        <v>3</v>
      </c>
      <c r="C1993" t="str">
        <f t="shared" si="62"/>
        <v>EMSG:LUW Policy Change Job XXX: The object you are trying to update was XXXSTRACE:XXX/XXX/XXX XXX:XXX PM. Please cancel and retry your change.
The object you are trying to update was 'Policy:CN:083447842XXX - CN:083447842XXX', and it was changed by System</v>
      </c>
      <c r="D1993" s="3">
        <f t="shared" si="63"/>
        <v>1</v>
      </c>
    </row>
    <row r="1994" spans="1:4" ht="58" x14ac:dyDescent="0.35">
      <c r="A1994" s="4" t="s">
        <v>2198</v>
      </c>
      <c r="B1994">
        <v>3</v>
      </c>
      <c r="C1994" t="str">
        <f t="shared" si="62"/>
        <v>EMSG:LUW Policy Change Job XXX: The object you are trying to update was XXXSTRACE:XXX/XXX/XXX XXX:XXX PM. Please cancel and retry your change.
The object you are trying to update was 'Policy:CN:0969905962009XXX - CN:0969905962009XXX', and it was changed b</v>
      </c>
      <c r="D1994" s="3">
        <f t="shared" si="63"/>
        <v>1</v>
      </c>
    </row>
    <row r="1995" spans="1:4" ht="43.5" x14ac:dyDescent="0.35">
      <c r="A1995" s="4" t="s">
        <v>2199</v>
      </c>
      <c r="B1995">
        <v>3</v>
      </c>
      <c r="C1995" t="str">
        <f t="shared" si="62"/>
        <v xml:space="preserve">EMSG:LUW Policy Change Job XXX: The object you are trying to update was XXXSTRACE:XXX/XXX/XXX XXX:XXX PM. Please cancel and retry your change.
The object you are trying to update was 'Policy:pc:XXX - pc:XXX', and it was changed by Miguel Angel Melgoza at </v>
      </c>
      <c r="D1995" s="3">
        <f t="shared" si="63"/>
        <v>1</v>
      </c>
    </row>
    <row r="1996" spans="1:4" x14ac:dyDescent="0.35">
      <c r="A1996" t="s">
        <v>2200</v>
      </c>
      <c r="B1996">
        <v>3</v>
      </c>
      <c r="C1996" t="str">
        <f t="shared" si="62"/>
        <v>EMSG:No record for this criteria in System tableSTRACE:com.farmers.integ.common.utils.InvReportsMetadataHelper.fetchInvestigativeReportDetails(InvReportsMetadataHelper.gs:XXXSTRACERAW:-</v>
      </c>
      <c r="D1996" s="3">
        <f t="shared" si="63"/>
        <v>1</v>
      </c>
    </row>
    <row r="1997" spans="1:4" x14ac:dyDescent="0.35">
      <c r="A1997" t="s">
        <v>2201</v>
      </c>
      <c r="B1997">
        <v>3</v>
      </c>
      <c r="C1997" t="str">
        <f t="shared" si="62"/>
        <v>EMSG:One or more null constraint violations detected for ReportOrderedPerson_ExtSTRACE:deployment.pc.war//com.guidewire.pl.system.database.entitywriter.DatabaseEntityWriterImpl.checkForNullConstraintViolation(DatabaseEntityWriterImpl.java:XXXSTRACERAW:-</v>
      </c>
      <c r="D1997" s="3">
        <f t="shared" si="63"/>
        <v>1</v>
      </c>
    </row>
    <row r="1998" spans="1:4" ht="43.5" x14ac:dyDescent="0.35">
      <c r="A1998" s="4" t="s">
        <v>2202</v>
      </c>
      <c r="B1998">
        <v>3</v>
      </c>
      <c r="C1998" t="str">
        <f t="shared" si="62"/>
        <v>EMSG:PUPLine_PUE with FixedID:XXX and window XXXSTRACE:Jan XXX XXX:XXX:XXX PST XXX - Fri Jul XXX XXX:XXX:XXX PDT XXX overlaps with Sat Jan XXX XXX:XXX:XXX PST XXX - Fri Jan XXX XXX:XXX:XXX PST XXX
	at deployment.pc.war//com.guidewire.pl.system.entity.prox</v>
      </c>
      <c r="D1998" s="3">
        <f t="shared" si="63"/>
        <v>1</v>
      </c>
    </row>
    <row r="1999" spans="1:4" x14ac:dyDescent="0.35">
      <c r="A1999" t="s">
        <v>2203</v>
      </c>
      <c r="B1999">
        <v>3</v>
      </c>
      <c r="C1999" t="str">
        <f t="shared" si="62"/>
        <v>EMSG:Paul YastrabSTRACE:com.farmers.config.pa.validator.BrightlineValidator.validateQuoteBrightlineRules(BrightlineValidator.gs:XXXSTRACERAW:-</v>
      </c>
      <c r="D1999" s="3">
        <f t="shared" si="63"/>
        <v>1</v>
      </c>
    </row>
    <row r="2000" spans="1:4" x14ac:dyDescent="0.35">
      <c r="A2000" t="s">
        <v>2204</v>
      </c>
      <c r="B2000">
        <v>3</v>
      </c>
      <c r="C2000" t="str">
        <f t="shared" si="62"/>
        <v>EMSG:Remove duplicate driver Denis Nemchitskiy. Two or more non-drivers with the same information exist.STRACE:edge.capabilities.policychange.lob.personalauto.coverables.DefaultPaCoverablePlugin.updateCoverables(DefaultPaCoverablePlugin.gs:XXXSTRACERAW:-</v>
      </c>
      <c r="D2000" s="3">
        <f t="shared" si="63"/>
        <v>1</v>
      </c>
    </row>
    <row r="2001" spans="1:4" x14ac:dyDescent="0.35">
      <c r="A2001" t="s">
        <v>1033</v>
      </c>
      <c r="B2001">
        <v>3</v>
      </c>
      <c r="C2001" t="str">
        <f t="shared" si="62"/>
        <v>EMSG:Richard MartinSTRACE:com.farmers.config.pa.validator.BrightlineValidator.validateQuoteBrightlineRules(BrightlineValidator.gs:XXXSTRACERAW:-</v>
      </c>
      <c r="D2001" s="3">
        <f t="shared" si="63"/>
        <v>1</v>
      </c>
    </row>
    <row r="2002" spans="1:4" x14ac:dyDescent="0.35">
      <c r="A2002" t="s">
        <v>1034</v>
      </c>
      <c r="B2002">
        <v>3</v>
      </c>
      <c r="C2002" t="str">
        <f t="shared" si="62"/>
        <v>EMSG:Richard MartinSTRACE:gw.job.QuoteProcess.requestQuote(QuoteProcess.gs:XXXSTRACERAW:-</v>
      </c>
      <c r="D2002" s="3">
        <f t="shared" si="63"/>
        <v>1</v>
      </c>
    </row>
    <row r="2003" spans="1:4" ht="43.5" x14ac:dyDescent="0.35">
      <c r="A2003" s="4" t="s">
        <v>2205</v>
      </c>
      <c r="B2003">
        <v>3</v>
      </c>
      <c r="C2003" t="str">
        <f t="shared" si="62"/>
        <v>EMSG:Select XXX as the Primary Driver on at least one vehicle. Since the number of vehicles is greater than the number of driversSTRACE:Syed as the Primary Driver on at least one vehicle. Since the number of vehicles is greater than the number of drivers,</v>
      </c>
      <c r="D2003" s="3">
        <f t="shared" si="63"/>
        <v>1</v>
      </c>
    </row>
    <row r="2004" spans="1:4" ht="58" x14ac:dyDescent="0.35">
      <c r="A2004" s="4" t="s">
        <v>2206</v>
      </c>
      <c r="B2004">
        <v>3</v>
      </c>
      <c r="C2004"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04" s="3">
        <f t="shared" si="63"/>
        <v>1</v>
      </c>
    </row>
    <row r="2005" spans="1:4" ht="58" x14ac:dyDescent="0.35">
      <c r="A2005" s="4" t="s">
        <v>2207</v>
      </c>
      <c r="B2005">
        <v>3</v>
      </c>
      <c r="C2005"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05" s="3">
        <f t="shared" si="63"/>
        <v>1</v>
      </c>
    </row>
    <row r="2006" spans="1:4" ht="72.5" x14ac:dyDescent="0.35">
      <c r="A2006" s="4" t="s">
        <v>2208</v>
      </c>
      <c r="B2006">
        <v>3</v>
      </c>
      <c r="C2006"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06" s="3">
        <f t="shared" si="63"/>
        <v>1</v>
      </c>
    </row>
    <row r="2007" spans="1:4" ht="72.5" x14ac:dyDescent="0.35">
      <c r="A2007" s="4" t="s">
        <v>2209</v>
      </c>
      <c r="B2007">
        <v>3</v>
      </c>
      <c r="C2007"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07" s="3">
        <f t="shared" si="63"/>
        <v>1</v>
      </c>
    </row>
    <row r="2008" spans="1:4" ht="87" x14ac:dyDescent="0.35">
      <c r="A2008" s="4" t="s">
        <v>2210</v>
      </c>
      <c r="B2008">
        <v>3</v>
      </c>
      <c r="C2008"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08" s="3">
        <f t="shared" si="63"/>
        <v>1</v>
      </c>
    </row>
    <row r="2009" spans="1:4" ht="58" x14ac:dyDescent="0.35">
      <c r="A2009" s="4" t="s">
        <v>2211</v>
      </c>
      <c r="B2009">
        <v>3</v>
      </c>
      <c r="C2009"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09" s="3">
        <f t="shared" si="63"/>
        <v>1</v>
      </c>
    </row>
    <row r="2010" spans="1:4" ht="58" x14ac:dyDescent="0.35">
      <c r="A2010" s="4" t="s">
        <v>2212</v>
      </c>
      <c r="B2010">
        <v>3</v>
      </c>
      <c r="C2010"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0" s="3">
        <f t="shared" si="63"/>
        <v>1</v>
      </c>
    </row>
    <row r="2011" spans="1:4" ht="58" x14ac:dyDescent="0.35">
      <c r="A2011" s="4" t="s">
        <v>2213</v>
      </c>
      <c r="B2011">
        <v>3</v>
      </c>
      <c r="C2011"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1" s="3">
        <f t="shared" si="63"/>
        <v>1</v>
      </c>
    </row>
    <row r="2012" spans="1:4" ht="101.5" x14ac:dyDescent="0.35">
      <c r="A2012" s="4" t="s">
        <v>2214</v>
      </c>
      <c r="B2012">
        <v>3</v>
      </c>
      <c r="C2012"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2" s="3">
        <f t="shared" si="63"/>
        <v>1</v>
      </c>
    </row>
    <row r="2013" spans="1:4" ht="87" x14ac:dyDescent="0.35">
      <c r="A2013" s="4" t="s">
        <v>2215</v>
      </c>
      <c r="B2013">
        <v>3</v>
      </c>
      <c r="C2013"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3" s="3">
        <f t="shared" si="63"/>
        <v>1</v>
      </c>
    </row>
    <row r="2014" spans="1:4" ht="72.5" x14ac:dyDescent="0.35">
      <c r="A2014" s="4" t="s">
        <v>2216</v>
      </c>
      <c r="B2014">
        <v>3</v>
      </c>
      <c r="C2014"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4" s="3">
        <f t="shared" si="63"/>
        <v>1</v>
      </c>
    </row>
    <row r="2015" spans="1:4" ht="72.5" x14ac:dyDescent="0.35">
      <c r="A2015" s="4" t="s">
        <v>2217</v>
      </c>
      <c r="B2015">
        <v>3</v>
      </c>
      <c r="C2015"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5" s="3">
        <f t="shared" si="63"/>
        <v>1</v>
      </c>
    </row>
    <row r="2016" spans="1:4" ht="72.5" x14ac:dyDescent="0.35">
      <c r="A2016" s="4" t="s">
        <v>2218</v>
      </c>
      <c r="B2016">
        <v>3</v>
      </c>
      <c r="C2016"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6" s="3">
        <f t="shared" si="63"/>
        <v>1</v>
      </c>
    </row>
    <row r="2017" spans="1:4" ht="72.5" x14ac:dyDescent="0.35">
      <c r="A2017" s="4" t="s">
        <v>2219</v>
      </c>
      <c r="B2017">
        <v>3</v>
      </c>
      <c r="C2017"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7" s="3">
        <f t="shared" si="63"/>
        <v>1</v>
      </c>
    </row>
    <row r="2018" spans="1:4" ht="58" x14ac:dyDescent="0.35">
      <c r="A2018" s="4" t="s">
        <v>2220</v>
      </c>
      <c r="B2018">
        <v>3</v>
      </c>
      <c r="C2018"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8" s="3">
        <f t="shared" si="63"/>
        <v>1</v>
      </c>
    </row>
    <row r="2019" spans="1:4" ht="72.5" x14ac:dyDescent="0.35">
      <c r="A2019" s="4" t="s">
        <v>2221</v>
      </c>
      <c r="B2019">
        <v>3</v>
      </c>
      <c r="C2019"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19" s="3">
        <f t="shared" si="63"/>
        <v>1</v>
      </c>
    </row>
    <row r="2020" spans="1:4" ht="72.5" x14ac:dyDescent="0.35">
      <c r="A2020" s="4" t="s">
        <v>2222</v>
      </c>
      <c r="B2020">
        <v>3</v>
      </c>
      <c r="C2020"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20" s="3">
        <f t="shared" si="63"/>
        <v>1</v>
      </c>
    </row>
    <row r="2021" spans="1:4" ht="72.5" x14ac:dyDescent="0.35">
      <c r="A2021" s="4" t="s">
        <v>2223</v>
      </c>
      <c r="B2021">
        <v>3</v>
      </c>
      <c r="C2021"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21" s="3">
        <f t="shared" si="63"/>
        <v>1</v>
      </c>
    </row>
    <row r="2022" spans="1:4" ht="72.5" x14ac:dyDescent="0.35">
      <c r="A2022" s="4" t="s">
        <v>2224</v>
      </c>
      <c r="B2022">
        <v>3</v>
      </c>
      <c r="C2022"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22" s="3">
        <f t="shared" si="63"/>
        <v>1</v>
      </c>
    </row>
    <row r="2023" spans="1:4" ht="72.5" x14ac:dyDescent="0.35">
      <c r="A2023" s="4" t="s">
        <v>2225</v>
      </c>
      <c r="B2023">
        <v>3</v>
      </c>
      <c r="C2023" t="str">
        <f t="shared" si="62"/>
        <v>EMSG:Select XXX as the Primary Driver on at least one vehicle. Since the number of vehicles is greater than the number of driversSTRACE:least one vehicle. Since the number of vehicles is greater than the number of drivers, each driver must be a Primary Dr</v>
      </c>
      <c r="D2023" s="3">
        <f t="shared" si="63"/>
        <v>1</v>
      </c>
    </row>
    <row r="2024" spans="1:4" x14ac:dyDescent="0.35">
      <c r="A2024" t="s">
        <v>2226</v>
      </c>
      <c r="B2024">
        <v>3</v>
      </c>
      <c r="C2024" t="str">
        <f t="shared" si="62"/>
        <v>EMSG:Stacey EinertsonSTRACE:com.farmers.config.pa.validator.BrightlineValidator.validateQuoteBrightlineRules(BrightlineValidator.gs:XXXSTRACERAW:-</v>
      </c>
      <c r="D2024" s="3">
        <f t="shared" si="63"/>
        <v>1</v>
      </c>
    </row>
    <row r="2025" spans="1:4" x14ac:dyDescent="0.35">
      <c r="A2025" t="s">
        <v>2227</v>
      </c>
      <c r="B2025">
        <v>3</v>
      </c>
      <c r="C2025" t="str">
        <f t="shared" si="62"/>
        <v>EMSG:The value "MASON &amp; ROYA PARI XXX TRUST DATED MARC MASON &amp; ROYA PARISTRACE:deployment.pc.war//gw.datatype.impl.StringConstraintsHandlerBase.validateStringLength(StringConstraintsHandlerBase.java:XXXSTRACERAW:-</v>
      </c>
      <c r="D2025" s="3">
        <f t="shared" si="63"/>
        <v>1</v>
      </c>
    </row>
    <row r="2026" spans="1:4" x14ac:dyDescent="0.35">
      <c r="A2026" t="s">
        <v>2228</v>
      </c>
      <c r="B2026">
        <v>3</v>
      </c>
      <c r="C2026" t="str">
        <f t="shared" si="62"/>
        <v>EMSG:The value "TIM PHILLIPSSTRACE:deployment.pc.war//gw.datatype.impl.StringConstraintsHandlerBase.validateStringLength(StringConstraintsHandlerBase.java:XXXSTRACERAW:-</v>
      </c>
      <c r="D2026" s="3">
        <f t="shared" si="63"/>
        <v>1</v>
      </c>
    </row>
    <row r="2027" spans="1:4" x14ac:dyDescent="0.35">
      <c r="A2027" t="s">
        <v>1067</v>
      </c>
      <c r="B2027">
        <v>3</v>
      </c>
      <c r="C2027" t="str">
        <f t="shared" si="62"/>
        <v xml:space="preserve">EMSG:Unable to determine chargeability for loss.  Please ensure correctness of chargeability table 'ho_chargeability' EligibleForChargeability: true OriginalLossPeril: WNH ChargeabilityLossPeril: WNH FarmersLossInd: true MatchCode: IL ActuallyChargeable: </v>
      </c>
      <c r="D2027" s="3">
        <f t="shared" si="63"/>
        <v>1</v>
      </c>
    </row>
    <row r="2028" spans="1:4" ht="29" x14ac:dyDescent="0.35">
      <c r="A2028" s="4" t="s">
        <v>1003</v>
      </c>
      <c r="B2028">
        <v>3</v>
      </c>
      <c r="C2028" t="str">
        <f t="shared" si="62"/>
        <v>EMSG:Unacceptable Risk. Unable to complete the quote. The  property is located in a county that is not eligible for coverage.STRACE:is not eligible for coverage.
	at gw.lob.ho.HODwellingValidation_HOE.validateIneligibleCounty(HODwellingValidation_HOE.gs:X</v>
      </c>
      <c r="D2028" s="3">
        <f t="shared" si="63"/>
        <v>1</v>
      </c>
    </row>
    <row r="2029" spans="1:4" ht="43.5" x14ac:dyDescent="0.35">
      <c r="A2029" s="4" t="s">
        <v>2229</v>
      </c>
      <c r="B2029">
        <v>3</v>
      </c>
      <c r="C2029" t="str">
        <f t="shared" si="62"/>
        <v>EMSG:Update the Primary Driver selection for XXXSTRACE:Nayak. Since the number of drivers is equal to or greater than the number of vehicles, a driver can only be selected as Primary Driver for one vehicle.
	at com.farmers.lob.pa.driverassignment.DriverAs</v>
      </c>
      <c r="D2029" s="3">
        <f t="shared" si="63"/>
        <v>1</v>
      </c>
    </row>
    <row r="2030" spans="1:4" x14ac:dyDescent="0.35">
      <c r="A2030" t="s">
        <v>2230</v>
      </c>
      <c r="B2030">
        <v>3</v>
      </c>
      <c r="C2030" t="str">
        <f t="shared" si="62"/>
        <v>EMSG:XXX FORD TRUCK ESCAPE HYBRID XXXD XXXWD PLATINUM in Colorado: Coverage is on Comprehensive is now available and its value must be verified by the user.; XXX FORD TRUCK ESCAPE HYBRID XXXD XXXWD PLATINUM in Colorado: Coverage is on Collision is now ava</v>
      </c>
      <c r="D2030" s="3">
        <f t="shared" si="63"/>
        <v>1</v>
      </c>
    </row>
    <row r="2031" spans="1:4" x14ac:dyDescent="0.35">
      <c r="A2031" t="s">
        <v>2231</v>
      </c>
      <c r="B2031">
        <v>3</v>
      </c>
      <c r="C2031" t="str">
        <f t="shared" si="62"/>
        <v>EMSG:XXX JEEP GRAND CHEROKEE XXXD XXXXXXX OVERLAND in Colorado: Coverage is on Comprehensive is now available and its value must be verified by the user.; XXX JEEP GRAND CHEROKEE XXXD XXXXXXX OVERLAND in Colorado: Coverage is on Collision is now available</v>
      </c>
      <c r="D2031" s="3">
        <f t="shared" si="63"/>
        <v>1</v>
      </c>
    </row>
    <row r="2032" spans="1:4" x14ac:dyDescent="0.35">
      <c r="A2032" t="s">
        <v>470</v>
      </c>
      <c r="B2032">
        <v>3</v>
      </c>
      <c r="C2032" t="str">
        <f t="shared" si="62"/>
        <v>EMSG:XXX has already granted access to XXXSTRACE:com.farmers.edge.capabilities.communitymodel.checkgrantaccess.processor.CheckGrantAccessProcessor.processGrantAccess(CheckGrantAccessProcessor.gs:XXXSTRACERAW:-</v>
      </c>
      <c r="D2032" s="3">
        <f t="shared" si="63"/>
        <v>1</v>
      </c>
    </row>
    <row r="2033" spans="1:4" ht="43.5" x14ac:dyDescent="0.35">
      <c r="A2033" s="4" t="s">
        <v>2232</v>
      </c>
      <c r="B2033">
        <v>3</v>
      </c>
      <c r="C2033" t="str">
        <f t="shared" si="62"/>
        <v>EMSG:XXX has exceeded the accident and/or violation threshold for eligibility in this program.STRACE:Prieto has exceeded the accident and/or violation threshold for eligibility in this program.
	at gw.job.QuoteProcess.requestQuote(QuoteProcess.gs:XXXSTRAC</v>
      </c>
      <c r="D2033" s="3">
        <f t="shared" si="63"/>
        <v>1</v>
      </c>
    </row>
    <row r="2034" spans="1:4" x14ac:dyDescent="0.35">
      <c r="A2034" t="s">
        <v>936</v>
      </c>
      <c r="B2034">
        <v>3</v>
      </c>
      <c r="C2034" t="str">
        <f t="shared" si="62"/>
        <v>EMSG:com.guidewire.pl.system.exception.DBException: Failed to execute a querySTRACE:com.farmers.integ.documentmgmt.ondemand.autoformgeneration.transformer.AutoOnDemandFormGenRequestTransformer.transform(AutoOnDemandFormGenRequestTransformer.gs:XXXSTRACERA</v>
      </c>
      <c r="D2034" s="3">
        <f t="shared" si="63"/>
        <v>1</v>
      </c>
    </row>
    <row r="2035" spans="1:4" x14ac:dyDescent="0.35">
      <c r="A2035" t="s">
        <v>1206</v>
      </c>
      <c r="B2035">
        <v>3</v>
      </c>
      <c r="C2035" t="str">
        <f t="shared" si="62"/>
        <v>EMSG:com.guidewire.pl.system.exception.TransactionException: Transaction aborted by exception:Failed to execute a querySTRACE:deployment.pc.war//com.guidewire.pl.system.database.sequence.SequenceGenerator.incrementSequence(SequenceGenerator.java:XXXSTRACE</v>
      </c>
      <c r="D2035" s="3">
        <f t="shared" si="63"/>
        <v>1</v>
      </c>
    </row>
    <row r="2036" spans="1:4" x14ac:dyDescent="0.35">
      <c r="A2036" t="s">
        <v>2233</v>
      </c>
      <c r="B2036">
        <v>3</v>
      </c>
      <c r="C2036" t="str">
        <f t="shared" si="62"/>
        <v>EMSG:com.guidewire.pl.system.exception.TransactionException: Transaction aborted by exception:Failed to execute an updateSTRACE:deployment.pc.war//com.guidewire.pl.system.database.sequence.SequenceGenerator.incrementSequence(SequenceGenerator.java:XXXSTRA</v>
      </c>
      <c r="D2036" s="3">
        <f t="shared" si="63"/>
        <v>1</v>
      </c>
    </row>
    <row r="2037" spans="1:4" x14ac:dyDescent="0.35">
      <c r="A2037" t="s">
        <v>1039</v>
      </c>
      <c r="B2037">
        <v>3</v>
      </c>
      <c r="C2037" t="str">
        <f t="shared" si="62"/>
        <v>EMSG:java.lang.reflect.UndeclaredThrowableExceptionSTRACE:com.farmers.integ.documentmgmt.ondemand.autoformgeneration.transformer.AutoOnDemandFormGenRequestTransformer.transform(AutoOnDemandFormGenRequestTransformer.gs:XXXSTRACERAW:-</v>
      </c>
      <c r="D2037" s="3">
        <f t="shared" si="63"/>
        <v>1</v>
      </c>
    </row>
    <row r="2038" spans="1:4" ht="43.5" x14ac:dyDescent="0.35">
      <c r="A2038" s="4" t="s">
        <v>2234</v>
      </c>
      <c r="B2038">
        <v>2</v>
      </c>
      <c r="C2038" t="str">
        <f t="shared" si="62"/>
        <v>EMSG:'Unable to parse XML from xml string using schemas [com.farmers.integ.householding.mdm.retrieveecn.xsd.mdmnotification_vXXX] and schema root com.farmers.integ.householding.mdm.retrieveecn.xsd.mdmnotification_vXXX.MDMPublish at line XXX column XXX'STR</v>
      </c>
      <c r="D2038" s="3">
        <f t="shared" si="63"/>
        <v>1</v>
      </c>
    </row>
    <row r="2039" spans="1:4" x14ac:dyDescent="0.35">
      <c r="A2039" t="s">
        <v>689</v>
      </c>
      <c r="B2039">
        <v>2</v>
      </c>
      <c r="C2039" t="str">
        <f t="shared" si="62"/>
        <v>EMSG:, AOR=XXXSTRACE:com.farmers.contingencies.batch.api.ContingencyPositiveActionUpdateJob.updateDriverDistantStudentValidationCode(ContingencyPositiveActionUpdateJob.gs:XXXSTRACERAW:-</v>
      </c>
      <c r="D2039" s="3">
        <f t="shared" si="63"/>
        <v>1</v>
      </c>
    </row>
    <row r="2040" spans="1:4" x14ac:dyDescent="0.35">
      <c r="A2040" t="s">
        <v>2235</v>
      </c>
      <c r="B2040">
        <v>2</v>
      </c>
      <c r="C2040" t="str">
        <f t="shared" si="62"/>
        <v>EMSG:, AOR=XXXSTRACE:com.farmers.integ.framework.job.automatejob.policyrewrite.AutomatedPolicyRewriteJobAPI.finishJob(AutomatedPolicyRewriteJobAPI.gs:XXXSTRACERAW:-</v>
      </c>
      <c r="D2040" s="3">
        <f t="shared" si="63"/>
        <v>1</v>
      </c>
    </row>
    <row r="2041" spans="1:4" x14ac:dyDescent="0.35">
      <c r="A2041" t="s">
        <v>2236</v>
      </c>
      <c r="B2041">
        <v>2</v>
      </c>
      <c r="C2041" t="str">
        <f t="shared" si="62"/>
        <v>EMSG:, AOR=XXXSTRACE:com.farmers.integ.fwsConversion.prefill.ResponseToMapHOInboundCoverages.fortifiedRoofUpgradeALCheck(ResponseToMapHOInboundCoverages.gs:XXXSTRACERAW:-</v>
      </c>
      <c r="D2041" s="3">
        <f t="shared" si="63"/>
        <v>1</v>
      </c>
    </row>
    <row r="2042" spans="1:4" x14ac:dyDescent="0.35">
      <c r="A2042" t="s">
        <v>473</v>
      </c>
      <c r="B2042">
        <v>2</v>
      </c>
      <c r="C2042" t="str">
        <f t="shared" si="62"/>
        <v>EMSG:, AOR=XXXSTRACE:gw.lob.common.PolicyInfoValidation$block_XXX_.invoke(PolicyInfoValidation.gs:XXXSTRACERAW:-</v>
      </c>
      <c r="D2042" s="3">
        <f t="shared" si="63"/>
        <v>1</v>
      </c>
    </row>
    <row r="2043" spans="1:4" x14ac:dyDescent="0.35">
      <c r="A2043" t="s">
        <v>2237</v>
      </c>
      <c r="B2043">
        <v>2</v>
      </c>
      <c r="C2043" t="str">
        <f t="shared" si="62"/>
        <v>EMSG:-STRACE:-STRACERAW:Apr XXX XXX:XXX:XXX PDT XXX (attempted merging values XXX BMW XXXX PHEV XXXD XXXWD XDRIVE XXXE in Illinois and XXX BMW XXXX PHEV XXXD XXXWD XDRIVE XXXE in Illinois</v>
      </c>
      <c r="D2043" s="3">
        <f t="shared" si="63"/>
        <v>1</v>
      </c>
    </row>
    <row r="2044" spans="1:4" x14ac:dyDescent="0.35">
      <c r="A2044" t="s">
        <v>2238</v>
      </c>
      <c r="B2044">
        <v>2</v>
      </c>
      <c r="C2044" t="str">
        <f t="shared" si="62"/>
        <v>EMSG:-STRACE:-STRACERAW:XXX Adobe Ave, Palmdale, CA and Dwelling at XXX Adobe Ave, Palmdale, CA</v>
      </c>
      <c r="D2044" s="3">
        <f t="shared" si="63"/>
        <v>1</v>
      </c>
    </row>
    <row r="2045" spans="1:4" x14ac:dyDescent="0.35">
      <c r="A2045" t="s">
        <v>1046</v>
      </c>
      <c r="B2045">
        <v>2</v>
      </c>
      <c r="C2045" t="str">
        <f t="shared" si="62"/>
        <v>EMSG:-STRACE:-STRACERAW:com.farmers.config.common.credit.ho.HOCreditScoreProcess.invokeService(HOCreditScoreProcess.gs:XXX</v>
      </c>
      <c r="D2045" s="3">
        <f t="shared" si="63"/>
        <v>1</v>
      </c>
    </row>
    <row r="2046" spans="1:4" x14ac:dyDescent="0.35">
      <c r="A2046" t="s">
        <v>2239</v>
      </c>
      <c r="B2046">
        <v>2</v>
      </c>
      <c r="C2046" t="str">
        <f t="shared" si="62"/>
        <v>EMSG:-STRACE:-STRACERAW:gw.api.webservice.exception.LoginException.FailedLoginException(LoginException.java:XXX</v>
      </c>
      <c r="D2046" s="3">
        <f t="shared" si="63"/>
        <v>1</v>
      </c>
    </row>
    <row r="2047" spans="1:4" x14ac:dyDescent="0.35">
      <c r="A2047" t="s">
        <v>1159</v>
      </c>
      <c r="B2047">
        <v>2</v>
      </c>
      <c r="C2047" t="str">
        <f t="shared" si="62"/>
        <v>EMSG:-STRACE:-STRACERAW:gw.plugin.email.impl.JavaxEmailMessageTransport.addAttachments(JavaxEmailMessageTransport.gs:XXX</v>
      </c>
      <c r="D2047" s="3">
        <f t="shared" si="63"/>
        <v>1</v>
      </c>
    </row>
    <row r="2048" spans="1:4" x14ac:dyDescent="0.35">
      <c r="A2048" t="s">
        <v>2240</v>
      </c>
      <c r="B2048">
        <v>2</v>
      </c>
      <c r="C2048" t="str">
        <f t="shared" si="62"/>
        <v>EMSG:-STRACE:-STRACERAW:gw.web.job.HandlePreemptionPopupUIHelper.getPreemptionsLabelList(HandlePreemptionPopupUIHelper.gs:XXX</v>
      </c>
      <c r="D2048" s="3">
        <f t="shared" si="63"/>
        <v>1</v>
      </c>
    </row>
    <row r="2049" spans="1:4" x14ac:dyDescent="0.35">
      <c r="A2049" t="s">
        <v>921</v>
      </c>
      <c r="B2049">
        <v>2</v>
      </c>
      <c r="C2049" t="str">
        <f t="shared" si="62"/>
        <v>EMSG:-STRACE:-STRACERAW:java.lang.String.repeat(String.java:XXX</v>
      </c>
      <c r="D2049" s="3">
        <f t="shared" si="63"/>
        <v>1</v>
      </c>
    </row>
    <row r="2050" spans="1:4" x14ac:dyDescent="0.35">
      <c r="A2050" t="s">
        <v>2241</v>
      </c>
      <c r="B2050">
        <v>2</v>
      </c>
      <c r="C2050" t="str">
        <f t="shared" ref="C2050:C2113" si="64">LEFT(A2050,255)</f>
        <v>EMSG:-STRACE:-STRACERAW:pcfc.expressions.AccountFile_Locations_PolicyTermsLVExpressions$IteratorEntryExpressionsImpl.value_XXX(AccountFile_Locations_PolicyTermsLVExpressions.gs:XXX</v>
      </c>
      <c r="D2050" s="3">
        <f t="shared" ref="D2050:D2113" si="65">IF(AND((B2050/10)&lt;1,(B2050/10)&gt;0),1,(B2050/10)*130%)</f>
        <v>1</v>
      </c>
    </row>
    <row r="2051" spans="1:4" x14ac:dyDescent="0.35">
      <c r="A2051" t="s">
        <v>2242</v>
      </c>
      <c r="B2051">
        <v>2</v>
      </c>
      <c r="C2051" t="str">
        <f t="shared" si="64"/>
        <v>EMSG:-STRACE:-STRACERAW:pcfc.expressions.AccountFile_Summary_Pending_PlcyTrans_ExtCVExpressions$IteratorEntryExpressionsImpl.initializeVariables_XXX(AccountFile_Summary_Pending_PlcyTrans_ExtCVExpressions.gs:XXX</v>
      </c>
      <c r="D2051" s="3">
        <f t="shared" si="65"/>
        <v>1</v>
      </c>
    </row>
    <row r="2052" spans="1:4" x14ac:dyDescent="0.35">
      <c r="A2052" t="s">
        <v>816</v>
      </c>
      <c r="B2052">
        <v>2</v>
      </c>
      <c r="C2052" t="str">
        <f t="shared" si="64"/>
        <v>EMSG:-STRACE:-STRACERAW:pcfc.expressions.SubmissionWizard_PolicyInfoScreenExpressions$SubmissionWizard_PolicyInfoScreenExpressionsImpl.visible_XXX(SubmissionWizard_PolicyInfoScreenExpressions.gs:XXX</v>
      </c>
      <c r="D2052" s="3">
        <f t="shared" si="65"/>
        <v>1</v>
      </c>
    </row>
    <row r="2053" spans="1:4" x14ac:dyDescent="0.35">
      <c r="A2053" t="s">
        <v>2243</v>
      </c>
      <c r="B2053">
        <v>2</v>
      </c>
      <c r="C2053" t="str">
        <f t="shared" si="64"/>
        <v>EMSG:-STRACE:-STRACERAW:program_.__Program__XXX.processRecord(Unknown Source</v>
      </c>
      <c r="D2053" s="3">
        <f t="shared" si="65"/>
        <v>1</v>
      </c>
    </row>
    <row r="2054" spans="1:4" x14ac:dyDescent="0.35">
      <c r="A2054" t="s">
        <v>2244</v>
      </c>
      <c r="B2054">
        <v>2</v>
      </c>
      <c r="C2054" t="str">
        <f t="shared" si="64"/>
        <v>EMSG:-STRACE:com.farmers.config.common.mdm.MDMProcess.saveHODiscountsMDM(MDMProcess.gs:XXXSTRACERAW:-</v>
      </c>
      <c r="D2054" s="3">
        <f t="shared" si="65"/>
        <v>1</v>
      </c>
    </row>
    <row r="2055" spans="1:4" x14ac:dyDescent="0.35">
      <c r="A2055" t="s">
        <v>672</v>
      </c>
      <c r="B2055">
        <v>2</v>
      </c>
      <c r="C2055" t="str">
        <f t="shared" si="64"/>
        <v>EMSG:-STRACE:com.farmers.edge.capabilities.policy.lob.personalauto.eligibility.plugins.PAEligibilityServicePlugin.checkCustomerPolicyChangeEligibility(PAEligibilityServicePlugin.gs:XXXSTRACERAW:-</v>
      </c>
      <c r="D2055" s="3">
        <f t="shared" si="65"/>
        <v>1</v>
      </c>
    </row>
    <row r="2056" spans="1:4" x14ac:dyDescent="0.35">
      <c r="A2056" t="s">
        <v>2245</v>
      </c>
      <c r="B2056">
        <v>2</v>
      </c>
      <c r="C2056" t="str">
        <f t="shared" si="64"/>
        <v>EMSG:-STRACE:com.farmers.integ.productrewrite.pctopc.AutoPoliciesProcessor$block_XXX_.invoke(AutoPoliciesProcessor.gs:XXXSTRACERAW:-</v>
      </c>
      <c r="D2056" s="3">
        <f t="shared" si="65"/>
        <v>1</v>
      </c>
    </row>
    <row r="2057" spans="1:4" x14ac:dyDescent="0.35">
      <c r="A2057" t="s">
        <v>2246</v>
      </c>
      <c r="B2057">
        <v>2</v>
      </c>
      <c r="C2057" t="str">
        <f t="shared" si="64"/>
        <v>EMSG:-STRACE:com.farmers.integ.security.community.ace.agent.profile.processor.updator.StaleProducerCodeStaffUserUpdateProcessor.update(StaleProducerCodeStaffUserUpdateProcessor.gs:XXXSTRACERAW:-</v>
      </c>
      <c r="D2057" s="3">
        <f t="shared" si="65"/>
        <v>1</v>
      </c>
    </row>
    <row r="2058" spans="1:4" x14ac:dyDescent="0.35">
      <c r="A2058" t="s">
        <v>2247</v>
      </c>
      <c r="B2058">
        <v>2</v>
      </c>
      <c r="C2058" t="str">
        <f t="shared" si="64"/>
        <v>EMSG:-STRACE:java.base/java.lang.String._dt_replace(String.javaSTRACERAW:-</v>
      </c>
      <c r="D2058" s="3">
        <f t="shared" si="65"/>
        <v>1</v>
      </c>
    </row>
    <row r="2059" spans="1:4" ht="29" x14ac:dyDescent="0.35">
      <c r="A2059" s="4" t="s">
        <v>785</v>
      </c>
      <c r="B2059">
        <v>2</v>
      </c>
      <c r="C2059" t="str">
        <f t="shared" si="64"/>
        <v>EMSG:-STRACE:or over $XXX,XXX MSRP. Please remove the vehicle to continue.
	at edge.capabilities.quote.submission.quoting.util.SubmissionUnderwritingIssuesUtil.checkSideBySideProcessExceptions(SubmissionUnderwritingIssuesUtil.gs:XXXSTRACERAW:-</v>
      </c>
      <c r="D2059" s="3">
        <f t="shared" si="65"/>
        <v>1</v>
      </c>
    </row>
    <row r="2060" spans="1:4" ht="29" x14ac:dyDescent="0.35">
      <c r="A2060" s="4" t="s">
        <v>2248</v>
      </c>
      <c r="B2060">
        <v>2</v>
      </c>
      <c r="C2060" t="str">
        <f t="shared" si="64"/>
        <v>EMSG:A report shows that the XXXSTRACE:the  XXX ACURA RDX XXXD XXXWD has been flagged as having Vehicle History activity.
	at edge.capabilities.quote.submission.quoting.util.SubmissionUnderwritingIssuesUtil.checkSideBySideProcessExceptions(SubmissionUnder</v>
      </c>
      <c r="D2060" s="3">
        <f t="shared" si="65"/>
        <v>1</v>
      </c>
    </row>
    <row r="2061" spans="1:4" ht="29" x14ac:dyDescent="0.35">
      <c r="A2061" s="4" t="s">
        <v>2249</v>
      </c>
      <c r="B2061">
        <v>2</v>
      </c>
      <c r="C2061" t="str">
        <f t="shared" si="64"/>
        <v>EMSG:A report shows that the XXXSTRACE:the  XXX AUDI SXXX QUATTRO XXXD   XXX.XXXT PRESTIGE has been flagged as having Vehicle History activity.
	at edge.capabilities.quote.submission.quoting.util.SubmissionUnderwritingIssuesUtil.checkSideBySideProcessExce</v>
      </c>
      <c r="D2061" s="3">
        <f t="shared" si="65"/>
        <v>1</v>
      </c>
    </row>
    <row r="2062" spans="1:4" ht="29" x14ac:dyDescent="0.35">
      <c r="A2062" s="4" t="s">
        <v>2250</v>
      </c>
      <c r="B2062">
        <v>2</v>
      </c>
      <c r="C2062" t="str">
        <f t="shared" si="64"/>
        <v>EMSG:A report shows that the XXXSTRACE:the  XXX BMW MXXX XXXD has been flagged as having Vehicle History activity.
	at edge.capabilities.quote.submission.quoting.util.SubmissionUnderwritingIssuesUtil.checkSideBySideProcessExceptions(SubmissionUnderwriting</v>
      </c>
      <c r="D2062" s="3">
        <f t="shared" si="65"/>
        <v>1</v>
      </c>
    </row>
    <row r="2063" spans="1:4" ht="29" x14ac:dyDescent="0.35">
      <c r="A2063" s="4" t="s">
        <v>2251</v>
      </c>
      <c r="B2063">
        <v>2</v>
      </c>
      <c r="C2063" t="str">
        <f t="shared" si="64"/>
        <v>EMSG:A report shows that the XXXSTRACE:the  XXX CHEVROLET CORVETTE XXXDOOR, XXX TOYOTA PRIUS PLUG IN HYBRID XXXD has been flagged as having Vehicle History activity.
	at edge.capabilities.quote.submission.quoting.util.SubmissionUnderwritingIssuesUtil.chec</v>
      </c>
      <c r="D2063" s="3">
        <f t="shared" si="65"/>
        <v>1</v>
      </c>
    </row>
    <row r="2064" spans="1:4" ht="29" x14ac:dyDescent="0.35">
      <c r="A2064" s="4" t="s">
        <v>1055</v>
      </c>
      <c r="B2064">
        <v>2</v>
      </c>
      <c r="C2064" t="str">
        <f t="shared" si="64"/>
        <v>EMSG:A report shows that the XXXSTRACE:the  XXX CHEVROLET TRUCK EQUINOX XXXD XXXWD XXXLT has been flagged as having Vehicle History activity.
	at edge.capabilities.quote.submission.quoting.util.SubmissionUnderwritingIssuesUtil.checkSideBySideProcessExcept</v>
      </c>
      <c r="D2064" s="3">
        <f t="shared" si="65"/>
        <v>1</v>
      </c>
    </row>
    <row r="2065" spans="1:4" ht="29" x14ac:dyDescent="0.35">
      <c r="A2065" s="4" t="s">
        <v>2252</v>
      </c>
      <c r="B2065">
        <v>2</v>
      </c>
      <c r="C2065" t="str">
        <f t="shared" si="64"/>
        <v>EMSG:A report shows that the XXXSTRACE:the  XXX DODGE TRUCK DURANGO XXXD XXXXXXX SLT has been flagged as having Vehicle History activity.
	at edge.capabilities.quote.submission.quoting.util.SubmissionUnderwritingIssuesUtil.checkSideBySideProcessExceptions</v>
      </c>
      <c r="D2065" s="3">
        <f t="shared" si="65"/>
        <v>1</v>
      </c>
    </row>
    <row r="2066" spans="1:4" ht="29" x14ac:dyDescent="0.35">
      <c r="A2066" s="4" t="s">
        <v>2253</v>
      </c>
      <c r="B2066">
        <v>2</v>
      </c>
      <c r="C2066" t="str">
        <f t="shared" si="64"/>
        <v>EMSG:A report shows that the XXXSTRACE:the  XXX DODGE TRUCK RAM XXX CREW PU XXXXXXX QUAD CAB has been flagged as having Vehicle History activity.
	at edge.capabilities.quote.submission.quoting.util.SubmissionUnderwritingIssuesUtil.checkSideBySideProcessEx</v>
      </c>
      <c r="D2066" s="3">
        <f t="shared" si="65"/>
        <v>1</v>
      </c>
    </row>
    <row r="2067" spans="1:4" ht="29" x14ac:dyDescent="0.35">
      <c r="A2067" s="4" t="s">
        <v>2254</v>
      </c>
      <c r="B2067">
        <v>2</v>
      </c>
      <c r="C2067" t="str">
        <f t="shared" si="64"/>
        <v>EMSG:A report shows that the XXXSTRACE:the  XXX FORD TRUCK ESCAPE XXXD XXXWD S has been flagged as having Vehicle History activity.
	at edge.capabilities.quote.submission.quoting.util.SubmissionUnderwritingIssuesUtil.checkSideBySideProcessExceptions(Submi</v>
      </c>
      <c r="D2067" s="3">
        <f t="shared" si="65"/>
        <v>1</v>
      </c>
    </row>
    <row r="2068" spans="1:4" ht="29" x14ac:dyDescent="0.35">
      <c r="A2068" s="4" t="s">
        <v>2255</v>
      </c>
      <c r="B2068">
        <v>2</v>
      </c>
      <c r="C2068" t="str">
        <f t="shared" si="64"/>
        <v>EMSG:A report shows that the XXXSTRACE:the  XXX HONDA ACCORD XXXD SPORT has been flagged as having Vehicle History activity.
	at edge.capabilities.quote.submission.quoting.util.SubmissionUnderwritingIssuesUtil.checkSideBySideProcessExceptions(SubmissionUn</v>
      </c>
      <c r="D2068" s="3">
        <f t="shared" si="65"/>
        <v>1</v>
      </c>
    </row>
    <row r="2069" spans="1:4" ht="29" x14ac:dyDescent="0.35">
      <c r="A2069" s="4" t="s">
        <v>1163</v>
      </c>
      <c r="B2069">
        <v>2</v>
      </c>
      <c r="C2069" t="str">
        <f t="shared" si="64"/>
        <v>EMSG:A report shows that the XXXSTRACE:the  XXX HONDA CIVIC XXXD LX has been flagged as having Vehicle History activity.
	at edge.capabilities.quote.submission.quoting.util.SubmissionUnderwritingIssuesUtil.checkSideBySideProcessExceptions(SubmissionUnderw</v>
      </c>
      <c r="D2069" s="3">
        <f t="shared" si="65"/>
        <v>1</v>
      </c>
    </row>
    <row r="2070" spans="1:4" ht="29" x14ac:dyDescent="0.35">
      <c r="A2070" s="4" t="s">
        <v>1009</v>
      </c>
      <c r="B2070">
        <v>2</v>
      </c>
      <c r="C2070" t="str">
        <f t="shared" si="64"/>
        <v>EMSG:A report shows that the XXXSTRACE:the  XXX HYUNDAI ELANTRA XXXD BLUE/GLS/SE has been flagged as having Vehicle History activity.
	at edge.capabilities.quote.submission.quoting.util.SubmissionUnderwritingIssuesUtil.checkSideBySideProcessExceptions(Sub</v>
      </c>
      <c r="D2070" s="3">
        <f t="shared" si="65"/>
        <v>1</v>
      </c>
    </row>
    <row r="2071" spans="1:4" ht="29" x14ac:dyDescent="0.35">
      <c r="A2071" s="4" t="s">
        <v>2256</v>
      </c>
      <c r="B2071">
        <v>2</v>
      </c>
      <c r="C2071" t="str">
        <f t="shared" si="64"/>
        <v>EMSG:A report shows that the XXXSTRACE:the  XXX HYUNDAI SONATA XXXD SEL/LIMITED ULTIMATE has been flagged as having Vehicle History activity.;
	at edge.capabilities.quote.submission.quoting.util.SubmissionUnderwritingIssuesUtil.checkVerifyRateExceptions(S</v>
      </c>
      <c r="D2071" s="3">
        <f t="shared" si="65"/>
        <v>1</v>
      </c>
    </row>
    <row r="2072" spans="1:4" ht="29" x14ac:dyDescent="0.35">
      <c r="A2072" s="4" t="s">
        <v>2257</v>
      </c>
      <c r="B2072">
        <v>2</v>
      </c>
      <c r="C2072" t="str">
        <f t="shared" si="64"/>
        <v>EMSG:A report shows that the XXXSTRACE:the  XXX JEEP COMMANDER XXXD XXXXXXX has been flagged as having Vehicle History activity.
	at edge.capabilities.quote.submission.quoting.util.SubmissionUnderwritingIssuesUtil.checkSideBySideProcessExceptions(Submissi</v>
      </c>
      <c r="D2072" s="3">
        <f t="shared" si="65"/>
        <v>1</v>
      </c>
    </row>
    <row r="2073" spans="1:4" ht="29" x14ac:dyDescent="0.35">
      <c r="A2073" s="4" t="s">
        <v>2258</v>
      </c>
      <c r="B2073">
        <v>2</v>
      </c>
      <c r="C2073" t="str">
        <f t="shared" si="64"/>
        <v>EMSG:A report shows that the XXXSTRACE:the  XXX KIA SOUL SW has been flagged as having Vehicle History activity.
	at edge.capabilities.quote.submission.quoting.util.SubmissionUnderwritingIssuesUtil.checkSideBySideProcessExceptions(SubmissionUnderwritingIs</v>
      </c>
      <c r="D2073" s="3">
        <f t="shared" si="65"/>
        <v>1</v>
      </c>
    </row>
    <row r="2074" spans="1:4" ht="29" x14ac:dyDescent="0.35">
      <c r="A2074" s="4" t="s">
        <v>2259</v>
      </c>
      <c r="B2074">
        <v>2</v>
      </c>
      <c r="C2074" t="str">
        <f t="shared" si="64"/>
        <v>EMSG:A report shows that the XXXSTRACE:the  XXX KIA STINGER XXXD XXXWD/XXXWD has been flagged as having Vehicle History activity.
	at edge.capabilities.quote.submission.quoting.util.SubmissionUnderwritingIssuesUtil.checkSideBySideProcessExceptions(Submiss</v>
      </c>
      <c r="D2074" s="3">
        <f t="shared" si="65"/>
        <v>1</v>
      </c>
    </row>
    <row r="2075" spans="1:4" ht="29" x14ac:dyDescent="0.35">
      <c r="A2075" s="4" t="s">
        <v>2260</v>
      </c>
      <c r="B2075">
        <v>2</v>
      </c>
      <c r="C2075" t="str">
        <f t="shared" si="64"/>
        <v>EMSG:A report shows that the XXXSTRACE:the  XXX LEXUS SC XXX CONV has been flagged as having Vehicle History activity.
	at edge.capabilities.quote.submission.quoting.util.SubmissionUnderwritingIssuesUtil.checkSideBySideProcessExceptions(SubmissionUnderwri</v>
      </c>
      <c r="D2075" s="3">
        <f t="shared" si="65"/>
        <v>1</v>
      </c>
    </row>
    <row r="2076" spans="1:4" ht="29" x14ac:dyDescent="0.35">
      <c r="A2076" s="4" t="s">
        <v>2261</v>
      </c>
      <c r="B2076">
        <v>2</v>
      </c>
      <c r="C2076" t="str">
        <f t="shared" si="64"/>
        <v>EMSG:A report shows that the XXXSTRACE:the  XXX NISSAN TITAN CR PU SH XXXWD has been flagged as having Vehicle History activity.
	at edge.capabilities.quote.submission.quoting.util.SubmissionUnderwritingIssuesUtil.checkSideBySideProcessExceptions(Submissi</v>
      </c>
      <c r="D2076" s="3">
        <f t="shared" si="65"/>
        <v>1</v>
      </c>
    </row>
    <row r="2077" spans="1:4" ht="29" x14ac:dyDescent="0.35">
      <c r="A2077" s="4" t="s">
        <v>2262</v>
      </c>
      <c r="B2077">
        <v>2</v>
      </c>
      <c r="C2077" t="str">
        <f t="shared" si="64"/>
        <v>EMSG:A report shows that the XXXSTRACE:the  XXX RAM XXX QUAD PU XXXXXXX ST has been flagged as having Vehicle History activity.
	at edge.capabilities.quote.submission.quoting.util.SubmissionUnderwritingIssuesUtil.checkSideBySideProcessExceptions(Submissio</v>
      </c>
      <c r="D2077" s="3">
        <f t="shared" si="65"/>
        <v>1</v>
      </c>
    </row>
    <row r="2078" spans="1:4" ht="29" x14ac:dyDescent="0.35">
      <c r="A2078" s="4" t="s">
        <v>2263</v>
      </c>
      <c r="B2078">
        <v>2</v>
      </c>
      <c r="C2078" t="str">
        <f t="shared" si="64"/>
        <v>EMSG:A report shows that the XXXSTRACE:the  XXX VOLKSWAGEN GOLF XXXD GTI XXX.XXXT has been flagged as having Vehicle History activity.
	at edge.capabilities.quote.submission.quoting.util.SubmissionUnderwritingIssuesUtil.checkSideBySideProcessExceptions(Su</v>
      </c>
      <c r="D2078" s="3">
        <f t="shared" si="65"/>
        <v>1</v>
      </c>
    </row>
    <row r="2079" spans="1:4" ht="29" x14ac:dyDescent="0.35">
      <c r="A2079" s="4" t="s">
        <v>2264</v>
      </c>
      <c r="B2079">
        <v>2</v>
      </c>
      <c r="C2079" t="str">
        <f t="shared" si="64"/>
        <v>EMSG:A report shows that the XXXSTRACE:the  XXX VOLKSWAGEN NEW JETTA XXXD XXX.XXXT S has been flagged as having Vehicle History activity.
	at edge.capabilities.quote.submission.quoting.util.SubmissionUnderwritingIssuesUtil.checkSideBySideProcessExceptions</v>
      </c>
      <c r="D2079" s="3">
        <f t="shared" si="65"/>
        <v>1</v>
      </c>
    </row>
    <row r="2080" spans="1:4" x14ac:dyDescent="0.35">
      <c r="A2080" t="s">
        <v>2265</v>
      </c>
      <c r="B2080">
        <v>2</v>
      </c>
      <c r="C2080" t="str">
        <f t="shared" si="64"/>
        <v>EMSG:Abdulmalik NooraniSTRACE:com.farmers.config.pa.validator.BrightlineValidator.validateQuoteBrightlineRules(BrightlineValidator.gs:XXXSTRACERAW:-</v>
      </c>
      <c r="D2080" s="3">
        <f t="shared" si="65"/>
        <v>1</v>
      </c>
    </row>
    <row r="2081" spans="1:4" x14ac:dyDescent="0.35">
      <c r="A2081" t="s">
        <v>1247</v>
      </c>
      <c r="B2081">
        <v>2</v>
      </c>
      <c r="C2081" t="str">
        <f t="shared" si="64"/>
        <v>EMSG:Attempt to access bean of type "DwellingCov_HOE" id=XXX with a null bundleSTRACE:deployment.pc.war//com.guidewire.pl.system.entity.proxy.BeanProxy.checkIsInBundle(BeanProxy.java:XXXSTRACERAW:-</v>
      </c>
      <c r="D2081" s="3">
        <f t="shared" si="65"/>
        <v>1</v>
      </c>
    </row>
    <row r="2082" spans="1:4" x14ac:dyDescent="0.35">
      <c r="A2082" t="s">
        <v>529</v>
      </c>
      <c r="B2082">
        <v>2</v>
      </c>
      <c r="C2082" t="str">
        <f t="shared" si="64"/>
        <v>EMSG:Attempt to access bean of type "PUPLine_PUE" id=XXX with a null bundleSTRACE:deployment.pc.war//com.guidewire.pl.system.entity.proxy.BeanProxy.checkIsInBundle(BeanProxy.java:XXXSTRACERAW:-</v>
      </c>
      <c r="D2082" s="3">
        <f t="shared" si="65"/>
        <v>1</v>
      </c>
    </row>
    <row r="2083" spans="1:4" ht="29" x14ac:dyDescent="0.35">
      <c r="A2083" s="4" t="s">
        <v>880</v>
      </c>
      <c r="B2083">
        <v>2</v>
      </c>
      <c r="C2083" t="str">
        <f t="shared" si="64"/>
        <v>EMSG:Cannot modify a bean of type HOConstructionDetails_Ext that is in a readonly bundleSTRACE:is in a readonly bundle
	at deployment.pc.war//com.guidewire.pl.system.entity.proxy.BeanProxy.checkIsInWriteableBundle(BeanProxy.java:XXXSTRACERAW:-</v>
      </c>
      <c r="D2083" s="3">
        <f t="shared" si="65"/>
        <v>1</v>
      </c>
    </row>
    <row r="2084" spans="1:4" x14ac:dyDescent="0.35">
      <c r="A2084" t="s">
        <v>734</v>
      </c>
      <c r="B2084">
        <v>2</v>
      </c>
      <c r="C2084" t="str">
        <f t="shared" si="64"/>
        <v>EMSG:Change Replacement Year. Replacement Year cannot be prior to year built or more than one year from now.STRACE:edge.capabilities.quote.submission.quoting.util.SubmissionUnderwritingIssuesUtil.checkSideBySideProcessExceptions(SubmissionUnderwritingIssu</v>
      </c>
      <c r="D2084" s="3">
        <f t="shared" si="65"/>
        <v>1</v>
      </c>
    </row>
    <row r="2085" spans="1:4" x14ac:dyDescent="0.35">
      <c r="A2085" t="s">
        <v>2266</v>
      </c>
      <c r="B2085">
        <v>2</v>
      </c>
      <c r="C2085" t="str">
        <f t="shared" si="64"/>
        <v>EMSG:Christina MurilloSTRACE:com.farmers.config.pa.validator.BrightlineValidator.validateQuoteBrightlineRules(BrightlineValidator.gs:XXXSTRACERAW:-</v>
      </c>
      <c r="D2085" s="3">
        <f t="shared" si="65"/>
        <v>1</v>
      </c>
    </row>
    <row r="2086" spans="1:4" x14ac:dyDescent="0.35">
      <c r="A2086" t="s">
        <v>2267</v>
      </c>
      <c r="B2086">
        <v>2</v>
      </c>
      <c r="C2086" t="str">
        <f t="shared" si="64"/>
        <v>EMSG:Christina MurilloSTRACE:gw.job.QuoteProcess.requestQuote(QuoteProcess.gs:XXXSTRACERAW:-</v>
      </c>
      <c r="D2086" s="3">
        <f t="shared" si="65"/>
        <v>1</v>
      </c>
    </row>
    <row r="2087" spans="1:4" x14ac:dyDescent="0.35">
      <c r="A2087" t="s">
        <v>2268</v>
      </c>
      <c r="B2087">
        <v>2</v>
      </c>
      <c r="C2087" t="str">
        <f t="shared" si="64"/>
        <v>EMSG:Connect to apis-pceisg.farmersinsurance.com:XXX [apis-pceisg.farmersinsurance.com/XXX.XXX.XXX.XXX] failed: connect timed outSTRACE:deployment.pc.war//org.apache.http.impl.conn.DefaultHttpClientConnectionOperator.connect(DefaultHttpClientConnectionOpe</v>
      </c>
      <c r="D2087" s="3">
        <f t="shared" si="65"/>
        <v>1</v>
      </c>
    </row>
    <row r="2088" spans="1:4" x14ac:dyDescent="0.35">
      <c r="A2088" t="s">
        <v>2269</v>
      </c>
      <c r="B2088">
        <v>2</v>
      </c>
      <c r="C2088" t="str">
        <f t="shared" si="64"/>
        <v>EMSG:Correct the VIN XXXSTRACE:edge.capabilities.quote.submission.quoting.util.SubmissionUnderwritingIssuesUtil.checkSideBySideProcessExceptions(SubmissionUnderwritingIssuesUtil.gs:XXXSTRACERAW:-</v>
      </c>
      <c r="D2088" s="3">
        <f t="shared" si="65"/>
        <v>1</v>
      </c>
    </row>
    <row r="2089" spans="1:4" x14ac:dyDescent="0.35">
      <c r="A2089" t="s">
        <v>437</v>
      </c>
      <c r="B2089">
        <v>2</v>
      </c>
      <c r="C2089" t="str">
        <f t="shared" si="64"/>
        <v>EMSG:Could not map property Policies[].Periods[].PersonalUmbrellaLine_PUEExistsSTRACE:deployment.pc.war//gw.internal.xml.gx.GxRuntime.createElement(GxRuntime.java:XXXSTRACERAW:-</v>
      </c>
      <c r="D2089" s="3">
        <f t="shared" si="65"/>
        <v>1</v>
      </c>
    </row>
    <row r="2090" spans="1:4" x14ac:dyDescent="0.35">
      <c r="A2090" t="s">
        <v>2270</v>
      </c>
      <c r="B2090">
        <v>2</v>
      </c>
      <c r="C2090" t="str">
        <f t="shared" si="64"/>
        <v>EMSG:DAVID PASKARSTRACE:gw.job.QuoteProcess.requestQuote(QuoteProcess.gs:XXXSTRACERAW:-</v>
      </c>
      <c r="D2090" s="3">
        <f t="shared" si="65"/>
        <v>1</v>
      </c>
    </row>
    <row r="2091" spans="1:4" x14ac:dyDescent="0.35">
      <c r="A2091" t="s">
        <v>1059</v>
      </c>
      <c r="B2091">
        <v>2</v>
      </c>
      <c r="C2091" t="str">
        <f t="shared" si="64"/>
        <v>EMSG:Decrease the Deductible. Deductible must be less than the Personal Property coverage.STRACE:edge.capabilities.quote.submission.quoting.util.SubmissionUnderwritingIssuesUtil.checkSideBySideProcessExceptions(SubmissionUnderwritingIssuesUtil.gs:XXXSTRAC</v>
      </c>
      <c r="D2091" s="3">
        <f t="shared" si="65"/>
        <v>1</v>
      </c>
    </row>
    <row r="2092" spans="1:4" x14ac:dyDescent="0.35">
      <c r="A2092" t="s">
        <v>2271</v>
      </c>
      <c r="B2092">
        <v>2</v>
      </c>
      <c r="C2092" t="str">
        <f t="shared" si="64"/>
        <v>EMSG:Donna TaylorSTRACE:com.farmers.config.pa.validator.BrightlineValidator.validateQuoteBrightlineRules(BrightlineValidator.gs:XXXSTRACERAW:-</v>
      </c>
      <c r="D2092" s="3">
        <f t="shared" si="65"/>
        <v>1</v>
      </c>
    </row>
    <row r="2093" spans="1:4" x14ac:dyDescent="0.35">
      <c r="A2093" t="s">
        <v>2272</v>
      </c>
      <c r="B2093">
        <v>2</v>
      </c>
      <c r="C2093" t="str">
        <f t="shared" si="64"/>
        <v>EMSG:Donna TaylorSTRACE:gw.job.QuoteProcess.requestQuote(QuoteProcess.gs:XXXSTRACERAW:-</v>
      </c>
      <c r="D2093" s="3">
        <f t="shared" si="65"/>
        <v>1</v>
      </c>
    </row>
    <row r="2094" spans="1:4" x14ac:dyDescent="0.35">
      <c r="A2094" t="s">
        <v>1097</v>
      </c>
      <c r="B2094">
        <v>2</v>
      </c>
      <c r="C2094" t="str">
        <f t="shared" si="64"/>
        <v>EMSG:Duplicate key in XXX has value "XXX".  Column "ProducerCodeID" has value "XXX".  Column "RoleID" has value "XXX".STRACE:deployment.pc.war//com.guidewire.pl.system.database.entitywriter.TableWriterImpl.throwDBDuplicateKeyException(TableWriterImpl.java</v>
      </c>
      <c r="D2094" s="3">
        <f t="shared" si="65"/>
        <v>1</v>
      </c>
    </row>
    <row r="2095" spans="1:4" x14ac:dyDescent="0.35">
      <c r="A2095" t="s">
        <v>1013</v>
      </c>
      <c r="B2095">
        <v>2</v>
      </c>
      <c r="C2095" t="str">
        <f t="shared" si="64"/>
        <v>EMSG:Duplicate key in XXX has value "XXX".  Column "Retired" has value "XXX".STRACE:deployment.pc.war//com.guidewire.pl.system.database.entitywriter.TableWriterImpl.throwDBDuplicateKeyException(TableWriterImpl.java:XXXSTRACERAW:-</v>
      </c>
      <c r="D2095" s="3">
        <f t="shared" si="65"/>
        <v>1</v>
      </c>
    </row>
    <row r="2096" spans="1:4" ht="29" x14ac:dyDescent="0.35">
      <c r="A2096" s="4" t="s">
        <v>2273</v>
      </c>
      <c r="B2096">
        <v>2</v>
      </c>
      <c r="C2096" t="str">
        <f t="shared" si="64"/>
        <v>EMSG:Dwelling at XXXSTRACE:XXX Benson Ct, Suffolk, VA: Standard Limit on Special Limits on Personal Property is no longer available and has been removed. Please enter a new value.
	at gw.api.extension.PCExtensionInterfacesMapper$block_XXX_.invoke(PCExtens</v>
      </c>
      <c r="D2096" s="3">
        <f t="shared" si="65"/>
        <v>1</v>
      </c>
    </row>
    <row r="2097" spans="1:4" ht="29" x14ac:dyDescent="0.35">
      <c r="A2097" s="4" t="s">
        <v>2274</v>
      </c>
      <c r="B2097">
        <v>2</v>
      </c>
      <c r="C2097" t="str">
        <f t="shared" si="64"/>
        <v>EMSG:Dwelling at XXXSTRACE:XXX Lawrence Ave, Albertville, AL: Perils on Personal Property is now available and its value must be verified by the user.
	at gw.api.extension.PCExtensionInterfacesMapper$block_XXX_.invoke(PCExtensionInterfacesMapper.gs:XXXSTR</v>
      </c>
      <c r="D2097" s="3">
        <f t="shared" si="65"/>
        <v>1</v>
      </c>
    </row>
    <row r="2098" spans="1:4" ht="29" x14ac:dyDescent="0.35">
      <c r="A2098" s="4" t="s">
        <v>2275</v>
      </c>
      <c r="B2098">
        <v>2</v>
      </c>
      <c r="C2098" t="str">
        <f t="shared" si="64"/>
        <v>EMSG:Dwelling at XXXSTRACE:XXX S XXXth St, Girard, KS: Perils on Personal Property is now available and its value must be verified by the user.
	at gw.api.extension.PCExtensionInterfacesMapper$block_XXX_.invoke(PCExtensionInterfacesMapper.gs:XXXSTRACERAW:</v>
      </c>
      <c r="D2098" s="3">
        <f t="shared" si="65"/>
        <v>1</v>
      </c>
    </row>
    <row r="2099" spans="1:4" x14ac:dyDescent="0.35">
      <c r="A2099" t="s">
        <v>2276</v>
      </c>
      <c r="B2099">
        <v>2</v>
      </c>
      <c r="C2099" t="str">
        <f t="shared" si="64"/>
        <v>EMSG:Earthquake: The coverage term 'Limited or Full' is required. Enter a value.STRACE:edge.capabilities.quote.submission.quoting.util.SubmissionUnderwritingIssuesUtil.checkSideBySideProcessExceptions(SubmissionUnderwritingIssuesUtil.gs:XXXSTRACERAW:-</v>
      </c>
      <c r="D2099" s="3">
        <f t="shared" si="65"/>
        <v>1</v>
      </c>
    </row>
    <row r="2100" spans="1:4" ht="43.5" x14ac:dyDescent="0.35">
      <c r="A2100" s="4" t="s">
        <v>2277</v>
      </c>
      <c r="B2100">
        <v>2</v>
      </c>
      <c r="C2100" t="str">
        <f t="shared" si="64"/>
        <v>EMSG:Effective ranges overlap for PAVehicleModifier with BranchID XXX and with FixedID XXXSTRACE:Oct XXX XXX:XXX:XXX PDT XXX, Fri Apr XXX XXX:XXX:XXX PDT XXX - Sat Oct XXX XXX:XXX:XXX PDT XXX
	at deployment.pc.war//com.guidewire.pl.system.entity.proxy.Eff</v>
      </c>
      <c r="D2100" s="3">
        <f t="shared" si="65"/>
        <v>1</v>
      </c>
    </row>
    <row r="2101" spans="1:4" x14ac:dyDescent="0.35">
      <c r="A2101" t="s">
        <v>2278</v>
      </c>
      <c r="B2101">
        <v>2</v>
      </c>
      <c r="C2101" t="str">
        <f t="shared" si="64"/>
        <v>EMSG:Enter Signal Phone number for SHERYL JURGENSEN. A cell phone number is required for Signal enrollment.;STRACE:edge.capabilities.quote.submission.quoting.util.SubmissionUnderwritingIssuesUtil.checkVerifyRateExceptions(SubmissionUnderwritingIssuesUtil.</v>
      </c>
      <c r="D2101" s="3">
        <f t="shared" si="65"/>
        <v>1</v>
      </c>
    </row>
    <row r="2102" spans="1:4" x14ac:dyDescent="0.35">
      <c r="A2102" t="s">
        <v>2279</v>
      </c>
      <c r="B2102">
        <v>2</v>
      </c>
      <c r="C2102" t="str">
        <f t="shared" si="64"/>
        <v>EMSG:For eligible contact AIMEE LANCASTER credit score is null. Please make sure credit is orderedSTRACE:com.farmers.config.common.credit.CreditScoreHelper.populateRatingCreditDTO(CreditScoreHelper.gs:XXXSTRACERAW:-</v>
      </c>
      <c r="D2102" s="3">
        <f t="shared" si="65"/>
        <v>1</v>
      </c>
    </row>
    <row r="2103" spans="1:4" x14ac:dyDescent="0.35">
      <c r="A2103" t="s">
        <v>2280</v>
      </c>
      <c r="B2103">
        <v>2</v>
      </c>
      <c r="C2103" t="str">
        <f t="shared" si="64"/>
        <v>EMSG:For eligible contact Alan Garcia credit score is null. Please make sure credit is orderedSTRACE:com.farmers.config.common.credit.CreditScoreHelper.populateRatingCreditDTO(CreditScoreHelper.gs:XXXSTRACERAW:-</v>
      </c>
      <c r="D2103" s="3">
        <f t="shared" si="65"/>
        <v>1</v>
      </c>
    </row>
    <row r="2104" spans="1:4" x14ac:dyDescent="0.35">
      <c r="A2104" t="s">
        <v>2281</v>
      </c>
      <c r="B2104">
        <v>2</v>
      </c>
      <c r="C2104" t="str">
        <f t="shared" si="64"/>
        <v>EMSG:For eligible contact Alan Gundlach credit score is null. Please make sure credit is orderedSTRACE:com.farmers.config.common.credit.CreditScoreHelper.populateRatingCreditDTO(CreditScoreHelper.gs:XXXSTRACERAW:-</v>
      </c>
      <c r="D2104" s="3">
        <f t="shared" si="65"/>
        <v>1</v>
      </c>
    </row>
    <row r="2105" spans="1:4" x14ac:dyDescent="0.35">
      <c r="A2105" t="s">
        <v>2282</v>
      </c>
      <c r="B2105">
        <v>2</v>
      </c>
      <c r="C2105" t="str">
        <f t="shared" si="64"/>
        <v>EMSG:For eligible contact Andrea Himes credit score is null. Please make sure credit is orderedSTRACE:com.farmers.config.common.credit.CreditScoreHelper.populateRatingCreditDTO(CreditScoreHelper.gs:XXXSTRACERAW:-</v>
      </c>
      <c r="D2105" s="3">
        <f t="shared" si="65"/>
        <v>1</v>
      </c>
    </row>
    <row r="2106" spans="1:4" x14ac:dyDescent="0.35">
      <c r="A2106" t="s">
        <v>2283</v>
      </c>
      <c r="B2106">
        <v>2</v>
      </c>
      <c r="C2106" t="str">
        <f t="shared" si="64"/>
        <v>EMSG:For eligible contact Angel Trujillo-palacios credit score is null. Please make sure credit is orderedSTRACE:com.farmers.config.common.credit.CreditScoreHelper.populateRatingCreditDTO(CreditScoreHelper.gs:XXXSTRACERAW:-</v>
      </c>
      <c r="D2106" s="3">
        <f t="shared" si="65"/>
        <v>1</v>
      </c>
    </row>
    <row r="2107" spans="1:4" x14ac:dyDescent="0.35">
      <c r="A2107" t="s">
        <v>2284</v>
      </c>
      <c r="B2107">
        <v>2</v>
      </c>
      <c r="C2107" t="str">
        <f t="shared" si="64"/>
        <v>EMSG:For eligible contact Boyington Parks credit score is null. Please make sure credit is orderedSTRACE:com.farmers.config.common.credit.CreditScoreHelper.populateRatingCreditDTO(CreditScoreHelper.gs:XXXSTRACERAW:-</v>
      </c>
      <c r="D2107" s="3">
        <f t="shared" si="65"/>
        <v>1</v>
      </c>
    </row>
    <row r="2108" spans="1:4" x14ac:dyDescent="0.35">
      <c r="A2108" t="s">
        <v>2285</v>
      </c>
      <c r="B2108">
        <v>2</v>
      </c>
      <c r="C2108" t="str">
        <f t="shared" si="64"/>
        <v>EMSG:For eligible contact Brandon Quinonez credit score is null. Please make sure credit is orderedSTRACE:com.farmers.config.common.credit.CreditScoreHelper.populateRatingCreditDTO(CreditScoreHelper.gs:XXXSTRACERAW:-</v>
      </c>
      <c r="D2108" s="3">
        <f t="shared" si="65"/>
        <v>1</v>
      </c>
    </row>
    <row r="2109" spans="1:4" x14ac:dyDescent="0.35">
      <c r="A2109" t="s">
        <v>2286</v>
      </c>
      <c r="B2109">
        <v>2</v>
      </c>
      <c r="C2109" t="str">
        <f t="shared" si="64"/>
        <v>EMSG:For eligible contact Brittani Pouewells credit score is null. Please make sure credit is orderedSTRACE:com.farmers.config.common.credit.CreditScoreHelper.populateRatingCreditDTO(CreditScoreHelper.gs:XXXSTRACERAW:-</v>
      </c>
      <c r="D2109" s="3">
        <f t="shared" si="65"/>
        <v>1</v>
      </c>
    </row>
    <row r="2110" spans="1:4" x14ac:dyDescent="0.35">
      <c r="A2110" t="s">
        <v>2287</v>
      </c>
      <c r="B2110">
        <v>2</v>
      </c>
      <c r="C2110" t="str">
        <f t="shared" si="64"/>
        <v>EMSG:For eligible contact Bruce Kim credit score is null. Please make sure credit is orderedSTRACE:com.farmers.config.common.credit.CreditScoreHelper.populateRatingCreditDTO(CreditScoreHelper.gs:XXXSTRACERAW:-</v>
      </c>
      <c r="D2110" s="3">
        <f t="shared" si="65"/>
        <v>1</v>
      </c>
    </row>
    <row r="2111" spans="1:4" x14ac:dyDescent="0.35">
      <c r="A2111" t="s">
        <v>2288</v>
      </c>
      <c r="B2111">
        <v>2</v>
      </c>
      <c r="C2111" t="str">
        <f t="shared" si="64"/>
        <v>EMSG:For eligible contact Bryson Sims credit score is null. Please make sure credit is orderedSTRACE:com.farmers.config.common.credit.CreditScoreHelper.populateRatingCreditDTO(CreditScoreHelper.gs:XXXSTRACERAW:-</v>
      </c>
      <c r="D2111" s="3">
        <f t="shared" si="65"/>
        <v>1</v>
      </c>
    </row>
    <row r="2112" spans="1:4" x14ac:dyDescent="0.35">
      <c r="A2112" t="s">
        <v>2289</v>
      </c>
      <c r="B2112">
        <v>2</v>
      </c>
      <c r="C2112" t="str">
        <f t="shared" si="64"/>
        <v>EMSG:For eligible contact Catlynn Serfass credit score is null. Please make sure credit is orderedSTRACE:com.farmers.config.common.credit.CreditScoreHelper.populateRatingCreditDTO(CreditScoreHelper.gs:XXXSTRACERAW:-</v>
      </c>
      <c r="D2112" s="3">
        <f t="shared" si="65"/>
        <v>1</v>
      </c>
    </row>
    <row r="2113" spans="1:4" x14ac:dyDescent="0.35">
      <c r="A2113" t="s">
        <v>2290</v>
      </c>
      <c r="B2113">
        <v>2</v>
      </c>
      <c r="C2113" t="str">
        <f t="shared" si="64"/>
        <v>EMSG:For eligible contact Chakradhararao Tallam credit score is null. Please make sure credit is orderedSTRACE:com.farmers.config.common.credit.CreditScoreHelper.populateRatingCreditDTO(CreditScoreHelper.gs:XXXSTRACERAW:-</v>
      </c>
      <c r="D2113" s="3">
        <f t="shared" si="65"/>
        <v>1</v>
      </c>
    </row>
    <row r="2114" spans="1:4" x14ac:dyDescent="0.35">
      <c r="A2114" t="s">
        <v>2291</v>
      </c>
      <c r="B2114">
        <v>2</v>
      </c>
      <c r="C2114" t="str">
        <f t="shared" ref="C2114:C2177" si="66">LEFT(A2114,255)</f>
        <v>EMSG:For eligible contact Clarence Thomas credit score is null. Please make sure credit is orderedSTRACE:com.farmers.config.common.credit.CreditScoreHelper.populateRatingCreditDTO(CreditScoreHelper.gs:XXXSTRACERAW:-</v>
      </c>
      <c r="D2114" s="3">
        <f t="shared" ref="D2114:D2177" si="67">IF(AND((B2114/10)&lt;1,(B2114/10)&gt;0),1,(B2114/10)*130%)</f>
        <v>1</v>
      </c>
    </row>
    <row r="2115" spans="1:4" x14ac:dyDescent="0.35">
      <c r="A2115" t="s">
        <v>2292</v>
      </c>
      <c r="B2115">
        <v>2</v>
      </c>
      <c r="C2115" t="str">
        <f t="shared" si="66"/>
        <v>EMSG:For eligible contact DREW WEIDEMAN credit score is null. Please make sure credit is orderedSTRACE:com.farmers.config.common.credit.CreditScoreHelper.populateRatingCreditDTO(CreditScoreHelper.gs:XXXSTRACERAW:-</v>
      </c>
      <c r="D2115" s="3">
        <f t="shared" si="67"/>
        <v>1</v>
      </c>
    </row>
    <row r="2116" spans="1:4" x14ac:dyDescent="0.35">
      <c r="A2116" t="s">
        <v>2293</v>
      </c>
      <c r="B2116">
        <v>2</v>
      </c>
      <c r="C2116" t="str">
        <f t="shared" si="66"/>
        <v>EMSG:For eligible contact Daniel Jenkins credit score is null. Please make sure credit is orderedSTRACE:com.farmers.config.common.credit.CreditScoreHelper.populateRatingCreditDTO(CreditScoreHelper.gs:XXXSTRACERAW:-</v>
      </c>
      <c r="D2116" s="3">
        <f t="shared" si="67"/>
        <v>1</v>
      </c>
    </row>
    <row r="2117" spans="1:4" x14ac:dyDescent="0.35">
      <c r="A2117" t="s">
        <v>2294</v>
      </c>
      <c r="B2117">
        <v>2</v>
      </c>
      <c r="C2117" t="str">
        <f t="shared" si="66"/>
        <v>EMSG:For eligible contact Daniela Murillo credit score is null. Please make sure credit is orderedSTRACE:com.farmers.config.common.credit.CreditScoreHelper.populateRatingCreditDTO(CreditScoreHelper.gs:XXXSTRACERAW:-</v>
      </c>
      <c r="D2117" s="3">
        <f t="shared" si="67"/>
        <v>1</v>
      </c>
    </row>
    <row r="2118" spans="1:4" x14ac:dyDescent="0.35">
      <c r="A2118" t="s">
        <v>2295</v>
      </c>
      <c r="B2118">
        <v>2</v>
      </c>
      <c r="C2118" t="str">
        <f t="shared" si="66"/>
        <v>EMSG:For eligible contact David Standridge credit score is null. Please make sure credit is orderedSTRACE:com.farmers.config.common.credit.CreditScoreHelper.populateRatingCreditDTO(CreditScoreHelper.gs:XXXSTRACERAW:-</v>
      </c>
      <c r="D2118" s="3">
        <f t="shared" si="67"/>
        <v>1</v>
      </c>
    </row>
    <row r="2119" spans="1:4" x14ac:dyDescent="0.35">
      <c r="A2119" t="s">
        <v>2296</v>
      </c>
      <c r="B2119">
        <v>2</v>
      </c>
      <c r="C2119" t="str">
        <f t="shared" si="66"/>
        <v>EMSG:For eligible contact Diana Groelle credit score is null. Please make sure credit is orderedSTRACE:com.farmers.config.common.credit.CreditScoreHelper.populateRatingCreditDTO(CreditScoreHelper.gs:XXXSTRACERAW:-</v>
      </c>
      <c r="D2119" s="3">
        <f t="shared" si="67"/>
        <v>1</v>
      </c>
    </row>
    <row r="2120" spans="1:4" x14ac:dyDescent="0.35">
      <c r="A2120" t="s">
        <v>2297</v>
      </c>
      <c r="B2120">
        <v>2</v>
      </c>
      <c r="C2120" t="str">
        <f t="shared" si="66"/>
        <v>EMSG:For eligible contact Dustin Moody credit score is null. Please make sure credit is orderedSTRACE:com.farmers.config.common.credit.CreditScoreHelper.populateRatingCreditDTO(CreditScoreHelper.gs:XXXSTRACERAW:-</v>
      </c>
      <c r="D2120" s="3">
        <f t="shared" si="67"/>
        <v>1</v>
      </c>
    </row>
    <row r="2121" spans="1:4" x14ac:dyDescent="0.35">
      <c r="A2121" t="s">
        <v>2298</v>
      </c>
      <c r="B2121">
        <v>2</v>
      </c>
      <c r="C2121" t="str">
        <f t="shared" si="66"/>
        <v>EMSG:For eligible contact Hyrum Heward credit score is null. Please make sure credit is orderedSTRACE:com.farmers.config.common.credit.CreditScoreHelper.populateRatingCreditDTO(CreditScoreHelper.gs:XXXSTRACERAW:-</v>
      </c>
      <c r="D2121" s="3">
        <f t="shared" si="67"/>
        <v>1</v>
      </c>
    </row>
    <row r="2122" spans="1:4" x14ac:dyDescent="0.35">
      <c r="A2122" t="s">
        <v>2299</v>
      </c>
      <c r="B2122">
        <v>2</v>
      </c>
      <c r="C2122" t="str">
        <f t="shared" si="66"/>
        <v>EMSG:For eligible contact Iose Lopez credit score is null. Please make sure credit is orderedSTRACE:com.farmers.config.common.credit.CreditScoreHelper.populateRatingCreditDTO(CreditScoreHelper.gs:XXXSTRACERAW:-</v>
      </c>
      <c r="D2122" s="3">
        <f t="shared" si="67"/>
        <v>1</v>
      </c>
    </row>
    <row r="2123" spans="1:4" x14ac:dyDescent="0.35">
      <c r="A2123" t="s">
        <v>2300</v>
      </c>
      <c r="B2123">
        <v>2</v>
      </c>
      <c r="C2123" t="str">
        <f t="shared" si="66"/>
        <v>EMSG:For eligible contact Jade Welsford credit score is null. Please make sure credit is orderedSTRACE:com.farmers.config.common.credit.CreditScoreHelper.populateRatingCreditDTO(CreditScoreHelper.gs:XXXSTRACERAW:-</v>
      </c>
      <c r="D2123" s="3">
        <f t="shared" si="67"/>
        <v>1</v>
      </c>
    </row>
    <row r="2124" spans="1:4" x14ac:dyDescent="0.35">
      <c r="A2124" t="s">
        <v>2301</v>
      </c>
      <c r="B2124">
        <v>2</v>
      </c>
      <c r="C2124" t="str">
        <f t="shared" si="66"/>
        <v>EMSG:For eligible contact Jaison Scott credit score is null. Please make sure credit is orderedSTRACE:com.farmers.config.common.credit.CreditScoreHelper.populateRatingCreditDTO(CreditScoreHelper.gs:XXXSTRACERAW:-</v>
      </c>
      <c r="D2124" s="3">
        <f t="shared" si="67"/>
        <v>1</v>
      </c>
    </row>
    <row r="2125" spans="1:4" x14ac:dyDescent="0.35">
      <c r="A2125" t="s">
        <v>2302</v>
      </c>
      <c r="B2125">
        <v>2</v>
      </c>
      <c r="C2125" t="str">
        <f t="shared" si="66"/>
        <v>EMSG:For eligible contact Jayme Mckey credit score is null. Please make sure credit is orderedSTRACE:com.farmers.config.common.credit.CreditScoreHelper.populateRatingCreditDTO(CreditScoreHelper.gs:XXXSTRACERAW:-</v>
      </c>
      <c r="D2125" s="3">
        <f t="shared" si="67"/>
        <v>1</v>
      </c>
    </row>
    <row r="2126" spans="1:4" x14ac:dyDescent="0.35">
      <c r="A2126" t="s">
        <v>2303</v>
      </c>
      <c r="B2126">
        <v>2</v>
      </c>
      <c r="C2126" t="str">
        <f t="shared" si="66"/>
        <v>EMSG:For eligible contact Jennifer Taylor credit score is null. Please make sure credit is orderedSTRACE:com.farmers.config.common.credit.CreditScoreHelper.populateRatingCreditDTO(CreditScoreHelper.gs:XXXSTRACERAW:-</v>
      </c>
      <c r="D2126" s="3">
        <f t="shared" si="67"/>
        <v>1</v>
      </c>
    </row>
    <row r="2127" spans="1:4" x14ac:dyDescent="0.35">
      <c r="A2127" t="s">
        <v>2304</v>
      </c>
      <c r="B2127">
        <v>2</v>
      </c>
      <c r="C2127" t="str">
        <f t="shared" si="66"/>
        <v>EMSG:For eligible contact Jerri Payne credit score is null. Please make sure credit is orderedSTRACE:com.farmers.config.common.credit.CreditScoreHelper.populateRatingCreditDTO(CreditScoreHelper.gs:XXXSTRACERAW:-</v>
      </c>
      <c r="D2127" s="3">
        <f t="shared" si="67"/>
        <v>1</v>
      </c>
    </row>
    <row r="2128" spans="1:4" x14ac:dyDescent="0.35">
      <c r="A2128" t="s">
        <v>2305</v>
      </c>
      <c r="B2128">
        <v>2</v>
      </c>
      <c r="C2128" t="str">
        <f t="shared" si="66"/>
        <v>EMSG:For eligible contact John Terrell credit score is null. Please make sure credit is orderedSTRACE:com.farmers.config.common.credit.CreditScoreHelper.populateRatingCreditDTO(CreditScoreHelper.gs:XXXSTRACERAW:-</v>
      </c>
      <c r="D2128" s="3">
        <f t="shared" si="67"/>
        <v>1</v>
      </c>
    </row>
    <row r="2129" spans="1:4" x14ac:dyDescent="0.35">
      <c r="A2129" t="s">
        <v>2306</v>
      </c>
      <c r="B2129">
        <v>2</v>
      </c>
      <c r="C2129" t="str">
        <f t="shared" si="66"/>
        <v>EMSG:For eligible contact Katie Kottwitz credit score is null. Please make sure credit is orderedSTRACE:com.farmers.config.common.credit.CreditScoreHelper.populateRatingCreditDTO(CreditScoreHelper.gs:XXXSTRACERAW:-</v>
      </c>
      <c r="D2129" s="3">
        <f t="shared" si="67"/>
        <v>1</v>
      </c>
    </row>
    <row r="2130" spans="1:4" x14ac:dyDescent="0.35">
      <c r="A2130" t="s">
        <v>2307</v>
      </c>
      <c r="B2130">
        <v>2</v>
      </c>
      <c r="C2130" t="str">
        <f t="shared" si="66"/>
        <v>EMSG:For eligible contact Kimberly Bryant credit score is null. Please make sure credit is orderedSTRACE:com.farmers.config.common.credit.CreditScoreHelper.populateRatingCreditDTO(CreditScoreHelper.gs:XXXSTRACERAW:-</v>
      </c>
      <c r="D2130" s="3">
        <f t="shared" si="67"/>
        <v>1</v>
      </c>
    </row>
    <row r="2131" spans="1:4" x14ac:dyDescent="0.35">
      <c r="A2131" t="s">
        <v>2308</v>
      </c>
      <c r="B2131">
        <v>2</v>
      </c>
      <c r="C2131" t="str">
        <f t="shared" si="66"/>
        <v>EMSG:For eligible contact Kurt Woodburn credit score is null. Please make sure credit is orderedSTRACE:com.farmers.config.common.credit.CreditScoreHelper.populateRatingCreditDTO(CreditScoreHelper.gs:XXXSTRACERAW:-</v>
      </c>
      <c r="D2131" s="3">
        <f t="shared" si="67"/>
        <v>1</v>
      </c>
    </row>
    <row r="2132" spans="1:4" x14ac:dyDescent="0.35">
      <c r="A2132" t="s">
        <v>2309</v>
      </c>
      <c r="B2132">
        <v>2</v>
      </c>
      <c r="C2132" t="str">
        <f t="shared" si="66"/>
        <v>EMSG:For eligible contact Lashoyne Brown credit score is null. Please make sure credit is orderedSTRACE:com.farmers.config.common.credit.CreditScoreHelper.populateRatingCreditDTO(CreditScoreHelper.gs:XXXSTRACERAW:-</v>
      </c>
      <c r="D2132" s="3">
        <f t="shared" si="67"/>
        <v>1</v>
      </c>
    </row>
    <row r="2133" spans="1:4" x14ac:dyDescent="0.35">
      <c r="A2133" t="s">
        <v>2310</v>
      </c>
      <c r="B2133">
        <v>2</v>
      </c>
      <c r="C2133" t="str">
        <f t="shared" si="66"/>
        <v>EMSG:For eligible contact Louis Riep credit score is null. Please make sure credit is orderedSTRACE:com.farmers.config.common.credit.CreditScoreHelper.populateRatingCreditDTO(CreditScoreHelper.gs:XXXSTRACERAW:-</v>
      </c>
      <c r="D2133" s="3">
        <f t="shared" si="67"/>
        <v>1</v>
      </c>
    </row>
    <row r="2134" spans="1:4" x14ac:dyDescent="0.35">
      <c r="A2134" t="s">
        <v>2311</v>
      </c>
      <c r="B2134">
        <v>2</v>
      </c>
      <c r="C2134" t="str">
        <f t="shared" si="66"/>
        <v>EMSG:For eligible contact MICHELLE ESPOSITO credit score is null. Please make sure credit is orderedSTRACE:com.farmers.config.common.credit.CreditScoreHelper.populateRatingCreditDTO(CreditScoreHelper.gs:XXXSTRACERAW:-</v>
      </c>
      <c r="D2134" s="3">
        <f t="shared" si="67"/>
        <v>1</v>
      </c>
    </row>
    <row r="2135" spans="1:4" x14ac:dyDescent="0.35">
      <c r="A2135" t="s">
        <v>2312</v>
      </c>
      <c r="B2135">
        <v>2</v>
      </c>
      <c r="C2135" t="str">
        <f t="shared" si="66"/>
        <v>EMSG:For eligible contact Mai Menchaca credit score is null. Please make sure credit is orderedSTRACE:com.farmers.config.common.credit.CreditScoreHelper.populateRatingCreditDTO(CreditScoreHelper.gs:XXXSTRACERAW:-</v>
      </c>
      <c r="D2135" s="3">
        <f t="shared" si="67"/>
        <v>1</v>
      </c>
    </row>
    <row r="2136" spans="1:4" x14ac:dyDescent="0.35">
      <c r="A2136" t="s">
        <v>2313</v>
      </c>
      <c r="B2136">
        <v>2</v>
      </c>
      <c r="C2136" t="str">
        <f t="shared" si="66"/>
        <v>EMSG:For eligible contact Makayla Fullmore credit score is null. Please make sure credit is orderedSTRACE:com.farmers.config.common.credit.CreditScoreHelper.populateRatingCreditDTO(CreditScoreHelper.gs:XXXSTRACERAW:-</v>
      </c>
      <c r="D2136" s="3">
        <f t="shared" si="67"/>
        <v>1</v>
      </c>
    </row>
    <row r="2137" spans="1:4" x14ac:dyDescent="0.35">
      <c r="A2137" t="s">
        <v>2314</v>
      </c>
      <c r="B2137">
        <v>2</v>
      </c>
      <c r="C2137" t="str">
        <f t="shared" si="66"/>
        <v>EMSG:For eligible contact Mercedez Morrow credit score is null. Please make sure credit is orderedSTRACE:com.farmers.config.common.credit.CreditScoreHelper.populateRatingCreditDTO(CreditScoreHelper.gs:XXXSTRACERAW:-</v>
      </c>
      <c r="D2137" s="3">
        <f t="shared" si="67"/>
        <v>1</v>
      </c>
    </row>
    <row r="2138" spans="1:4" x14ac:dyDescent="0.35">
      <c r="A2138" t="s">
        <v>2315</v>
      </c>
      <c r="B2138">
        <v>2</v>
      </c>
      <c r="C2138" t="str">
        <f t="shared" si="66"/>
        <v>EMSG:For eligible contact Michael Diaz credit score is null. Please make sure credit is orderedSTRACE:com.farmers.config.common.credit.CreditScoreHelper.populateRatingCreditDTO(CreditScoreHelper.gs:XXXSTRACERAW:-</v>
      </c>
      <c r="D2138" s="3">
        <f t="shared" si="67"/>
        <v>1</v>
      </c>
    </row>
    <row r="2139" spans="1:4" x14ac:dyDescent="0.35">
      <c r="A2139" t="s">
        <v>2316</v>
      </c>
      <c r="B2139">
        <v>2</v>
      </c>
      <c r="C2139" t="str">
        <f t="shared" si="66"/>
        <v>EMSG:For eligible contact Miguel Zamora credit score is null. Please make sure credit is orderedSTRACE:com.farmers.config.common.credit.CreditScoreHelper.populateRatingCreditDTO(CreditScoreHelper.gs:XXXSTRACERAW:-</v>
      </c>
      <c r="D2139" s="3">
        <f t="shared" si="67"/>
        <v>1</v>
      </c>
    </row>
    <row r="2140" spans="1:4" x14ac:dyDescent="0.35">
      <c r="A2140" t="s">
        <v>2317</v>
      </c>
      <c r="B2140">
        <v>2</v>
      </c>
      <c r="C2140" t="str">
        <f t="shared" si="66"/>
        <v>EMSG:For eligible contact Rebecca Hays credit score is null. Please make sure credit is orderedSTRACE:com.farmers.config.common.credit.CreditScoreHelper.populateRatingCreditDTO(CreditScoreHelper.gs:XXXSTRACERAW:-</v>
      </c>
      <c r="D2140" s="3">
        <f t="shared" si="67"/>
        <v>1</v>
      </c>
    </row>
    <row r="2141" spans="1:4" x14ac:dyDescent="0.35">
      <c r="A2141" t="s">
        <v>2318</v>
      </c>
      <c r="B2141">
        <v>2</v>
      </c>
      <c r="C2141" t="str">
        <f t="shared" si="66"/>
        <v>EMSG:For eligible contact Renee Clark credit score is null. Please make sure credit is orderedSTRACE:com.farmers.config.common.credit.CreditScoreHelper.populateRatingCreditDTO(CreditScoreHelper.gs:XXXSTRACERAW:-</v>
      </c>
      <c r="D2141" s="3">
        <f t="shared" si="67"/>
        <v>1</v>
      </c>
    </row>
    <row r="2142" spans="1:4" x14ac:dyDescent="0.35">
      <c r="A2142" t="s">
        <v>2319</v>
      </c>
      <c r="B2142">
        <v>2</v>
      </c>
      <c r="C2142" t="str">
        <f t="shared" si="66"/>
        <v>EMSG:For eligible contact Rosalinda Saldana credit score is null. Please make sure credit is orderedSTRACE:com.farmers.config.common.credit.CreditScoreHelper.populateRatingCreditDTO(CreditScoreHelper.gs:XXXSTRACERAW:-</v>
      </c>
      <c r="D2142" s="3">
        <f t="shared" si="67"/>
        <v>1</v>
      </c>
    </row>
    <row r="2143" spans="1:4" x14ac:dyDescent="0.35">
      <c r="A2143" t="s">
        <v>2320</v>
      </c>
      <c r="B2143">
        <v>2</v>
      </c>
      <c r="C2143" t="str">
        <f t="shared" si="66"/>
        <v>EMSG:For eligible contact Ruby Allen credit score is null. Please make sure credit is orderedSTRACE:com.farmers.config.common.credit.CreditScoreHelper.populateRatingCreditDTO(CreditScoreHelper.gs:XXXSTRACERAW:-</v>
      </c>
      <c r="D2143" s="3">
        <f t="shared" si="67"/>
        <v>1</v>
      </c>
    </row>
    <row r="2144" spans="1:4" x14ac:dyDescent="0.35">
      <c r="A2144" t="s">
        <v>2321</v>
      </c>
      <c r="B2144">
        <v>2</v>
      </c>
      <c r="C2144" t="str">
        <f t="shared" si="66"/>
        <v>EMSG:For eligible contact Ryan Donoghue credit score is null. Please make sure credit is orderedSTRACE:com.farmers.config.common.credit.CreditScoreHelper.populateRatingCreditDTO(CreditScoreHelper.gs:XXXSTRACERAW:-</v>
      </c>
      <c r="D2144" s="3">
        <f t="shared" si="67"/>
        <v>1</v>
      </c>
    </row>
    <row r="2145" spans="1:4" x14ac:dyDescent="0.35">
      <c r="A2145" t="s">
        <v>2322</v>
      </c>
      <c r="B2145">
        <v>2</v>
      </c>
      <c r="C2145" t="str">
        <f t="shared" si="66"/>
        <v>EMSG:For eligible contact Sarah Blaszczyk credit score is null. Please make sure credit is orderedSTRACE:com.farmers.config.common.credit.CreditScoreHelper.populateRatingCreditDTO(CreditScoreHelper.gs:XXXSTRACERAW:-</v>
      </c>
      <c r="D2145" s="3">
        <f t="shared" si="67"/>
        <v>1</v>
      </c>
    </row>
    <row r="2146" spans="1:4" x14ac:dyDescent="0.35">
      <c r="A2146" t="s">
        <v>2323</v>
      </c>
      <c r="B2146">
        <v>2</v>
      </c>
      <c r="C2146" t="str">
        <f t="shared" si="66"/>
        <v>EMSG:For eligible contact Saren Sum credit score is null. Please make sure credit is orderedSTRACE:com.farmers.config.common.credit.CreditScoreHelper.populateRatingCreditDTO(CreditScoreHelper.gs:XXXSTRACERAW:-</v>
      </c>
      <c r="D2146" s="3">
        <f t="shared" si="67"/>
        <v>1</v>
      </c>
    </row>
    <row r="2147" spans="1:4" x14ac:dyDescent="0.35">
      <c r="A2147" t="s">
        <v>2324</v>
      </c>
      <c r="B2147">
        <v>2</v>
      </c>
      <c r="C2147" t="str">
        <f t="shared" si="66"/>
        <v>EMSG:For eligible contact Shakendria Bodiford credit score is null. Please make sure credit is orderedSTRACE:com.farmers.config.common.credit.CreditScoreHelper.populateRatingCreditDTO(CreditScoreHelper.gs:XXXSTRACERAW:-</v>
      </c>
      <c r="D2147" s="3">
        <f t="shared" si="67"/>
        <v>1</v>
      </c>
    </row>
    <row r="2148" spans="1:4" x14ac:dyDescent="0.35">
      <c r="A2148" t="s">
        <v>2325</v>
      </c>
      <c r="B2148">
        <v>2</v>
      </c>
      <c r="C2148" t="str">
        <f t="shared" si="66"/>
        <v>EMSG:For eligible contact Shankar Myilswamy credit score is null. Please make sure credit is orderedSTRACE:com.farmers.config.common.credit.CreditScoreHelper.populateRatingCreditDTO(CreditScoreHelper.gs:XXXSTRACERAW:-</v>
      </c>
      <c r="D2148" s="3">
        <f t="shared" si="67"/>
        <v>1</v>
      </c>
    </row>
    <row r="2149" spans="1:4" x14ac:dyDescent="0.35">
      <c r="A2149" t="s">
        <v>2326</v>
      </c>
      <c r="B2149">
        <v>2</v>
      </c>
      <c r="C2149" t="str">
        <f t="shared" si="66"/>
        <v>EMSG:For eligible contact Sierra Bradfield credit score is null. Please make sure credit is orderedSTRACE:com.farmers.config.common.credit.CreditScoreHelper.populateRatingCreditDTO(CreditScoreHelper.gs:XXXSTRACERAW:-</v>
      </c>
      <c r="D2149" s="3">
        <f t="shared" si="67"/>
        <v>1</v>
      </c>
    </row>
    <row r="2150" spans="1:4" x14ac:dyDescent="0.35">
      <c r="A2150" t="s">
        <v>2327</v>
      </c>
      <c r="B2150">
        <v>2</v>
      </c>
      <c r="C2150" t="str">
        <f t="shared" si="66"/>
        <v>EMSG:For eligible contact Tania N Byler credit score is null. Please make sure credit is orderedSTRACE:com.farmers.config.common.credit.CreditScoreHelper.populateRatingCreditDTO(CreditScoreHelper.gs:XXXSTRACERAW:-</v>
      </c>
      <c r="D2150" s="3">
        <f t="shared" si="67"/>
        <v>1</v>
      </c>
    </row>
    <row r="2151" spans="1:4" x14ac:dyDescent="0.35">
      <c r="A2151" t="s">
        <v>2328</v>
      </c>
      <c r="B2151">
        <v>2</v>
      </c>
      <c r="C2151" t="str">
        <f t="shared" si="66"/>
        <v>EMSG:For eligible contact Thomas Applegate credit score is null. Please make sure credit is orderedSTRACE:com.farmers.config.common.credit.CreditScoreHelper.populateRatingCreditDTO(CreditScoreHelper.gs:XXXSTRACERAW:-</v>
      </c>
      <c r="D2151" s="3">
        <f t="shared" si="67"/>
        <v>1</v>
      </c>
    </row>
    <row r="2152" spans="1:4" x14ac:dyDescent="0.35">
      <c r="A2152" t="s">
        <v>2329</v>
      </c>
      <c r="B2152">
        <v>2</v>
      </c>
      <c r="C2152" t="str">
        <f t="shared" si="66"/>
        <v>EMSG:For eligible contact Thomas Wilhelm credit score is null. Please make sure credit is orderedSTRACE:com.farmers.config.common.credit.CreditScoreHelper.populateRatingCreditDTO(CreditScoreHelper.gs:XXXSTRACERAW:-</v>
      </c>
      <c r="D2152" s="3">
        <f t="shared" si="67"/>
        <v>1</v>
      </c>
    </row>
    <row r="2153" spans="1:4" x14ac:dyDescent="0.35">
      <c r="A2153" t="s">
        <v>2330</v>
      </c>
      <c r="B2153">
        <v>2</v>
      </c>
      <c r="C2153" t="str">
        <f t="shared" si="66"/>
        <v>EMSG:For eligible contact Vaughn Quern credit score is null. Please make sure credit is orderedSTRACE:com.farmers.config.common.credit.CreditScoreHelper.populateRatingCreditDTO(CreditScoreHelper.gs:XXXSTRACERAW:-</v>
      </c>
      <c r="D2153" s="3">
        <f t="shared" si="67"/>
        <v>1</v>
      </c>
    </row>
    <row r="2154" spans="1:4" x14ac:dyDescent="0.35">
      <c r="A2154" t="s">
        <v>2331</v>
      </c>
      <c r="B2154">
        <v>2</v>
      </c>
      <c r="C2154" t="str">
        <f t="shared" si="66"/>
        <v>EMSG:For eligible contact Victor Reyes credit score is null. Please make sure credit is orderedSTRACE:com.farmers.config.common.credit.CreditScoreHelper.populateRatingCreditDTO(CreditScoreHelper.gs:XXXSTRACERAW:-</v>
      </c>
      <c r="D2154" s="3">
        <f t="shared" si="67"/>
        <v>1</v>
      </c>
    </row>
    <row r="2155" spans="1:4" x14ac:dyDescent="0.35">
      <c r="A2155" t="s">
        <v>2332</v>
      </c>
      <c r="B2155">
        <v>2</v>
      </c>
      <c r="C2155" t="str">
        <f t="shared" si="66"/>
        <v>EMSG:For eligible contact Yuchen Hu credit score is null. Please make sure credit is orderedSTRACE:com.farmers.config.common.credit.CreditScoreHelper.populateRatingCreditDTO(CreditScoreHelper.gs:XXXSTRACERAW:-</v>
      </c>
      <c r="D2155" s="3">
        <f t="shared" si="67"/>
        <v>1</v>
      </c>
    </row>
    <row r="2156" spans="1:4" x14ac:dyDescent="0.35">
      <c r="A2156" t="s">
        <v>2333</v>
      </c>
      <c r="B2156">
        <v>2</v>
      </c>
      <c r="C2156" t="str">
        <f t="shared" si="66"/>
        <v>EMSG:For eligible contact Zorayda Gracia Mancilla credit score is null. Please make sure credit is orderedSTRACE:com.farmers.config.common.credit.CreditScoreHelper.populateRatingCreditDTO(CreditScoreHelper.gs:XXXSTRACERAW:-</v>
      </c>
      <c r="D2156" s="3">
        <f t="shared" si="67"/>
        <v>1</v>
      </c>
    </row>
    <row r="2157" spans="1:4" ht="43.5" x14ac:dyDescent="0.35">
      <c r="A2157" s="4" t="s">
        <v>2334</v>
      </c>
      <c r="B2157">
        <v>2</v>
      </c>
      <c r="C2157" t="str">
        <f t="shared" si="66"/>
        <v>EMSG:Found more than one target of the property XXXSTRACE:Jordan Ave, San Francisco, CA': ['HOConstructionDetails_Ext:pc:XXX - Dwelling Construction Details', 'HOConstructionDetails_Ext:pc:XXX - Dwelling Construction Details']. This could be due to a conc</v>
      </c>
      <c r="D2157" s="3">
        <f t="shared" si="67"/>
        <v>1</v>
      </c>
    </row>
    <row r="2158" spans="1:4" ht="43.5" x14ac:dyDescent="0.35">
      <c r="A2158" s="4" t="s">
        <v>2335</v>
      </c>
      <c r="B2158">
        <v>2</v>
      </c>
      <c r="C2158" t="str">
        <f t="shared" si="66"/>
        <v>EMSG:Found more than one target of the property XXXSTRACE:Ramona Valley Ln, Antioch, CA': ['HOConstructionDetails_Ext:pc:XXX - Dwelling Construction Details', 'HOConstructionDetails_Ext:pc:XXX - Dwelling Construction Details']. This could be due to a conc</v>
      </c>
      <c r="D2158" s="3">
        <f t="shared" si="67"/>
        <v>1</v>
      </c>
    </row>
    <row r="2159" spans="1:4" ht="43.5" x14ac:dyDescent="0.35">
      <c r="A2159" s="4" t="s">
        <v>2336</v>
      </c>
      <c r="B2159">
        <v>2</v>
      </c>
      <c r="C2159" t="str">
        <f t="shared" si="66"/>
        <v xml:space="preserve">EMSG:Found more than one target of the property XXXSTRACE:Rialto Ave, Colton, CA': ['HOConstructionDetails_Ext:pc:XXX - Dwelling Construction Details', 'HOConstructionDetails_Ext:pc:XXX - Dwelling Construction Details']. This could be due to a concurrent </v>
      </c>
      <c r="D2159" s="3">
        <f t="shared" si="67"/>
        <v>1</v>
      </c>
    </row>
    <row r="2160" spans="1:4" ht="43.5" x14ac:dyDescent="0.35">
      <c r="A2160" s="4" t="s">
        <v>2337</v>
      </c>
      <c r="B2160">
        <v>2</v>
      </c>
      <c r="C2160" t="str">
        <f t="shared" si="66"/>
        <v>EMSG:Found more than one target of the property XXXSTRACE:Romero Cyn Rd Castaic Ca XXX, Castaic, CA': ['HOConstructionDetails_Ext:pc:XXX - Dwelling Construction Details', 'HOConstructionDetails_Ext:pc:XXX - Dwelling Construction Details']. This could be d</v>
      </c>
      <c r="D2160" s="3">
        <f t="shared" si="67"/>
        <v>1</v>
      </c>
    </row>
    <row r="2161" spans="1:4" ht="43.5" x14ac:dyDescent="0.35">
      <c r="A2161" s="4" t="s">
        <v>2338</v>
      </c>
      <c r="B2161">
        <v>2</v>
      </c>
      <c r="C2161" t="str">
        <f t="shared" si="66"/>
        <v>EMSG:Found more than one target of the property XXXSTRACE:XXX Acacia Ln, Newbury Park, CA': ['HOConstructionDetails_Ext:pc:XXX - Dwelling Construction Details', 'HOConstructionDetails_Ext:pc:XXX - Dwelling Construction Details']. This could be due to a co</v>
      </c>
      <c r="D2161" s="3">
        <f t="shared" si="67"/>
        <v>1</v>
      </c>
    </row>
    <row r="2162" spans="1:4" ht="43.5" x14ac:dyDescent="0.35">
      <c r="A2162" s="4" t="s">
        <v>2339</v>
      </c>
      <c r="B2162">
        <v>2</v>
      </c>
      <c r="C2162" t="str">
        <f t="shared" si="66"/>
        <v>EMSG:Found more than one target of the property XXXSTRACE:XXX Baja Panorama, Santa Ana, CA': ['HOConstructionDetails_Ext:pc:XXX - Dwelling Construction Details', 'HOConstructionDetails_Ext:pc:XXX - Dwelling Construction Details']. This could be due to a c</v>
      </c>
      <c r="D2162" s="3">
        <f t="shared" si="67"/>
        <v>1</v>
      </c>
    </row>
    <row r="2163" spans="1:4" ht="43.5" x14ac:dyDescent="0.35">
      <c r="A2163" s="4" t="s">
        <v>2340</v>
      </c>
      <c r="B2163">
        <v>2</v>
      </c>
      <c r="C2163" t="str">
        <f t="shared" si="66"/>
        <v>EMSG:Found more than one target of the property XXXSTRACE:XXX Briar Meadow Cir, Auburn, CA': ['HOConstructionDetails_Ext:pc:XXX - Dwelling Construction Details', 'HOConstructionDetails_Ext:pc:XXX - Dwelling Construction Details']. This could be due to a c</v>
      </c>
      <c r="D2163" s="3">
        <f t="shared" si="67"/>
        <v>1</v>
      </c>
    </row>
    <row r="2164" spans="1:4" ht="43.5" x14ac:dyDescent="0.35">
      <c r="A2164" s="4" t="s">
        <v>2341</v>
      </c>
      <c r="B2164">
        <v>2</v>
      </c>
      <c r="C2164" t="str">
        <f t="shared" si="66"/>
        <v>EMSG:Found more than one target of the property XXXSTRACE:XXX Canyon Crest Ln, Lake Arrowhead, CA': ['HOConstructionDetails_Ext:pc:XXX - Dwelling Construction Details', 'HOConstructionDetails_Ext:pc:XXX - Dwelling Construction Details']. This could be due</v>
      </c>
      <c r="D2164" s="3">
        <f t="shared" si="67"/>
        <v>1</v>
      </c>
    </row>
    <row r="2165" spans="1:4" ht="43.5" x14ac:dyDescent="0.35">
      <c r="A2165" s="4" t="s">
        <v>2342</v>
      </c>
      <c r="B2165">
        <v>2</v>
      </c>
      <c r="C2165" t="str">
        <f t="shared" si="66"/>
        <v>EMSG:Found more than one target of the property XXXSTRACE:XXX Carinda Ct, Palm Desert, CA': ['HOConstructionDetails_Ext:pc:XXX - Dwelling Construction Details', 'HOConstructionDetails_Ext:pc:XXX - Dwelling Construction Details']. This could be due to a co</v>
      </c>
      <c r="D2165" s="3">
        <f t="shared" si="67"/>
        <v>1</v>
      </c>
    </row>
    <row r="2166" spans="1:4" ht="43.5" x14ac:dyDescent="0.35">
      <c r="A2166" s="4" t="s">
        <v>2343</v>
      </c>
      <c r="B2166">
        <v>2</v>
      </c>
      <c r="C2166" t="str">
        <f t="shared" si="66"/>
        <v>EMSG:Found more than one target of the property XXXSTRACE:XXX Cormorant Dr, Folsom, CA': ['HOConstructionDetails_Ext:pc:XXX - Dwelling Construction Details', 'HOConstructionDetails_Ext:pc:XXX - Dwelling Construction Details']. This could be due to a concu</v>
      </c>
      <c r="D2166" s="3">
        <f t="shared" si="67"/>
        <v>1</v>
      </c>
    </row>
    <row r="2167" spans="1:4" ht="43.5" x14ac:dyDescent="0.35">
      <c r="A2167" s="4" t="s">
        <v>2344</v>
      </c>
      <c r="B2167">
        <v>2</v>
      </c>
      <c r="C2167" t="str">
        <f t="shared" si="66"/>
        <v>EMSG:Found more than one target of the property XXXSTRACE:XXX Countryside Ln, San Luis Obispo, CA': ['HOConstructionDetails_Ext:pc:XXX - Dwelling Construction Details', 'HOConstructionDetails_Ext:pc:XXX - Dwelling Construction Details']. This could be due</v>
      </c>
      <c r="D2167" s="3">
        <f t="shared" si="67"/>
        <v>1</v>
      </c>
    </row>
    <row r="2168" spans="1:4" ht="43.5" x14ac:dyDescent="0.35">
      <c r="A2168" s="4" t="s">
        <v>2345</v>
      </c>
      <c r="B2168">
        <v>2</v>
      </c>
      <c r="C2168" t="str">
        <f t="shared" si="66"/>
        <v>EMSG:Found more than one target of the property XXXSTRACE:XXX DAnton St, San Francisco, CA': ['HOConstructionDetails_Ext:pc:XXX - Dwelling Construction Details', 'HOConstructionDetails_Ext:pc:XXX - Dwelling Construction Details']. This could be due to a c</v>
      </c>
      <c r="D2168" s="3">
        <f t="shared" si="67"/>
        <v>1</v>
      </c>
    </row>
    <row r="2169" spans="1:4" ht="43.5" x14ac:dyDescent="0.35">
      <c r="A2169" s="4" t="s">
        <v>2346</v>
      </c>
      <c r="B2169">
        <v>2</v>
      </c>
      <c r="C2169" t="str">
        <f t="shared" si="66"/>
        <v>EMSG:Found more than one target of the property XXXSTRACE:XXX Del Mar Ave, Rosemead, CA': ['HOConstructionDetails_Ext:pc:XXX - Dwelling Construction Details', 'HOConstructionDetails_Ext:pc:XXX - Dwelling Construction Details']. This could be due to a conc</v>
      </c>
      <c r="D2169" s="3">
        <f t="shared" si="67"/>
        <v>1</v>
      </c>
    </row>
    <row r="2170" spans="1:4" ht="43.5" x14ac:dyDescent="0.35">
      <c r="A2170" s="4" t="s">
        <v>2347</v>
      </c>
      <c r="B2170">
        <v>2</v>
      </c>
      <c r="C2170" t="str">
        <f t="shared" si="66"/>
        <v>EMSG:Found more than one target of the property XXXSTRACE:XXX Del Valle Ave, LA Puente, CA': ['HOConstructionDetails_Ext:pc:XXX - Dwelling Construction Details', 'HOConstructionDetails_Ext:pc:XXX - Dwelling Construction Details']. This could be due to a c</v>
      </c>
      <c r="D2170" s="3">
        <f t="shared" si="67"/>
        <v>1</v>
      </c>
    </row>
    <row r="2171" spans="1:4" ht="43.5" x14ac:dyDescent="0.35">
      <c r="A2171" s="4" t="s">
        <v>2348</v>
      </c>
      <c r="B2171">
        <v>2</v>
      </c>
      <c r="C2171" t="str">
        <f t="shared" si="66"/>
        <v>EMSG:Found more than one target of the property XXXSTRACE:XXX Dragonfly St, Glendale, CA': ['HOConstructionDetails_Ext:pc:XXX - Dwelling Construction Details', 'HOConstructionDetails_Ext:pc:XXX - Dwelling Construction Details']. This could be due to a con</v>
      </c>
      <c r="D2171" s="3">
        <f t="shared" si="67"/>
        <v>1</v>
      </c>
    </row>
    <row r="2172" spans="1:4" ht="43.5" x14ac:dyDescent="0.35">
      <c r="A2172" s="4" t="s">
        <v>2349</v>
      </c>
      <c r="B2172">
        <v>2</v>
      </c>
      <c r="C2172" t="str">
        <f t="shared" si="66"/>
        <v>EMSG:Found more than one target of the property XXXSTRACE:XXX E McKenzie Ave, Fresno, CA': ['HOConstructionDetails_Ext:pc:XXX - Dwelling Construction Details', 'HOConstructionDetails_Ext:pc:XXX - Dwelling Construction Details']. This could be due to a con</v>
      </c>
      <c r="D2172" s="3">
        <f t="shared" si="67"/>
        <v>1</v>
      </c>
    </row>
    <row r="2173" spans="1:4" ht="43.5" x14ac:dyDescent="0.35">
      <c r="A2173" s="4" t="s">
        <v>2350</v>
      </c>
      <c r="B2173">
        <v>2</v>
      </c>
      <c r="C2173" t="str">
        <f t="shared" si="66"/>
        <v>EMSG:Found more than one target of the property XXXSTRACE:XXX Encelia Pl, Carlsbad, CA': ['HOConstructionDetails_Ext:pc:XXX - Dwelling Construction Details', 'HOConstructionDetails_Ext:pc:XXX - Dwelling Construction Details']. This could be due to a concu</v>
      </c>
      <c r="D2173" s="3">
        <f t="shared" si="67"/>
        <v>1</v>
      </c>
    </row>
    <row r="2174" spans="1:4" ht="43.5" x14ac:dyDescent="0.35">
      <c r="A2174" s="4" t="s">
        <v>2351</v>
      </c>
      <c r="B2174">
        <v>2</v>
      </c>
      <c r="C2174" t="str">
        <f t="shared" si="66"/>
        <v>EMSG:Found more than one target of the property XXXSTRACE:XXX Falcon St, Pomona, CA': ['HOConstructionDetails_Ext:pc:XXX - Dwelling Construction Details', 'HOConstructionDetails_Ext:pc:XXX - Dwelling Construction Details']. This could be due to a concurre</v>
      </c>
      <c r="D2174" s="3">
        <f t="shared" si="67"/>
        <v>1</v>
      </c>
    </row>
    <row r="2175" spans="1:4" ht="43.5" x14ac:dyDescent="0.35">
      <c r="A2175" s="4" t="s">
        <v>2352</v>
      </c>
      <c r="B2175">
        <v>2</v>
      </c>
      <c r="C2175" t="str">
        <f t="shared" si="66"/>
        <v>EMSG:Found more than one target of the property XXXSTRACE:XXX Fathom Ct, Atwater, CA': ['HOConstructionDetails_Ext:pc:XXX - Dwelling Construction Details', 'HOConstructionDetails_Ext:pc:XXX - Dwelling Construction Details']. This could be due to a concurr</v>
      </c>
      <c r="D2175" s="3">
        <f t="shared" si="67"/>
        <v>1</v>
      </c>
    </row>
    <row r="2176" spans="1:4" ht="43.5" x14ac:dyDescent="0.35">
      <c r="A2176" s="4" t="s">
        <v>2353</v>
      </c>
      <c r="B2176">
        <v>2</v>
      </c>
      <c r="C2176" t="str">
        <f t="shared" si="66"/>
        <v>EMSG:Found more than one target of the property XXXSTRACE:XXX Forest Dr, Stockton, CA': ['HOConstructionDetails_Ext:pc:XXX - Dwelling Construction Details', 'HOConstructionDetails_Ext:pc:XXX - Dwelling Construction Details']. This could be due to a concur</v>
      </c>
      <c r="D2176" s="3">
        <f t="shared" si="67"/>
        <v>1</v>
      </c>
    </row>
    <row r="2177" spans="1:4" ht="43.5" x14ac:dyDescent="0.35">
      <c r="A2177" s="4" t="s">
        <v>2354</v>
      </c>
      <c r="B2177">
        <v>2</v>
      </c>
      <c r="C2177" t="str">
        <f t="shared" si="66"/>
        <v>EMSG:Found more than one target of the property XXXSTRACE:XXX HAYDEN WAY, MARINA, CA': ['HOConstructionDetails_Ext:pc:XXX - Dwelling Construction Details', 'HOConstructionDetails_Ext:pc:XXX - Dwelling Construction Details']. This could be due to a concurr</v>
      </c>
      <c r="D2177" s="3">
        <f t="shared" si="67"/>
        <v>1</v>
      </c>
    </row>
    <row r="2178" spans="1:4" ht="43.5" x14ac:dyDescent="0.35">
      <c r="A2178" s="4" t="s">
        <v>2355</v>
      </c>
      <c r="B2178">
        <v>2</v>
      </c>
      <c r="C2178" t="str">
        <f t="shared" ref="C2178:C2241" si="68">LEFT(A2178,255)</f>
        <v xml:space="preserve">EMSG:Found more than one target of the property XXXSTRACE:XXX Headlands Dr, Bakersfield, CA': ['HOConstructionDetails_Ext:pc:XXX - Dwelling Construction Details', 'HOConstructionDetails_Ext:pc:XXX - Dwelling Construction Details']. This could be due to a </v>
      </c>
      <c r="D2178" s="3">
        <f t="shared" ref="D2178:D2241" si="69">IF(AND((B2178/10)&lt;1,(B2178/10)&gt;0),1,(B2178/10)*130%)</f>
        <v>1</v>
      </c>
    </row>
    <row r="2179" spans="1:4" ht="43.5" x14ac:dyDescent="0.35">
      <c r="A2179" s="4" t="s">
        <v>2356</v>
      </c>
      <c r="B2179">
        <v>2</v>
      </c>
      <c r="C2179" t="str">
        <f t="shared" si="68"/>
        <v xml:space="preserve">EMSG:Found more than one target of the property XXXSTRACE:XXX Helianthus, Rancho Santa Margarita, CA': ['HOConstructionDetails_Ext:pc:XXX - Dwelling Construction Details', 'HOConstructionDetails_Ext:pc:XXX - Dwelling Construction Details']. This could be </v>
      </c>
      <c r="D2179" s="3">
        <f t="shared" si="69"/>
        <v>1</v>
      </c>
    </row>
    <row r="2180" spans="1:4" ht="43.5" x14ac:dyDescent="0.35">
      <c r="A2180" s="4" t="s">
        <v>2357</v>
      </c>
      <c r="B2180">
        <v>2</v>
      </c>
      <c r="C2180" t="str">
        <f t="shared" si="68"/>
        <v>EMSG:Found more than one target of the property XXXSTRACE:XXX Lingo Cir, Reedley, CA': ['HOConstructionDetails_Ext:pc:XXX - Dwelling Construction Details', 'HOConstructionDetails_Ext:pc:XXX - Dwelling Construction Details']. This could be due to a concurr</v>
      </c>
      <c r="D2180" s="3">
        <f t="shared" si="69"/>
        <v>1</v>
      </c>
    </row>
    <row r="2181" spans="1:4" ht="43.5" x14ac:dyDescent="0.35">
      <c r="A2181" s="4" t="s">
        <v>2358</v>
      </c>
      <c r="B2181">
        <v>2</v>
      </c>
      <c r="C2181" t="str">
        <f t="shared" si="68"/>
        <v>EMSG:Found more than one target of the property XXXSTRACE:XXX Lodge Rd, Auberry, CA': ['HOConstructionDetails_Ext:pc:XXX - Dwelling Construction Details', 'HOConstructionDetails_Ext:pc:XXX - Dwelling Construction Details']. This could be due to a concurre</v>
      </c>
      <c r="D2181" s="3">
        <f t="shared" si="69"/>
        <v>1</v>
      </c>
    </row>
    <row r="2182" spans="1:4" ht="43.5" x14ac:dyDescent="0.35">
      <c r="A2182" s="4" t="s">
        <v>2359</v>
      </c>
      <c r="B2182">
        <v>2</v>
      </c>
      <c r="C2182" t="str">
        <f t="shared" si="68"/>
        <v>EMSG:Found more than one target of the property XXXSTRACE:XXX Lorimer Way, Roseville, CA': ['HOConstructionDetails_Ext:pc:XXX - Dwelling Construction Details', 'HOConstructionDetails_Ext:pc:XXX - Dwelling Construction Details']. This could be due to a con</v>
      </c>
      <c r="D2182" s="3">
        <f t="shared" si="69"/>
        <v>1</v>
      </c>
    </row>
    <row r="2183" spans="1:4" ht="43.5" x14ac:dyDescent="0.35">
      <c r="A2183" s="4" t="s">
        <v>2360</v>
      </c>
      <c r="B2183">
        <v>2</v>
      </c>
      <c r="C2183" t="str">
        <f t="shared" si="68"/>
        <v>EMSG:Found more than one target of the property XXXSTRACE:XXX Malaga St, Fontana, CA': ['HOConstructionDetails_Ext:pc:XXX - Dwelling Construction Details', 'HOConstructionDetails_Ext:pc:XXX - Dwelling Construction Details']. This could be due to a concurr</v>
      </c>
      <c r="D2183" s="3">
        <f t="shared" si="69"/>
        <v>1</v>
      </c>
    </row>
    <row r="2184" spans="1:4" ht="43.5" x14ac:dyDescent="0.35">
      <c r="A2184" s="4" t="s">
        <v>2361</v>
      </c>
      <c r="B2184">
        <v>2</v>
      </c>
      <c r="C2184" t="str">
        <f t="shared" si="68"/>
        <v xml:space="preserve">EMSG:Found more than one target of the property XXXSTRACE:XXX Mathews St # A, Riverside, CA': ['HOConstructionDetails_Ext:pc:XXX - Dwelling Construction Details', 'HOConstructionDetails_Ext:pc:XXX - Dwelling Construction Details']. This could be due to a </v>
      </c>
      <c r="D2184" s="3">
        <f t="shared" si="69"/>
        <v>1</v>
      </c>
    </row>
    <row r="2185" spans="1:4" ht="43.5" x14ac:dyDescent="0.35">
      <c r="A2185" s="4" t="s">
        <v>2362</v>
      </c>
      <c r="B2185">
        <v>2</v>
      </c>
      <c r="C2185" t="str">
        <f t="shared" si="68"/>
        <v>EMSG:Found more than one target of the property XXXSTRACE:XXX Maynard Ave, West Hills, CA': ['HOConstructionDetails_Ext:pc:XXX - Dwelling Construction Details', 'HOConstructionDetails_Ext:pc:XXX - Dwelling Construction Details']. This could be due to a co</v>
      </c>
      <c r="D2185" s="3">
        <f t="shared" si="69"/>
        <v>1</v>
      </c>
    </row>
    <row r="2186" spans="1:4" ht="43.5" x14ac:dyDescent="0.35">
      <c r="A2186" s="4" t="s">
        <v>2363</v>
      </c>
      <c r="B2186">
        <v>2</v>
      </c>
      <c r="C2186" t="str">
        <f t="shared" si="68"/>
        <v>EMSG:Found more than one target of the property XXXSTRACE:XXX Monterey Pine Dr, Newport Beach, CA': ['HOConstructionDetails_Ext:pc:XXX - Dwelling Construction Details', 'HOConstructionDetails_Ext:pc:XXX - Dwelling Construction Details']. This could be due</v>
      </c>
      <c r="D2186" s="3">
        <f t="shared" si="69"/>
        <v>1</v>
      </c>
    </row>
    <row r="2187" spans="1:4" ht="43.5" x14ac:dyDescent="0.35">
      <c r="A2187" s="4" t="s">
        <v>2364</v>
      </c>
      <c r="B2187">
        <v>2</v>
      </c>
      <c r="C2187" t="str">
        <f t="shared" si="68"/>
        <v xml:space="preserve">EMSG:Found more than one target of the property XXXSTRACE:XXX Moonstone Beach Dr, Cambria, CA': ['HOConstructionDetails_Ext:pc:XXX - Dwelling Construction Details', 'HOConstructionDetails_Ext:pc:XXX - Dwelling Construction Details']. This could be due to </v>
      </c>
      <c r="D2187" s="3">
        <f t="shared" si="69"/>
        <v>1</v>
      </c>
    </row>
    <row r="2188" spans="1:4" ht="43.5" x14ac:dyDescent="0.35">
      <c r="A2188" s="4" t="s">
        <v>2365</v>
      </c>
      <c r="B2188">
        <v>2</v>
      </c>
      <c r="C2188" t="str">
        <f t="shared" si="68"/>
        <v>EMSG:Found more than one target of the property XXXSTRACE:XXX N Ardmore Ave, Los Angeles, CA': ['HOConstructionDetails_Ext:pc:XXX - Dwelling Construction Details', 'HOConstructionDetails_Ext:pc:XXX - Dwelling Construction Details']. This could be due to a</v>
      </c>
      <c r="D2188" s="3">
        <f t="shared" si="69"/>
        <v>1</v>
      </c>
    </row>
    <row r="2189" spans="1:4" ht="43.5" x14ac:dyDescent="0.35">
      <c r="A2189" s="4" t="s">
        <v>2366</v>
      </c>
      <c r="B2189">
        <v>2</v>
      </c>
      <c r="C2189" t="str">
        <f t="shared" si="68"/>
        <v>EMSG:Found more than one target of the property XXXSTRACE:XXX N Iris Ave, Rialto, CA': ['HOConstructionDetails_Ext:pc:XXX - Dwelling Construction Details', 'HOConstructionDetails_Ext:pc:XXX - Dwelling Construction Details']. This could be due to a concurr</v>
      </c>
      <c r="D2189" s="3">
        <f t="shared" si="69"/>
        <v>1</v>
      </c>
    </row>
    <row r="2190" spans="1:4" ht="43.5" x14ac:dyDescent="0.35">
      <c r="A2190" s="4" t="s">
        <v>2367</v>
      </c>
      <c r="B2190">
        <v>2</v>
      </c>
      <c r="C2190" t="str">
        <f t="shared" si="68"/>
        <v>EMSG:Found more than one target of the property XXXSTRACE:XXX N XXXth Ave, Phoenix, AZ': ['HOConstructionDetails_Ext:pc:XXX - Dwelling Construction Details', 'HOConstructionDetails_Ext:pc:XXX - Dwelling Construction Details']. This could be due to a concu</v>
      </c>
      <c r="D2190" s="3">
        <f t="shared" si="69"/>
        <v>1</v>
      </c>
    </row>
    <row r="2191" spans="1:4" ht="43.5" x14ac:dyDescent="0.35">
      <c r="A2191" s="4" t="s">
        <v>2368</v>
      </c>
      <c r="B2191">
        <v>2</v>
      </c>
      <c r="C2191" t="str">
        <f t="shared" si="68"/>
        <v>EMSG:Found more than one target of the property XXXSTRACE:XXX Nord Hwy Apt XXX, Chico, CA': ['HOConstructionDetails_Ext:pc:XXX - Dwelling Construction Details', 'HOConstructionDetails_Ext:pc:XXX - Dwelling Construction Details']. This could be due to a co</v>
      </c>
      <c r="D2191" s="3">
        <f t="shared" si="69"/>
        <v>1</v>
      </c>
    </row>
    <row r="2192" spans="1:4" ht="43.5" x14ac:dyDescent="0.35">
      <c r="A2192" s="4" t="s">
        <v>2369</v>
      </c>
      <c r="B2192">
        <v>2</v>
      </c>
      <c r="C2192" t="str">
        <f t="shared" si="68"/>
        <v>EMSG:Found more than one target of the property XXXSTRACE:XXX Nova Ln, Menifee, CA': ['HOConstructionDetails_Ext:pc:XXX - Dwelling Construction Details', 'HOConstructionDetails_Ext:pc:XXX - Dwelling Construction Details']. This could be due to a concurren</v>
      </c>
      <c r="D2192" s="3">
        <f t="shared" si="69"/>
        <v>1</v>
      </c>
    </row>
    <row r="2193" spans="1:4" ht="43.5" x14ac:dyDescent="0.35">
      <c r="A2193" s="4" t="s">
        <v>2370</v>
      </c>
      <c r="B2193">
        <v>2</v>
      </c>
      <c r="C2193" t="str">
        <f t="shared" si="68"/>
        <v>EMSG:Found more than one target of the property XXXSTRACE:XXX Oak Dr Spc XXX, Vista, CA': ['HOConstructionDetails_Ext:pc:XXX - Dwelling Construction Details', 'HOConstructionDetails_Ext:pc:XXX - Dwelling Construction Details']. This could be due to a conc</v>
      </c>
      <c r="D2193" s="3">
        <f t="shared" si="69"/>
        <v>1</v>
      </c>
    </row>
    <row r="2194" spans="1:4" ht="43.5" x14ac:dyDescent="0.35">
      <c r="A2194" s="4" t="s">
        <v>2371</v>
      </c>
      <c r="B2194">
        <v>2</v>
      </c>
      <c r="C2194" t="str">
        <f t="shared" si="68"/>
        <v>EMSG:Found more than one target of the property XXXSTRACE:XXX Pacific Breeze Dr, Santa Rosa Valley, CA': ['HOConstructionDetails_Ext:pc:XXX - Dwelling Construction Details', 'HOConstructionDetails_Ext:pc:XXX - Dwelling Construction Details']. This could b</v>
      </c>
      <c r="D2194" s="3">
        <f t="shared" si="69"/>
        <v>1</v>
      </c>
    </row>
    <row r="2195" spans="1:4" ht="43.5" x14ac:dyDescent="0.35">
      <c r="A2195" s="4" t="s">
        <v>2372</v>
      </c>
      <c r="B2195">
        <v>2</v>
      </c>
      <c r="C2195" t="str">
        <f t="shared" si="68"/>
        <v>EMSG:Found more than one target of the property XXXSTRACE:XXX Primoak Way, Elk Grove, CA': ['HOConstructionDetails_Ext:pc:XXX - Dwelling Construction Details', 'HOConstructionDetails_Ext:pc:XXX - Dwelling Construction Details']. This could be due to a con</v>
      </c>
      <c r="D2195" s="3">
        <f t="shared" si="69"/>
        <v>1</v>
      </c>
    </row>
    <row r="2196" spans="1:4" ht="43.5" x14ac:dyDescent="0.35">
      <c r="A2196" s="4" t="s">
        <v>2373</v>
      </c>
      <c r="B2196">
        <v>2</v>
      </c>
      <c r="C2196" t="str">
        <f t="shared" si="68"/>
        <v>EMSG:Found more than one target of the property XXXSTRACE:XXX RAND ST, BUENA PARK, CA': ['HOConstructionDetails_Ext:pc:XXX - Dwelling Construction Details', 'HOConstructionDetails_Ext:pc:XXX - Dwelling Construction Details']. This could be due to a concur</v>
      </c>
      <c r="D2196" s="3">
        <f t="shared" si="69"/>
        <v>1</v>
      </c>
    </row>
    <row r="2197" spans="1:4" ht="43.5" x14ac:dyDescent="0.35">
      <c r="A2197" s="4" t="s">
        <v>2374</v>
      </c>
      <c r="B2197">
        <v>2</v>
      </c>
      <c r="C2197" t="str">
        <f t="shared" si="68"/>
        <v>EMSG:Found more than one target of the property XXXSTRACE:XXX Ravenna Ln, Stockton, CA': ['HOConstructionDetails_Ext:pc:XXX - Dwelling Construction Details', 'HOConstructionDetails_Ext:pc:XXX - Dwelling Construction Details']. This could be due to a concu</v>
      </c>
      <c r="D2197" s="3">
        <f t="shared" si="69"/>
        <v>1</v>
      </c>
    </row>
    <row r="2198" spans="1:4" ht="43.5" x14ac:dyDescent="0.35">
      <c r="A2198" s="4" t="s">
        <v>2375</v>
      </c>
      <c r="B2198">
        <v>2</v>
      </c>
      <c r="C2198" t="str">
        <f t="shared" si="68"/>
        <v>EMSG:Found more than one target of the property XXXSTRACE:XXX Richard St # XXX, Lucerne Valley, CA': ['HOConstructionDetails_Ext:pc:XXX - Dwelling Construction Details', 'HOConstructionDetails_Ext:pc:XXX - Dwelling Construction Details']. This could be du</v>
      </c>
      <c r="D2198" s="3">
        <f t="shared" si="69"/>
        <v>1</v>
      </c>
    </row>
    <row r="2199" spans="1:4" ht="43.5" x14ac:dyDescent="0.35">
      <c r="A2199" s="4" t="s">
        <v>2376</v>
      </c>
      <c r="B2199">
        <v>2</v>
      </c>
      <c r="C2199" t="str">
        <f t="shared" si="68"/>
        <v>EMSG:Found more than one target of the property XXXSTRACE:XXX San Mateo Cir, Hemet, CA': ['HOConstructionDetails_Ext:pc:XXX - Dwelling Construction Details', 'HOConstructionDetails_Ext:pc:XXX - Dwelling Construction Details']. This could be due to a concu</v>
      </c>
      <c r="D2199" s="3">
        <f t="shared" si="69"/>
        <v>1</v>
      </c>
    </row>
    <row r="2200" spans="1:4" ht="43.5" x14ac:dyDescent="0.35">
      <c r="A2200" s="4" t="s">
        <v>2377</v>
      </c>
      <c r="B2200">
        <v>2</v>
      </c>
      <c r="C2200" t="str">
        <f t="shared" si="68"/>
        <v>EMSG:Found more than one target of the property XXXSTRACE:XXX Savona Ct, Vista, CA': ['HOConstructionDetails_Ext:pc:XXX - Dwelling Construction Details', 'HOConstructionDetails_Ext:pc:XXX - Dwelling Construction Details']. This could be due to a concurren</v>
      </c>
      <c r="D2200" s="3">
        <f t="shared" si="69"/>
        <v>1</v>
      </c>
    </row>
    <row r="2201" spans="1:4" ht="43.5" x14ac:dyDescent="0.35">
      <c r="A2201" s="4" t="s">
        <v>2378</v>
      </c>
      <c r="B2201">
        <v>2</v>
      </c>
      <c r="C2201" t="str">
        <f t="shared" si="68"/>
        <v>EMSG:Found more than one target of the property XXXSTRACE:XXX Sea Breeze Way, Menifee, CA': ['HOConstructionDetails_Ext:pc:XXX - Dwelling Construction Details', 'HOConstructionDetails_Ext:pc:XXX - Dwelling Construction Details']. This could be due to a co</v>
      </c>
      <c r="D2201" s="3">
        <f t="shared" si="69"/>
        <v>1</v>
      </c>
    </row>
    <row r="2202" spans="1:4" ht="43.5" x14ac:dyDescent="0.35">
      <c r="A2202" s="4" t="s">
        <v>2379</v>
      </c>
      <c r="B2202">
        <v>2</v>
      </c>
      <c r="C2202" t="str">
        <f t="shared" si="68"/>
        <v>EMSG:Found more than one target of the property XXXSTRACE:XXX Stonesgate St, Westlake Village, CA': ['HOConstructionDetails_Ext:pc:XXX - Dwelling Construction Details', 'HOConstructionDetails_Ext:pc:XXX - Dwelling Construction Details']. This could be due</v>
      </c>
      <c r="D2202" s="3">
        <f t="shared" si="69"/>
        <v>1</v>
      </c>
    </row>
    <row r="2203" spans="1:4" ht="43.5" x14ac:dyDescent="0.35">
      <c r="A2203" s="4" t="s">
        <v>2380</v>
      </c>
      <c r="B2203">
        <v>2</v>
      </c>
      <c r="C2203" t="str">
        <f t="shared" si="68"/>
        <v xml:space="preserve">EMSG:Found more than one target of the property XXXSTRACE:XXX Sutter Rd, Lucerne Valley, CA': ['HOConstructionDetails_Ext:pc:XXX - Dwelling Construction Details', 'HOConstructionDetails_Ext:pc:XXX - Dwelling Construction Details']. This could be due to a </v>
      </c>
      <c r="D2203" s="3">
        <f t="shared" si="69"/>
        <v>1</v>
      </c>
    </row>
    <row r="2204" spans="1:4" ht="43.5" x14ac:dyDescent="0.35">
      <c r="A2204" s="4" t="s">
        <v>2381</v>
      </c>
      <c r="B2204">
        <v>2</v>
      </c>
      <c r="C2204" t="str">
        <f t="shared" si="68"/>
        <v>EMSG:Found more than one target of the property XXXSTRACE:XXX Trail Rock Ct, Simi Valley, CA': ['HOConstructionDetails_Ext:pc:XXX - Dwelling Construction Details', 'HOConstructionDetails_Ext:pc:XXX - Dwelling Construction Details']. This could be due to a</v>
      </c>
      <c r="D2204" s="3">
        <f t="shared" si="69"/>
        <v>1</v>
      </c>
    </row>
    <row r="2205" spans="1:4" ht="43.5" x14ac:dyDescent="0.35">
      <c r="A2205" s="4" t="s">
        <v>2382</v>
      </c>
      <c r="B2205">
        <v>2</v>
      </c>
      <c r="C2205" t="str">
        <f t="shared" si="68"/>
        <v>EMSG:Found more than one target of the property XXXSTRACE:XXX Treeline Dr Unit XXX, Corona, CA': ['HOConstructionDetails_Ext:pc:XXX - Dwelling Construction Details', 'HOConstructionDetails_Ext:pc:XXX - Dwelling Construction Details']. This could be due to</v>
      </c>
      <c r="D2205" s="3">
        <f t="shared" si="69"/>
        <v>1</v>
      </c>
    </row>
    <row r="2206" spans="1:4" ht="43.5" x14ac:dyDescent="0.35">
      <c r="A2206" s="4" t="s">
        <v>2383</v>
      </c>
      <c r="B2206">
        <v>2</v>
      </c>
      <c r="C2206" t="str">
        <f t="shared" si="68"/>
        <v>EMSG:Found more than one target of the property XXXSTRACE:XXX Vista Grande, Greenbrae, CA': ['HOConstructionDetails_Ext:pc:XXX - Dwelling Construction Details', 'HOConstructionDetails_Ext:pc:XXX - Dwelling Construction Details']. This could be due to a co</v>
      </c>
      <c r="D2206" s="3">
        <f t="shared" si="69"/>
        <v>1</v>
      </c>
    </row>
    <row r="2207" spans="1:4" ht="43.5" x14ac:dyDescent="0.35">
      <c r="A2207" s="4" t="s">
        <v>2384</v>
      </c>
      <c r="B2207">
        <v>2</v>
      </c>
      <c r="C2207" t="str">
        <f t="shared" si="68"/>
        <v xml:space="preserve">EMSG:Found more than one target of the property XXXSTRACE:XXX W Las Positas Blvd, Pleasanton, CA': ['HOConstructionDetails_Ext:pc:XXX - Dwelling Construction Details', 'HOConstructionDetails_Ext:pc:XXX - Dwelling Construction Details']. This could be due </v>
      </c>
      <c r="D2207" s="3">
        <f t="shared" si="69"/>
        <v>1</v>
      </c>
    </row>
    <row r="2208" spans="1:4" x14ac:dyDescent="0.35">
      <c r="A2208" t="s">
        <v>2385</v>
      </c>
      <c r="B2208">
        <v>2</v>
      </c>
      <c r="C2208" t="str">
        <f t="shared" si="68"/>
        <v>EMSG:GALO PALACIOS GUAYASAMINSTRACE:com.farmers.config.pa.validator.BrightlineValidator.validateQuoteBrightlineRules(BrightlineValidator.gs:XXXSTRACERAW:-</v>
      </c>
      <c r="D2208" s="3">
        <f t="shared" si="69"/>
        <v>1</v>
      </c>
    </row>
    <row r="2209" spans="1:4" x14ac:dyDescent="0.35">
      <c r="A2209" t="s">
        <v>2386</v>
      </c>
      <c r="B2209">
        <v>2</v>
      </c>
      <c r="C2209" t="str">
        <f t="shared" si="68"/>
        <v>EMSG:GAVIN RICHARDSONSTRACE:com.farmers.config.pa.validator.BrightlineValidator.validateQuoteBrightlineRules(BrightlineValidator.gs:XXXSTRACERAW:-</v>
      </c>
      <c r="D2209" s="3">
        <f t="shared" si="69"/>
        <v>1</v>
      </c>
    </row>
    <row r="2210" spans="1:4" x14ac:dyDescent="0.35">
      <c r="A2210" t="s">
        <v>2387</v>
      </c>
      <c r="B2210">
        <v>2</v>
      </c>
      <c r="C2210" t="str">
        <f t="shared" si="68"/>
        <v>EMSG:GAVIN RICHARDSONSTRACE:gw.job.QuoteProcess.requestQuote(QuoteProcess.gs:XXXSTRACERAW:-</v>
      </c>
      <c r="D2210" s="3">
        <f t="shared" si="69"/>
        <v>1</v>
      </c>
    </row>
    <row r="2211" spans="1:4" x14ac:dyDescent="0.35">
      <c r="A2211" t="s">
        <v>2388</v>
      </c>
      <c r="B2211">
        <v>2</v>
      </c>
      <c r="C2211" t="str">
        <f t="shared" si="68"/>
        <v>EMSG:Gene ShillingSTRACE:com.farmers.config.pa.validator.BrightlineValidator.validateQuoteBrightlineRules(BrightlineValidator.gs:XXXSTRACERAW:-</v>
      </c>
      <c r="D2211" s="3">
        <f t="shared" si="69"/>
        <v>1</v>
      </c>
    </row>
    <row r="2212" spans="1:4" x14ac:dyDescent="0.35">
      <c r="A2212" t="s">
        <v>2389</v>
      </c>
      <c r="B2212">
        <v>2</v>
      </c>
      <c r="C2212" t="str">
        <f t="shared" si="68"/>
        <v>EMSG:Gene ShillingSTRACE:gw.job.QuoteProcess.requestQuote(QuoteProcess.gs:XXXSTRACERAW:-</v>
      </c>
      <c r="D2212" s="3">
        <f t="shared" si="69"/>
        <v>1</v>
      </c>
    </row>
    <row r="2213" spans="1:4" x14ac:dyDescent="0.35">
      <c r="A2213" t="s">
        <v>2390</v>
      </c>
      <c r="B2213">
        <v>2</v>
      </c>
      <c r="C2213" t="str">
        <f t="shared" si="68"/>
        <v>EMSG:Genesis MoraSTRACE:com.farmers.config.pa.validator.BrightlineValidator.validateQuoteBrightlineRules(BrightlineValidator.gs:XXXSTRACERAW:-</v>
      </c>
      <c r="D2213" s="3">
        <f t="shared" si="69"/>
        <v>1</v>
      </c>
    </row>
    <row r="2214" spans="1:4" x14ac:dyDescent="0.35">
      <c r="A2214" t="s">
        <v>2391</v>
      </c>
      <c r="B2214">
        <v>2</v>
      </c>
      <c r="C2214" t="str">
        <f t="shared" si="68"/>
        <v>EMSG:Genesis MoraSTRACE:gw.job.QuoteProcess.requestQuote(QuoteProcess.gs:XXXSTRACERAW:-</v>
      </c>
      <c r="D2214" s="3">
        <f t="shared" si="69"/>
        <v>1</v>
      </c>
    </row>
    <row r="2215" spans="1:4" ht="43.5" x14ac:dyDescent="0.35">
      <c r="A2215" s="4" t="s">
        <v>2392</v>
      </c>
      <c r="B2215">
        <v>2</v>
      </c>
      <c r="C2215" t="str">
        <f t="shared" si="68"/>
        <v>EMSG:Illegal character in path at index XXX: https://apis-mgeisg.farmersinsurance.com/plcyms/vXXX/policies/XXX XXXTH AVE/policyDetails?operation=searchByCriteriaSTRACE:index XXX: https://apis-mgeisg.farmersinsurance.com/plcyms/vXXX/policies/XXX XXXTH AVE/</v>
      </c>
      <c r="D2215" s="3">
        <f t="shared" si="69"/>
        <v>1</v>
      </c>
    </row>
    <row r="2216" spans="1:4" ht="43.5" x14ac:dyDescent="0.35">
      <c r="A2216" s="4" t="s">
        <v>2393</v>
      </c>
      <c r="B2216">
        <v>2</v>
      </c>
      <c r="C2216" t="str">
        <f t="shared" si="68"/>
        <v>EMSG:Illegal character in path at index XXX: https://apis-pceisg.farmersinsurance.com/productrewritems/vXXX/policies/HXXX	/policyDetails?operation=searchByCriteriaSTRACE:index XXX: https://apis-pceisg.farmersinsurance.com/productrewritems/vXXX/policies/HX</v>
      </c>
      <c r="D2216" s="3">
        <f t="shared" si="69"/>
        <v>1</v>
      </c>
    </row>
    <row r="2217" spans="1:4" x14ac:dyDescent="0.35">
      <c r="A2217" t="s">
        <v>1196</v>
      </c>
      <c r="B2217">
        <v>2</v>
      </c>
      <c r="C2217" t="str">
        <f t="shared" si="68"/>
        <v>EMSG:Ineligible for PD limits. A risk with excessive accidents and/or violations is not eligible for Property Damage limits greater than XXXSTRACE:gw.job.QuoteProcess.requestQuote(QuoteProcess.gs:XXXSTRACERAW:-</v>
      </c>
      <c r="D2217" s="3">
        <f t="shared" si="69"/>
        <v>1</v>
      </c>
    </row>
    <row r="2218" spans="1:4" x14ac:dyDescent="0.35">
      <c r="A2218" t="s">
        <v>1015</v>
      </c>
      <c r="B2218">
        <v>2</v>
      </c>
      <c r="C2218" t="str">
        <f t="shared" si="68"/>
        <v>EMSG:Invalid Policy Number: XXXSTRACE:com.farmers.edge.capabilities.policycommon.util.PolicyCommonUtil.getPeriod(PolicyCommonUtil.gs:XXXSTRACERAW:-</v>
      </c>
      <c r="D2218" s="3">
        <f t="shared" si="69"/>
        <v>1</v>
      </c>
    </row>
    <row r="2219" spans="1:4" x14ac:dyDescent="0.35">
      <c r="A2219" t="s">
        <v>2394</v>
      </c>
      <c r="B2219">
        <v>2</v>
      </c>
      <c r="C2219" t="str">
        <f t="shared" si="68"/>
        <v>EMSG:Ivan ChaconSTRACE:com.farmers.config.pa.validator.BrightlineValidator.validateQuoteBrightlineRules(BrightlineValidator.gs:XXXSTRACERAW:-</v>
      </c>
      <c r="D2219" s="3">
        <f t="shared" si="69"/>
        <v>1</v>
      </c>
    </row>
    <row r="2220" spans="1:4" x14ac:dyDescent="0.35">
      <c r="A2220" t="s">
        <v>2395</v>
      </c>
      <c r="B2220">
        <v>2</v>
      </c>
      <c r="C2220" t="str">
        <f t="shared" si="68"/>
        <v>EMSG:Jadi GibbsSTRACE:com.farmers.config.pa.validator.BrightlineValidator.validateQuoteBrightlineRules(BrightlineValidator.gs:XXXSTRACERAW:-</v>
      </c>
      <c r="D2220" s="3">
        <f t="shared" si="69"/>
        <v>1</v>
      </c>
    </row>
    <row r="2221" spans="1:4" x14ac:dyDescent="0.35">
      <c r="A2221" t="s">
        <v>2396</v>
      </c>
      <c r="B2221">
        <v>2</v>
      </c>
      <c r="C2221" t="str">
        <f t="shared" si="68"/>
        <v>EMSG:Jennifer GonzalezSTRACE:com.farmers.config.pa.validator.BrightlineValidator.validateQuoteBrightlineRules(BrightlineValidator.gs:XXXSTRACERAW:-</v>
      </c>
      <c r="D2221" s="3">
        <f t="shared" si="69"/>
        <v>1</v>
      </c>
    </row>
    <row r="2222" spans="1:4" x14ac:dyDescent="0.35">
      <c r="A2222" t="s">
        <v>2397</v>
      </c>
      <c r="B2222">
        <v>2</v>
      </c>
      <c r="C2222" t="str">
        <f t="shared" si="68"/>
        <v>EMSG:Jennifer GonzalezSTRACE:gw.job.QuoteProcess.requestQuote(QuoteProcess.gs:XXXSTRACERAW:-</v>
      </c>
      <c r="D2222" s="3">
        <f t="shared" si="69"/>
        <v>1</v>
      </c>
    </row>
    <row r="2223" spans="1:4" x14ac:dyDescent="0.35">
      <c r="A2223" t="s">
        <v>2398</v>
      </c>
      <c r="B2223">
        <v>2</v>
      </c>
      <c r="C2223" t="str">
        <f t="shared" si="68"/>
        <v>EMSG:Jesus BahenaSTRACE:com.farmers.config.pa.validator.BrightlineValidator.validateQuoteBrightlineRules(BrightlineValidator.gs:XXXSTRACERAW:-</v>
      </c>
      <c r="D2223" s="3">
        <f t="shared" si="69"/>
        <v>1</v>
      </c>
    </row>
    <row r="2224" spans="1:4" x14ac:dyDescent="0.35">
      <c r="A2224" t="s">
        <v>2399</v>
      </c>
      <c r="B2224">
        <v>2</v>
      </c>
      <c r="C2224" t="str">
        <f t="shared" si="68"/>
        <v>EMSG:Jesus BahenaSTRACE:gw.job.QuoteProcess.requestQuote(QuoteProcess.gs:XXXSTRACERAW:-</v>
      </c>
      <c r="D2224" s="3">
        <f t="shared" si="69"/>
        <v>1</v>
      </c>
    </row>
    <row r="2225" spans="1:4" x14ac:dyDescent="0.35">
      <c r="A2225" t="s">
        <v>2400</v>
      </c>
      <c r="B2225">
        <v>2</v>
      </c>
      <c r="C2225" t="str">
        <f t="shared" si="68"/>
        <v>EMSG:Joshua EinertsonSTRACE:com.farmers.config.pa.validator.BrightlineValidator.validateQuoteBrightlineRules(BrightlineValidator.gs:XXXSTRACERAW:-</v>
      </c>
      <c r="D2225" s="3">
        <f t="shared" si="69"/>
        <v>1</v>
      </c>
    </row>
    <row r="2226" spans="1:4" x14ac:dyDescent="0.35">
      <c r="A2226" t="s">
        <v>2401</v>
      </c>
      <c r="B2226">
        <v>2</v>
      </c>
      <c r="C2226" t="str">
        <f t="shared" si="68"/>
        <v>EMSG:Joshua EinertsonSTRACE:gw.job.QuoteProcess.requestQuote(QuoteProcess.gs:XXXSTRACERAW:-</v>
      </c>
      <c r="D2226" s="3">
        <f t="shared" si="69"/>
        <v>1</v>
      </c>
    </row>
    <row r="2227" spans="1:4" x14ac:dyDescent="0.35">
      <c r="A2227" t="s">
        <v>2402</v>
      </c>
      <c r="B2227">
        <v>2</v>
      </c>
      <c r="C2227" t="str">
        <f t="shared" si="68"/>
        <v>EMSG:Kayla MaySTRACE:com.farmers.config.pa.validator.BrightlineValidator.validateQuoteBrightlineRules(BrightlineValidator.gs:XXXSTRACERAW:-</v>
      </c>
      <c r="D2227" s="3">
        <f t="shared" si="69"/>
        <v>1</v>
      </c>
    </row>
    <row r="2228" spans="1:4" x14ac:dyDescent="0.35">
      <c r="A2228" t="s">
        <v>1251</v>
      </c>
      <c r="B2228">
        <v>2</v>
      </c>
      <c r="C2228" t="str">
        <f t="shared" si="68"/>
        <v>EMSG:Key allocation failed due to exceptionSTRACE:deployment.pc.war//com.guidewire.pl.system.database.DistributedKeyRangeAllocator.runWithinTransactionInOtherThread(DistributedKeyRangeAllocator.java:XXXSTRACERAW:-</v>
      </c>
      <c r="D2228" s="3">
        <f t="shared" si="69"/>
        <v>1</v>
      </c>
    </row>
    <row r="2229" spans="1:4" x14ac:dyDescent="0.35">
      <c r="A2229" t="s">
        <v>887</v>
      </c>
      <c r="B2229">
        <v>2</v>
      </c>
      <c r="C2229" t="str">
        <f t="shared" si="68"/>
        <v>EMSG:LHPI Ordering Failed due to TimeOut! - [gw.xml.XmlException: Please use XmlElement.parse( java.io.File ) to parse a file]STRACE:com.farmers.config.ho.lhpi.AutoReportOrderProcess.invokeService(AutoReportOrderProcess.gs:XXXSTRACERAW:-</v>
      </c>
      <c r="D2229" s="3">
        <f t="shared" si="69"/>
        <v>1</v>
      </c>
    </row>
    <row r="2230" spans="1:4" x14ac:dyDescent="0.35">
      <c r="A2230" t="s">
        <v>2403</v>
      </c>
      <c r="B2230">
        <v>2</v>
      </c>
      <c r="C2230" t="str">
        <f t="shared" si="68"/>
        <v>EMSG:LHPI Ordering Failed due to TimeOut! - [java.lang.RuntimeException: java.net.NoRouteToHostException: No route to host (Host unreachable)]STRACE:java.base/jdk.internal.reflect.NativeConstructorAccessorImpl.newInstanceXXX(Native MethodSTRACERAW:-</v>
      </c>
      <c r="D2230" s="3">
        <f t="shared" si="69"/>
        <v>1</v>
      </c>
    </row>
    <row r="2231" spans="1:4" x14ac:dyDescent="0.35">
      <c r="A2231" t="s">
        <v>755</v>
      </c>
      <c r="B2231">
        <v>2</v>
      </c>
      <c r="C2231" t="str">
        <f t="shared" si="68"/>
        <v>EMSG:LHPI Ordering Failed due to TimeOut! - [java.lang.RuntimeException: javax.net.ssl.SSLException: Connection reset]STRACE:com.farmers.config.ho.lhpi.AutoReportOrderProcess.invokeService(AutoReportOrderProcess.gs:XXXSTRACERAW:-</v>
      </c>
      <c r="D2231" s="3">
        <f t="shared" si="69"/>
        <v>1</v>
      </c>
    </row>
    <row r="2232" spans="1:4" x14ac:dyDescent="0.35">
      <c r="A2232" t="s">
        <v>2404</v>
      </c>
      <c r="B2232">
        <v>2</v>
      </c>
      <c r="C2232" t="str">
        <f t="shared" si="68"/>
        <v>EMSG:LHPI Ordering Failed! - [Validation action failed for Mandatory Elements  Validation Exception - Mandatory Field "Street Address" in Address Section does not exists or empty ESBXXX]STRACE:java.base/jdk.internal.reflect.NativeConstructorAccessorImpl.n</v>
      </c>
      <c r="D2232" s="3">
        <f t="shared" si="69"/>
        <v>1</v>
      </c>
    </row>
    <row r="2233" spans="1:4" ht="43.5" x14ac:dyDescent="0.35">
      <c r="A2233" s="4" t="s">
        <v>2405</v>
      </c>
      <c r="B2233">
        <v>2</v>
      </c>
      <c r="C2233" t="str">
        <f t="shared" si="68"/>
        <v>EMSG:LUW Policy Change Job XXX: The object you are trying to update was XXXSTRACE:XXX/XXX/XXX XXX:XXX AM. Please cancel and retry your change.
The object you are trying to update was 'Policy:pc:XXX - pc:XXX', and it was changed by LUW u at XXX/XXX/XXX XXX</v>
      </c>
      <c r="D2233" s="3">
        <f t="shared" si="69"/>
        <v>1</v>
      </c>
    </row>
    <row r="2234" spans="1:4" ht="43.5" x14ac:dyDescent="0.35">
      <c r="A2234" s="4" t="s">
        <v>2406</v>
      </c>
      <c r="B2234">
        <v>2</v>
      </c>
      <c r="C2234" t="str">
        <f t="shared" si="68"/>
        <v>EMSG:LUW Policy Change Job XXX: The object you are trying to update was XXXSTRACE:XXX/XXX/XXX XXX:XXX AM. Please cancel and retry your change.
The object you are trying to update was 'Policy:pc:XXX - pc:XXX', and it was changed by System at XXX/XXX/XXX XX</v>
      </c>
      <c r="D2234" s="3">
        <f t="shared" si="69"/>
        <v>1</v>
      </c>
    </row>
    <row r="2235" spans="1:4" ht="58" x14ac:dyDescent="0.35">
      <c r="A2235" s="4" t="s">
        <v>2407</v>
      </c>
      <c r="B2235">
        <v>2</v>
      </c>
      <c r="C2235" t="str">
        <f t="shared" si="68"/>
        <v>EMSG:LUW Policy Change Job XXX: The object you are trying to update was XXXSTRACE:XXX/XXX/XXX XXX:XXX PM. Please cancel and retry your change.
The object you are trying to update was 'Policy:CN:14450538490165109522XXX - CN:14450538490165109522XXX', and it</v>
      </c>
      <c r="D2235" s="3">
        <f t="shared" si="69"/>
        <v>1</v>
      </c>
    </row>
    <row r="2236" spans="1:4" ht="58" x14ac:dyDescent="0.35">
      <c r="A2236" s="4" t="s">
        <v>2408</v>
      </c>
      <c r="B2236">
        <v>2</v>
      </c>
      <c r="C2236" t="str">
        <f t="shared" si="68"/>
        <v xml:space="preserve">EMSG:LUW Policy Change Job XXX: The object you are trying to update was XXXSTRACE:XXX/XXX/XXX XXX:XXX PM. Please cancel and retry your change.
The object you are trying to update was 'Policy:CN:19866149360881823776003XXX - CN:19866149360881823776003XXX', </v>
      </c>
      <c r="D2236" s="3">
        <f t="shared" si="69"/>
        <v>1</v>
      </c>
    </row>
    <row r="2237" spans="1:4" ht="43.5" x14ac:dyDescent="0.35">
      <c r="A2237" s="4" t="s">
        <v>2409</v>
      </c>
      <c r="B2237">
        <v>2</v>
      </c>
      <c r="C2237" t="str">
        <f t="shared" si="68"/>
        <v xml:space="preserve">EMSG:LUW Policy Change Job XXX: The object you are trying to update was XXXSTRACE:XXX/XXX/XXX XXX:XXX PM. Please cancel and retry your change.
The object you are trying to update was 'Policy:pc:XXX - pc:XXX', and it was changed by Miguel Angel Melgoza at </v>
      </c>
      <c r="D2237" s="3">
        <f t="shared" si="69"/>
        <v>1</v>
      </c>
    </row>
    <row r="2238" spans="1:4" x14ac:dyDescent="0.35">
      <c r="A2238" t="s">
        <v>2410</v>
      </c>
      <c r="B2238">
        <v>2</v>
      </c>
      <c r="C2238" t="str">
        <f t="shared" si="68"/>
        <v>EMSG:LUW Policy Change Job XXX: Verify and increase underlying policy liability limits in order to proceed with quote. One or more policies do not qualify for Umbrella coverage.STRACE:gw.acc.luw.LUWExceptionHelper.processUserDisplayableException(LUWExcept</v>
      </c>
      <c r="D2238" s="3">
        <f t="shared" si="69"/>
        <v>1</v>
      </c>
    </row>
    <row r="2239" spans="1:4" x14ac:dyDescent="0.35">
      <c r="A2239" t="s">
        <v>2411</v>
      </c>
      <c r="B2239">
        <v>2</v>
      </c>
      <c r="C2239" t="str">
        <f t="shared" si="68"/>
        <v>EMSG:MERCEDES ALDANA DE LGADO is already a Driver.STRACE:deployment.pc.war//com.guidewire.pc.domain.policy.period.impl.PolicyPeriodImpl.checkAccountContactIsNotAlreadyAPolicyContactRoleOfType(PolicyPeriodImpl.java:XXXSTRACERAW:-</v>
      </c>
      <c r="D2239" s="3">
        <f t="shared" si="69"/>
        <v>1</v>
      </c>
    </row>
    <row r="2240" spans="1:4" x14ac:dyDescent="0.35">
      <c r="A2240" t="s">
        <v>955</v>
      </c>
      <c r="B2240">
        <v>2</v>
      </c>
      <c r="C2240" t="str">
        <f t="shared" si="68"/>
        <v>EMSG:No policy was found for policy number XXX. Please verify the policy number and try againSTRACE:edge.capabilities.helpers.PolicyUtil.retrievePolicyPeriodByPolicyNumberAndDate(PolicyUtil.gs:XXXSTRACERAW:-</v>
      </c>
      <c r="D2240" s="3">
        <f t="shared" si="69"/>
        <v>1</v>
      </c>
    </row>
    <row r="2241" spans="1:4" x14ac:dyDescent="0.35">
      <c r="A2241" t="s">
        <v>2412</v>
      </c>
      <c r="B2241">
        <v>2</v>
      </c>
      <c r="C2241" t="str">
        <f t="shared" si="68"/>
        <v>EMSG:Omar OchoaSTRACE:com.farmers.config.pa.validator.BrightlineValidator.validateQuoteBrightlineRules(BrightlineValidator.gs:XXXSTRACERAW:-</v>
      </c>
      <c r="D2241" s="3">
        <f t="shared" si="69"/>
        <v>1</v>
      </c>
    </row>
    <row r="2242" spans="1:4" x14ac:dyDescent="0.35">
      <c r="A2242" t="s">
        <v>2413</v>
      </c>
      <c r="B2242">
        <v>2</v>
      </c>
      <c r="C2242" t="str">
        <f t="shared" ref="C2242:C2305" si="70">LEFT(A2242,255)</f>
        <v>EMSG:Omar OchoaSTRACE:gw.job.QuoteProcess.requestQuote(QuoteProcess.gs:XXXSTRACERAW:-</v>
      </c>
      <c r="D2242" s="3">
        <f t="shared" ref="D2242:D2305" si="71">IF(AND((B2242/10)&lt;1,(B2242/10)&gt;0),1,(B2242/10)*130%)</f>
        <v>1</v>
      </c>
    </row>
    <row r="2243" spans="1:4" x14ac:dyDescent="0.35">
      <c r="A2243" t="s">
        <v>870</v>
      </c>
      <c r="B2243">
        <v>2</v>
      </c>
      <c r="C2243" t="str">
        <f t="shared" si="70"/>
        <v>EMSG:One or more null constraint violations detected for DiscountDetail_ExtSTRACE:deployment.pc.war//com.guidewire.pl.system.database.entitywriter.DatabaseEntityWriterImpl.checkForNullConstraintViolation(DatabaseEntityWriterImpl.java:XXXSTRACERAW:-</v>
      </c>
      <c r="D2243" s="3">
        <f t="shared" si="71"/>
        <v>1</v>
      </c>
    </row>
    <row r="2244" spans="1:4" x14ac:dyDescent="0.35">
      <c r="A2244" t="s">
        <v>2414</v>
      </c>
      <c r="B2244">
        <v>2</v>
      </c>
      <c r="C2244" t="str">
        <f t="shared" si="70"/>
        <v>EMSG:One or more null constraint violations detected for VehFeeWaiver_ExtSTRACE:deployment.pc.war//com.guidewire.pl.system.database.entitywriter.DatabaseEntityWriterImpl.checkForNullConstraintViolation(DatabaseEntityWriterImpl.java:XXXSTRACERAW:-</v>
      </c>
      <c r="D2244" s="3">
        <f t="shared" si="71"/>
        <v>1</v>
      </c>
    </row>
    <row r="2245" spans="1:4" x14ac:dyDescent="0.35">
      <c r="A2245" t="s">
        <v>2415</v>
      </c>
      <c r="B2245">
        <v>2</v>
      </c>
      <c r="C2245" t="str">
        <f t="shared" si="70"/>
        <v>EMSG:Paul YastrabSTRACE:gw.job.QuoteProcess.requestQuote(QuoteProcess.gs:XXXSTRACERAW:-</v>
      </c>
      <c r="D2245" s="3">
        <f t="shared" si="71"/>
        <v>1</v>
      </c>
    </row>
    <row r="2246" spans="1:4" x14ac:dyDescent="0.35">
      <c r="A2246" t="s">
        <v>2416</v>
      </c>
      <c r="B2246">
        <v>2</v>
      </c>
      <c r="C2246" t="str">
        <f t="shared" si="70"/>
        <v>EMSG:Personal Injury Protection coverage cannot be added to this quote. Please remove it and re-rateSTRACE:edge.capabilities.policycommon.coverage.util.CoverageUtil.updateFrom XXXSTRACERAW:-</v>
      </c>
      <c r="D2246" s="3">
        <f t="shared" si="71"/>
        <v>1</v>
      </c>
    </row>
    <row r="2247" spans="1:4" x14ac:dyDescent="0.35">
      <c r="A2247" t="s">
        <v>2417</v>
      </c>
      <c r="B2247">
        <v>2</v>
      </c>
      <c r="C2247" t="str">
        <f t="shared" si="70"/>
        <v>EMSG:Philip RaymondSTRACE:com.farmers.config.pa.validator.BrightlineValidator.validateQuoteBrightlineRules(BrightlineValidator.gs:XXXSTRACERAW:-</v>
      </c>
      <c r="D2247" s="3">
        <f t="shared" si="71"/>
        <v>1</v>
      </c>
    </row>
    <row r="2248" spans="1:4" x14ac:dyDescent="0.35">
      <c r="A2248" t="s">
        <v>2418</v>
      </c>
      <c r="B2248">
        <v>2</v>
      </c>
      <c r="C2248" t="str">
        <f t="shared" si="70"/>
        <v>EMSG:Ramin Sharifi SharifiSTRACE:com.farmers.config.pa.validator.BrightlineValidator.validateQuoteBrightlineRules(BrightlineValidator.gs:XXXSTRACERAW:-</v>
      </c>
      <c r="D2248" s="3">
        <f t="shared" si="71"/>
        <v>1</v>
      </c>
    </row>
    <row r="2249" spans="1:4" x14ac:dyDescent="0.35">
      <c r="A2249" t="s">
        <v>2419</v>
      </c>
      <c r="B2249">
        <v>2</v>
      </c>
      <c r="C2249" t="str">
        <f t="shared" si="70"/>
        <v>EMSG:Ramin Sharifi SharifiSTRACE:gw.job.QuoteProcess.requestQuote(QuoteProcess.gs:XXXSTRACERAW:-</v>
      </c>
      <c r="D2249" s="3">
        <f t="shared" si="71"/>
        <v>1</v>
      </c>
    </row>
    <row r="2250" spans="1:4" x14ac:dyDescent="0.35">
      <c r="A2250" t="s">
        <v>2420</v>
      </c>
      <c r="B2250">
        <v>2</v>
      </c>
      <c r="C2250" t="str">
        <f t="shared" si="70"/>
        <v>EMSG:Re-enter "License #". Duplicate License Number entered for the following Drivers DONALD LOVELACE RAYSTRACE:edge.capabilities.quote.submission.quoting.util.SubmissionUnderwritingIssuesUtil.checkVerifyRateExceptions(SubmissionUnderwritingIssuesUtil.gs:</v>
      </c>
      <c r="D2250" s="3">
        <f t="shared" si="71"/>
        <v>1</v>
      </c>
    </row>
    <row r="2251" spans="1:4" x14ac:dyDescent="0.35">
      <c r="A2251" t="s">
        <v>2421</v>
      </c>
      <c r="B2251">
        <v>2</v>
      </c>
      <c r="C2251" t="str">
        <f t="shared" si="70"/>
        <v>EMSG:Re-enter "License #". Duplicate License Number entered for the following Drivers Patrick DickeySTRACE:edge.capabilities.quote.submission.quoting.util.SubmissionUnderwritingIssuesUtil.checkVerifyRateExceptions(SubmissionUnderwritingIssuesUtil.gs:XXXST</v>
      </c>
      <c r="D2251" s="3">
        <f t="shared" si="71"/>
        <v>1</v>
      </c>
    </row>
    <row r="2252" spans="1:4" x14ac:dyDescent="0.35">
      <c r="A2252" t="s">
        <v>2422</v>
      </c>
      <c r="B2252">
        <v>2</v>
      </c>
      <c r="C2252" t="str">
        <f t="shared" si="70"/>
        <v>EMSG:Remove Marring to Certain Metal Materials. Coverage is not allowed with Wind and Hail Exclusion.STRACE:edge.capabilities.quote.submission.quoting.util.SubmissionUnderwritingIssuesUtil.checkSideBySideProcessExceptions(SubmissionUnderwritingIssuesUtil.</v>
      </c>
      <c r="D2252" s="3">
        <f t="shared" si="71"/>
        <v>1</v>
      </c>
    </row>
    <row r="2253" spans="1:4" x14ac:dyDescent="0.35">
      <c r="A2253" t="s">
        <v>2423</v>
      </c>
      <c r="B2253">
        <v>2</v>
      </c>
      <c r="C2253" t="str">
        <f t="shared" si="70"/>
        <v>EMSG:Remove Prior Policy # for Declining Deductible Balance Transfer. Declining Deductible balance is not transferable as the prior policy has been out of force for more than XXX days.STRACE:com.farmers.config.decliningdeductible.HODecliningDeductibleHelp</v>
      </c>
      <c r="D2253" s="3">
        <f t="shared" si="71"/>
        <v>1</v>
      </c>
    </row>
    <row r="2254" spans="1:4" x14ac:dyDescent="0.35">
      <c r="A2254" t="s">
        <v>413</v>
      </c>
      <c r="B2254">
        <v>2</v>
      </c>
      <c r="C2254" t="str">
        <f t="shared" si="70"/>
        <v>EMSG:Remove Prior Policy # for Declining Deductible Balance Transfer. Prior policy has no Declining Deductible balance to transfer.STRACE:com.farmers.config.decliningdeductible.HODecliningDeductibleHelper.persistDecDedFromPLA(HODecliningDeductibleHelper.g</v>
      </c>
      <c r="D2254" s="3">
        <f t="shared" si="71"/>
        <v>1</v>
      </c>
    </row>
    <row r="2255" spans="1:4" x14ac:dyDescent="0.35">
      <c r="A2255" t="s">
        <v>2424</v>
      </c>
      <c r="B2255">
        <v>2</v>
      </c>
      <c r="C2255" t="str">
        <f t="shared" si="70"/>
        <v>EMSG:Remove duplicate driver Miguel Gara. Two or more non-drivers with the same information exist.STRACE:edge.capabilities.policychange.lob.personalauto.coverables.DefaultPaCoverablePlugin.updateCoverables(DefaultPaCoverablePlugin.gs:XXXSTRACERAW:-</v>
      </c>
      <c r="D2255" s="3">
        <f t="shared" si="71"/>
        <v>1</v>
      </c>
    </row>
    <row r="2256" spans="1:4" x14ac:dyDescent="0.35">
      <c r="A2256" t="s">
        <v>2425</v>
      </c>
      <c r="B2256">
        <v>2</v>
      </c>
      <c r="C2256" t="str">
        <f t="shared" si="70"/>
        <v>EMSG:Rental Coverage: The coverage term 'Coverage is' is required. Enter a value.;STRACE:edge.capabilities.quote.submission.quoting.util.SubmissionUnderwritingIssuesUtil.checkVerifyRateExceptions(SubmissionUnderwritingIssuesUtil.gs:XXXSTRACERAW:-</v>
      </c>
      <c r="D2256" s="3">
        <f t="shared" si="71"/>
        <v>1</v>
      </c>
    </row>
    <row r="2257" spans="1:4" x14ac:dyDescent="0.35">
      <c r="A2257" t="s">
        <v>2426</v>
      </c>
      <c r="B2257">
        <v>2</v>
      </c>
      <c r="C2257" t="str">
        <f t="shared" si="70"/>
        <v>EMSG:Rogelio BalderramaSTRACE:com.farmers.config.pa.validator.BrightlineValidator.validateQuoteBrightlineRules(BrightlineValidator.gs:XXXSTRACERAW:-</v>
      </c>
      <c r="D2257" s="3">
        <f t="shared" si="71"/>
        <v>1</v>
      </c>
    </row>
    <row r="2258" spans="1:4" x14ac:dyDescent="0.35">
      <c r="A2258" t="s">
        <v>2427</v>
      </c>
      <c r="B2258">
        <v>2</v>
      </c>
      <c r="C2258" t="str">
        <f t="shared" si="70"/>
        <v>EMSG:Rogelio BalderramaSTRACE:gw.job.QuoteProcess.requestQuote(QuoteProcess.gs:XXXSTRACERAW:-</v>
      </c>
      <c r="D2258" s="3">
        <f t="shared" si="71"/>
        <v>1</v>
      </c>
    </row>
    <row r="2259" spans="1:4" x14ac:dyDescent="0.35">
      <c r="A2259" t="s">
        <v>2428</v>
      </c>
      <c r="B2259">
        <v>2</v>
      </c>
      <c r="C2259" t="str">
        <f t="shared" si="70"/>
        <v>EMSG:Rolonda BarronSTRACE:com.farmers.config.pa.validator.BrightlineValidator.validateQuoteBrightlineRules(BrightlineValidator.gs:XXXSTRACERAW:-</v>
      </c>
      <c r="D2259" s="3">
        <f t="shared" si="71"/>
        <v>1</v>
      </c>
    </row>
    <row r="2260" spans="1:4" x14ac:dyDescent="0.35">
      <c r="A2260" t="s">
        <v>2429</v>
      </c>
      <c r="B2260">
        <v>2</v>
      </c>
      <c r="C2260" t="str">
        <f t="shared" si="70"/>
        <v>EMSG:Samantha BrooksSTRACE:com.farmers.config.pa.validator.BrightlineValidator.validateQuoteBrightlineRules(BrightlineValidator.gs:XXXSTRACERAW:-</v>
      </c>
      <c r="D2260" s="3">
        <f t="shared" si="71"/>
        <v>1</v>
      </c>
    </row>
    <row r="2261" spans="1:4" x14ac:dyDescent="0.35">
      <c r="A2261" t="s">
        <v>2430</v>
      </c>
      <c r="B2261">
        <v>2</v>
      </c>
      <c r="C2261" t="str">
        <f t="shared" si="70"/>
        <v>EMSG:Samantha BrooksSTRACE:gw.job.QuoteProcess.requestQuote(QuoteProcess.gs:XXXSTRACERAW:-</v>
      </c>
      <c r="D2261" s="3">
        <f t="shared" si="71"/>
        <v>1</v>
      </c>
    </row>
    <row r="2262" spans="1:4" x14ac:dyDescent="0.35">
      <c r="A2262" t="s">
        <v>1174</v>
      </c>
      <c r="B2262">
        <v>2</v>
      </c>
      <c r="C2262" t="str">
        <f t="shared" si="70"/>
        <v>EMSG:Select Building Ordinance coverage. Building Ordinance coverage is required unless Modified Loss Settlement coverage is selected.;STRACE:edge.capabilities.quote.submission.quoting.util.SubmissionUnderwritingIssuesUtil.checkVerifyRateExceptions(Submis</v>
      </c>
      <c r="D2262" s="3">
        <f t="shared" si="71"/>
        <v>1</v>
      </c>
    </row>
    <row r="2263" spans="1:4" x14ac:dyDescent="0.35">
      <c r="A2263" t="s">
        <v>1063</v>
      </c>
      <c r="B2263">
        <v>2</v>
      </c>
      <c r="C2263" t="str">
        <f t="shared" si="70"/>
        <v>EMSG:Slice date XXX outside of range XXX for XXX XXX bean of type Infraction_ExtSTRACE:deployment.pc.war//com.guidewire.pl.system.entity.proxy.EffDatedBaseProxy.getSliceUntyped(EffDatedBaseProxy.java:XXXSTRACERAW:-</v>
      </c>
      <c r="D2263" s="3">
        <f t="shared" si="71"/>
        <v>1</v>
      </c>
    </row>
    <row r="2264" spans="1:4" x14ac:dyDescent="0.35">
      <c r="A2264" t="s">
        <v>2431</v>
      </c>
      <c r="B2264">
        <v>2</v>
      </c>
      <c r="C2264" t="str">
        <f t="shared" si="70"/>
        <v>EMSG:Slice date XXX outside of range XXX for XXX XXX bean of type PUPHouseholdMember_PUESTRACE:deployment.pc.war//com.guidewire.pl.system.entity.proxy.EffDatedBaseProxy.getSliceUntyped(EffDatedBaseProxy.java:XXXSTRACERAW:-</v>
      </c>
      <c r="D2264" s="3">
        <f t="shared" si="71"/>
        <v>1</v>
      </c>
    </row>
    <row r="2265" spans="1:4" x14ac:dyDescent="0.35">
      <c r="A2265" t="s">
        <v>2432</v>
      </c>
      <c r="B2265">
        <v>2</v>
      </c>
      <c r="C2265" t="str">
        <f t="shared" si="70"/>
        <v>EMSG:Stale Days is not defined in the system tables for state - British ColumbiaSTRACE:com.farmers.config.common.caching.dao.CustomerDAO.getReportStaleDays(CustomerDAO.gs:XXXSTRACERAW:-</v>
      </c>
      <c r="D2265" s="3">
        <f t="shared" si="71"/>
        <v>1</v>
      </c>
    </row>
    <row r="2266" spans="1:4" x14ac:dyDescent="0.35">
      <c r="A2266" t="s">
        <v>850</v>
      </c>
      <c r="B2266">
        <v>2</v>
      </c>
      <c r="C2266" t="str">
        <f t="shared" si="70"/>
        <v>EMSG:The provider service is unavailable.Please try again laterSTRACE:gw.bizrules.provisioning.contexts.PolicyContextDefinitionLibrary.activePolicyExists(PolicyContextDefinitionLibrary.gs:XXXSTRACERAW:-</v>
      </c>
      <c r="D2266" s="3">
        <f t="shared" si="71"/>
        <v>1</v>
      </c>
    </row>
    <row r="2267" spans="1:4" x14ac:dyDescent="0.35">
      <c r="A2267" t="s">
        <v>2433</v>
      </c>
      <c r="B2267">
        <v>2</v>
      </c>
      <c r="C2267" t="str">
        <f t="shared" si="70"/>
        <v>EMSG:The value "ADI B GANDHI AND F A GANDHI TRUSTEES OF TRUST DATED MARCH XXXSTRACE:deployment.pc.war//gw.datatype.impl.StringConstraintsHandlerBase.validateStringLength(StringConstraintsHandlerBase.java:XXXSTRACERAW:-</v>
      </c>
      <c r="D2267" s="3">
        <f t="shared" si="71"/>
        <v>1</v>
      </c>
    </row>
    <row r="2268" spans="1:4" x14ac:dyDescent="0.35">
      <c r="A2268" t="s">
        <v>2434</v>
      </c>
      <c r="B2268">
        <v>2</v>
      </c>
      <c r="C2268" t="str">
        <f t="shared" si="70"/>
        <v>EMSG:The value "BRADFORD WARREN &amp; CYNTHIA WILDMANSTRACE:deployment.pc.war//gw.datatype.impl.StringConstraintsHandlerBase.validateStringLength(StringConstraintsHandlerBase.java:XXXSTRACERAW:-</v>
      </c>
      <c r="D2268" s="3">
        <f t="shared" si="71"/>
        <v>1</v>
      </c>
    </row>
    <row r="2269" spans="1:4" x14ac:dyDescent="0.35">
      <c r="A2269" t="s">
        <v>2435</v>
      </c>
      <c r="B2269">
        <v>2</v>
      </c>
      <c r="C2269" t="str">
        <f t="shared" si="70"/>
        <v>EMSG:The value "EDDIE T YEUNG AND XIUJI ZHANG PANTERA PROPERTIES LLCSTRACE:deployment.pc.war//gw.datatype.impl.StringConstraintsHandlerBase.validateStringLength(StringConstraintsHandlerBase.java:XXXSTRACERAW:-</v>
      </c>
      <c r="D2269" s="3">
        <f t="shared" si="71"/>
        <v>1</v>
      </c>
    </row>
    <row r="2270" spans="1:4" x14ac:dyDescent="0.35">
      <c r="A2270" t="s">
        <v>2436</v>
      </c>
      <c r="B2270">
        <v>2</v>
      </c>
      <c r="C2270" t="str">
        <f t="shared" si="70"/>
        <v>EMSG:The value "JIANING TAN TRUSTEE OF THE JIANING TAN TRUST DATED FEBRUARY XXXSTRACE:deployment.pc.war//gw.datatype.impl.StringConstraintsHandlerBase.validateStringLength(StringConstraintsHandlerBase.java:XXXSTRACERAW:-</v>
      </c>
      <c r="D2270" s="3">
        <f t="shared" si="71"/>
        <v>1</v>
      </c>
    </row>
    <row r="2271" spans="1:4" x14ac:dyDescent="0.35">
      <c r="A2271" t="s">
        <v>2437</v>
      </c>
      <c r="B2271">
        <v>2</v>
      </c>
      <c r="C2271" t="str">
        <f t="shared" si="70"/>
        <v>EMSG:The value "JOHN E MIGEOT AND JOAN E MIGEOTSTRACE:deployment.pc.war//gw.datatype.impl.StringConstraintsHandlerBase.validateStringLength(StringConstraintsHandlerBase.java:XXXSTRACERAW:-</v>
      </c>
      <c r="D2271" s="3">
        <f t="shared" si="71"/>
        <v>1</v>
      </c>
    </row>
    <row r="2272" spans="1:4" x14ac:dyDescent="0.35">
      <c r="A2272" t="s">
        <v>2438</v>
      </c>
      <c r="B2272">
        <v>2</v>
      </c>
      <c r="C2272" t="str">
        <f t="shared" si="70"/>
        <v>EMSG:The value "LETICIA RUIZ-VELASCOSTRACE:deployment.pc.war//gw.datatype.impl.StringConstraintsHandlerBase.validateStringLength(StringConstraintsHandlerBase.java:XXXSTRACERAW:-</v>
      </c>
      <c r="D2272" s="3">
        <f t="shared" si="71"/>
        <v>1</v>
      </c>
    </row>
    <row r="2273" spans="1:4" x14ac:dyDescent="0.35">
      <c r="A2273" t="s">
        <v>2439</v>
      </c>
      <c r="B2273">
        <v>2</v>
      </c>
      <c r="C2273" t="str">
        <f t="shared" si="70"/>
        <v>EMSG:The value "LOUIS C MARIANI AND NANCY A MARIANISTRACE:deployment.pc.war//gw.datatype.impl.StringConstraintsHandlerBase.validateStringLength(StringConstraintsHandlerBase.java:XXXSTRACERAW:-</v>
      </c>
      <c r="D2273" s="3">
        <f t="shared" si="71"/>
        <v>1</v>
      </c>
    </row>
    <row r="2274" spans="1:4" x14ac:dyDescent="0.35">
      <c r="A2274" t="s">
        <v>2440</v>
      </c>
      <c r="B2274">
        <v>2</v>
      </c>
      <c r="C2274" t="str">
        <f t="shared" si="70"/>
        <v>EMSG:The value "MALCOLM WATSONSTRACE:deployment.pc.war//gw.datatype.impl.StringConstraintsHandlerBase.validateStringLength(StringConstraintsHandlerBase.java:XXXSTRACERAW:-</v>
      </c>
      <c r="D2274" s="3">
        <f t="shared" si="71"/>
        <v>1</v>
      </c>
    </row>
    <row r="2275" spans="1:4" x14ac:dyDescent="0.35">
      <c r="A2275" t="s">
        <v>2441</v>
      </c>
      <c r="B2275">
        <v>2</v>
      </c>
      <c r="C2275" t="str">
        <f t="shared" si="70"/>
        <v>EMSG:The value "MARTIN CHRISTOPHER GONZALES AND KAREN E IGE-GONZALESSTRACE:deployment.pc.war//gw.datatype.impl.StringConstraintsHandlerBase.validateStringLength(StringConstraintsHandlerBase.java:XXXSTRACERAW:-</v>
      </c>
      <c r="D2275" s="3">
        <f t="shared" si="71"/>
        <v>1</v>
      </c>
    </row>
    <row r="2276" spans="1:4" x14ac:dyDescent="0.35">
      <c r="A2276" t="s">
        <v>2442</v>
      </c>
      <c r="B2276">
        <v>2</v>
      </c>
      <c r="C2276" t="str">
        <f t="shared" si="70"/>
        <v>EMSG:The value "MASON &amp; ROYA PARI XXX TRUST DATED MARC MASON AND ROYA PARISTRACE:deployment.pc.war//gw.datatype.impl.StringConstraintsHandlerBase.validateStringLength(StringConstraintsHandlerBase.java:XXXSTRACERAW:-</v>
      </c>
      <c r="D2276" s="3">
        <f t="shared" si="71"/>
        <v>1</v>
      </c>
    </row>
    <row r="2277" spans="1:4" x14ac:dyDescent="0.35">
      <c r="A2277" t="s">
        <v>2443</v>
      </c>
      <c r="B2277">
        <v>2</v>
      </c>
      <c r="C2277" t="str">
        <f t="shared" si="70"/>
        <v>EMSG:The value "MICHAEL VITULLO AND DENISE VITULLOSTRACE:deployment.pc.war//gw.datatype.impl.StringConstraintsHandlerBase.validateStringLength(StringConstraintsHandlerBase.java:XXXSTRACERAW:-</v>
      </c>
      <c r="D2277" s="3">
        <f t="shared" si="71"/>
        <v>1</v>
      </c>
    </row>
    <row r="2278" spans="1:4" x14ac:dyDescent="0.35">
      <c r="A2278" t="s">
        <v>2444</v>
      </c>
      <c r="B2278">
        <v>2</v>
      </c>
      <c r="C2278" t="str">
        <f t="shared" si="70"/>
        <v>EMSG:The value "THE CHRISTOPHER J TEER CHILD TRUST UNDER THE TEER LIVING TRUST DATED DEC XXXSTRACE:deployment.pc.war//gw.datatype.impl.StringConstraintsHandlerBase.validateStringLength(StringConstraintsHandlerBase.java:XXXSTRACERAW:-</v>
      </c>
      <c r="D2278" s="3">
        <f t="shared" si="71"/>
        <v>1</v>
      </c>
    </row>
    <row r="2279" spans="1:4" x14ac:dyDescent="0.35">
      <c r="A2279" t="s">
        <v>2445</v>
      </c>
      <c r="B2279">
        <v>2</v>
      </c>
      <c r="C2279" t="str">
        <f t="shared" si="70"/>
        <v>EMSG:The value "WILLIAM CHRISTOPHER HARRINGTON AND JANE LINZEE HARRINGTONSTRACE:deployment.pc.war//gw.datatype.impl.StringConstraintsHandlerBase.validateStringLength(StringConstraintsHandlerBase.java:XXXSTRACERAW:-</v>
      </c>
      <c r="D2279" s="3">
        <f t="shared" si="71"/>
        <v>1</v>
      </c>
    </row>
    <row r="2280" spans="1:4" x14ac:dyDescent="0.35">
      <c r="A2280" t="s">
        <v>1256</v>
      </c>
      <c r="B2280">
        <v>2</v>
      </c>
      <c r="C2280" t="str">
        <f t="shared" si="70"/>
        <v>EMSG:The value XXX is not formatted correctly for the field "PostalCountyCode_Ext": Exceeds the maximum length of XXX characters (XXX)STRACE:deployment.pc.war//gw.datatype.impl.StringConstraintsHandlerBase.validateStringLength(StringConstraintsHandlerBase</v>
      </c>
      <c r="D2280" s="3">
        <f t="shared" si="71"/>
        <v>1</v>
      </c>
    </row>
    <row r="2281" spans="1:4" x14ac:dyDescent="0.35">
      <c r="A2281" t="s">
        <v>2446</v>
      </c>
      <c r="B2281">
        <v>2</v>
      </c>
      <c r="C2281" t="str">
        <f t="shared" si="70"/>
        <v>EMSG:Tim YorkSTRACE:com.farmers.config.pa.validator.BrightlineValidator.validateQuoteBrightlineRules(BrightlineValidator.gs:XXXSTRACERAW:-</v>
      </c>
      <c r="D2281" s="3">
        <f t="shared" si="71"/>
        <v>1</v>
      </c>
    </row>
    <row r="2282" spans="1:4" x14ac:dyDescent="0.35">
      <c r="A2282" t="s">
        <v>2447</v>
      </c>
      <c r="B2282">
        <v>2</v>
      </c>
      <c r="C2282" t="str">
        <f t="shared" si="70"/>
        <v>EMSG:Tim YorkSTRACE:gw.job.QuoteProcess.requestQuote(QuoteProcess.gs:XXXSTRACERAW:-</v>
      </c>
      <c r="D2282" s="3">
        <f t="shared" si="71"/>
        <v>1</v>
      </c>
    </row>
    <row r="2283" spans="1:4" x14ac:dyDescent="0.35">
      <c r="A2283" t="s">
        <v>2448</v>
      </c>
      <c r="B2283">
        <v>2</v>
      </c>
      <c r="C2283" t="str">
        <f t="shared" si="70"/>
        <v>EMSG:Unable to retrieve Mortgagee details for code - XXXKFXXXSTRACE:com.farmers.edge.capabilities.quote.mortgagee.MortgageePlugin$block_XXX_.invoke(MortgageePlugin.gs:XXXSTRACERAW:-</v>
      </c>
      <c r="D2283" s="3">
        <f t="shared" si="71"/>
        <v>1</v>
      </c>
    </row>
    <row r="2284" spans="1:4" ht="43.5" x14ac:dyDescent="0.35">
      <c r="A2284" s="4" t="s">
        <v>2449</v>
      </c>
      <c r="B2284">
        <v>2</v>
      </c>
      <c r="C2284" t="str">
        <f t="shared" si="70"/>
        <v>EMSG:Update 'What vehicle do you customarily drive?' for BRANDT WHITE. This is required for active drivers.STRACE:vehicle do you customarily drive?' for BRANDT WHITE. This is required for active drivers.
	at edge.capabilities.quote.submission.quoting.util</v>
      </c>
      <c r="D2284" s="3">
        <f t="shared" si="71"/>
        <v>1</v>
      </c>
    </row>
    <row r="2285" spans="1:4" x14ac:dyDescent="0.35">
      <c r="A2285" t="s">
        <v>2450</v>
      </c>
      <c r="B2285">
        <v>2</v>
      </c>
      <c r="C2285" t="str">
        <f t="shared" si="70"/>
        <v>EMSG:Update Age Lic in US/CAN for Priscilla Mendez. Age cannot be greater than current year minus Date of birth.STRACE:edge.capabilities.quote.submission.quoting.util.SubmissionUnderwritingIssuesUtil.checkSideBySideProcessExceptions(SubmissionUnderwriting</v>
      </c>
      <c r="D2285" s="3">
        <f t="shared" si="71"/>
        <v>1</v>
      </c>
    </row>
    <row r="2286" spans="1:4" x14ac:dyDescent="0.35">
      <c r="A2286" t="s">
        <v>2451</v>
      </c>
      <c r="B2286">
        <v>2</v>
      </c>
      <c r="C2286" t="str">
        <f t="shared" si="70"/>
        <v>EMSG:Update the Age First Licensed for Elizabeth Saucedo. This is required for active drivers.STRACE:edge.capabilities.quote.submission.quoting.util.SubmissionUnderwritingIssuesUtil.checkSideBySideProcessExceptions(SubmissionUnderwritingIssuesUtil.gs:XXXS</v>
      </c>
      <c r="D2286" s="3">
        <f t="shared" si="71"/>
        <v>1</v>
      </c>
    </row>
    <row r="2287" spans="1:4" x14ac:dyDescent="0.35">
      <c r="A2287" t="s">
        <v>2452</v>
      </c>
      <c r="B2287">
        <v>2</v>
      </c>
      <c r="C2287" t="str">
        <f t="shared" si="70"/>
        <v>EMSG:XXX DODGE CHARGER XXXD XXXWD SXT in Colorado: Comprehensive is required and must be added. XXXSTRACE:gw.api.extension.PCExtensionInterfacesMapper$block_XXX_.invoke(PCExtensionInterfacesMapper.gs:XXXSTRACERAW:-</v>
      </c>
      <c r="D2287" s="3">
        <f t="shared" si="71"/>
        <v>1</v>
      </c>
    </row>
    <row r="2288" spans="1:4" x14ac:dyDescent="0.35">
      <c r="A2288" t="s">
        <v>2453</v>
      </c>
      <c r="B2288">
        <v>2</v>
      </c>
      <c r="C2288" t="str">
        <f t="shared" si="70"/>
        <v>EMSG:XXX DODGE TRUCK RAM XXX CLUB PU XXXXXXX XXX-DOOR in Colorado: Coverage is on Comprehensive is now available and its value must be verified by the user.; XXX DODGE TRUCK RAM XXX CLUB PU XXXXXXX XXX-DOOR in Colorado: Coverage is on Collision is now ava</v>
      </c>
      <c r="D2288" s="3">
        <f t="shared" si="71"/>
        <v>1</v>
      </c>
    </row>
    <row r="2289" spans="1:4" x14ac:dyDescent="0.35">
      <c r="A2289" t="s">
        <v>846</v>
      </c>
      <c r="B2289">
        <v>2</v>
      </c>
      <c r="C2289" t="str">
        <f t="shared" si="70"/>
        <v>EMSG:XXX has exceeded the accident and/or violation threshold for eligibility in this program. Drivers with excessive accidents and/or convictions may be excluded by request in CO.STRACE:gw.job.QuoteProcess.requestQuote(QuoteProcess.gs:XXXSTRACERAW:-</v>
      </c>
      <c r="D2289" s="3">
        <f t="shared" si="71"/>
        <v>1</v>
      </c>
    </row>
    <row r="2290" spans="1:4" x14ac:dyDescent="0.35">
      <c r="A2290" t="s">
        <v>2454</v>
      </c>
      <c r="B2290">
        <v>2</v>
      </c>
      <c r="C2290" t="str">
        <f t="shared" si="70"/>
        <v>EMSG:apis-pleisg.farmersinsurance.com:XXX failed to respondSTRACE:deployment.pc.war//org.apache.http.impl.conn.DefaultHttpResponseParser.parseHead(DefaultHttpResponseParser.java:XXXSTRACERAW:-</v>
      </c>
      <c r="D2290" s="3">
        <f t="shared" si="71"/>
        <v>1</v>
      </c>
    </row>
    <row r="2291" spans="1:4" x14ac:dyDescent="0.35">
      <c r="A2291" t="s">
        <v>2455</v>
      </c>
      <c r="B2291">
        <v>2</v>
      </c>
      <c r="C2291" t="str">
        <f t="shared" si="70"/>
        <v>EMSG:class com.guidewire.pl.system.entity.proxy.EffDatedVersionListOverlapException cannot be cast to class edge.validation.EdgeValidationException (com.guidewire.pl.system.entity.proxy.EffDatedVersionListOverlapException is in unnamed module of loader 'd</v>
      </c>
      <c r="D2291" s="3">
        <f t="shared" si="71"/>
        <v>1</v>
      </c>
    </row>
    <row r="2292" spans="1:4" x14ac:dyDescent="0.35">
      <c r="A2292" t="s">
        <v>2456</v>
      </c>
      <c r="B2292">
        <v>2</v>
      </c>
      <c r="C2292" t="str">
        <f t="shared" si="70"/>
        <v xml:space="preserve">EMSG:class gw.lang.parser.EvaluationException cannot be cast to class edge.validation.EdgeValidationException (gw.lang.parser.EvaluationException is in unnamed module of loader 'deployment.pc.war' @XXXfdXXXbXXX; edge.validation.EdgeValidationException is </v>
      </c>
      <c r="D2292" s="3">
        <f t="shared" si="71"/>
        <v>1</v>
      </c>
    </row>
    <row r="2293" spans="1:4" x14ac:dyDescent="0.35">
      <c r="A2293" t="s">
        <v>495</v>
      </c>
      <c r="B2293">
        <v>2</v>
      </c>
      <c r="C2293" t="str">
        <f t="shared" si="70"/>
        <v>EMSG:error:entity.xxxUI-ValidationERRORMessagexxxSTRACE:-STRACERAW:you provided the credit disclosure (where applicable</v>
      </c>
      <c r="D2293" s="3">
        <f t="shared" si="71"/>
        <v>1</v>
      </c>
    </row>
    <row r="2294" spans="1:4" ht="29" x14ac:dyDescent="0.35">
      <c r="A2294" s="4" t="s">
        <v>2457</v>
      </c>
      <c r="B2294">
        <v>2</v>
      </c>
      <c r="C2294" t="str">
        <f t="shared" si="70"/>
        <v>EMSG:error:entity.xxxUI-ValidationERRORMessagexxxSTRACE:has been entered.  The Business Insurance policy number must be XXX alphanumeric characters. Ex. GXXX
	at com.farmers.integ.framework.job.automatejob.AutomatedJob.executeJob(AutomatedJob.gs:XXXSTRACE</v>
      </c>
      <c r="D2294" s="3">
        <f t="shared" si="71"/>
        <v>1</v>
      </c>
    </row>
    <row r="2295" spans="1:4" x14ac:dyDescent="0.35">
      <c r="A2295" t="s">
        <v>1207</v>
      </c>
      <c r="B2295">
        <v>2</v>
      </c>
      <c r="C2295" t="str">
        <f t="shared" si="70"/>
        <v>EMSG:error:entity.xxxUI-ValidationERRORMessagexxxSTRACE:must be a combined limit (XXX-digit max, i.e XXXSTRACERAW:-</v>
      </c>
      <c r="D2295" s="3">
        <f t="shared" si="71"/>
        <v>1</v>
      </c>
    </row>
    <row r="2296" spans="1:4" x14ac:dyDescent="0.35">
      <c r="A2296" t="s">
        <v>2458</v>
      </c>
      <c r="B2296">
        <v>2</v>
      </c>
      <c r="C2296" t="str">
        <f t="shared" si="70"/>
        <v>EMSG:gw.xml.XmlSortException: Unable to process children of element '{http://www.ibm.com/industries/financialservices/ACORD}HomeLineBusiness'. Expected one of '{LOBCd}'STRACE:deployment.pc.war//gw.internal.xml.ws.WsdlPortImpl.invoke(WsdlPortImpl.java:XXXS</v>
      </c>
      <c r="D2296" s="3">
        <f t="shared" si="71"/>
        <v>1</v>
      </c>
    </row>
    <row r="2297" spans="1:4" x14ac:dyDescent="0.35">
      <c r="A2297" t="s">
        <v>2459</v>
      </c>
      <c r="B2297">
        <v>2</v>
      </c>
      <c r="C2297" t="str">
        <f t="shared" si="70"/>
        <v>EMSG:java.lang.RuntimeException: java.net.SocketException: Connection reset by peer (connect failed)STRACE:deployment.pc.war//gw.internal.xml.ws.WsdlPortImpl.invoke(WsdlPortImpl.java:XXXSTRACERAW:-</v>
      </c>
      <c r="D2297" s="3">
        <f t="shared" si="71"/>
        <v>1</v>
      </c>
    </row>
    <row r="2298" spans="1:4" x14ac:dyDescent="0.35">
      <c r="A2298" t="s">
        <v>2460</v>
      </c>
      <c r="B2298">
        <v>2</v>
      </c>
      <c r="C2298" t="str">
        <f t="shared" si="70"/>
        <v>EMSG:java.lang.RuntimeException: javax.net.ssl.SSLHandshakeException: Remote host terminated the handshakeSTRACE:deployment.pc.war//gw.internal.xml.ws.WsdlPortImpl.invoke(WsdlPortImpl.java:XXXSTRACERAW:-</v>
      </c>
      <c r="D2298" s="3">
        <f t="shared" si="71"/>
        <v>1</v>
      </c>
    </row>
    <row r="2299" spans="1:4" x14ac:dyDescent="0.35">
      <c r="A2299" t="s">
        <v>1128</v>
      </c>
      <c r="B2299">
        <v>1</v>
      </c>
      <c r="C2299" t="str">
        <f t="shared" si="70"/>
        <v>EMSG:, AOR=XXXSTRACE:com.farmers.billing.dao.PayPlanAnalyzer$block_XXX_$block_XXX_.invoke(PayPlanAnalyzer.gs:XXXSTRACERAW:-</v>
      </c>
      <c r="D2299" s="3">
        <f t="shared" si="71"/>
        <v>1</v>
      </c>
    </row>
    <row r="2300" spans="1:4" x14ac:dyDescent="0.35">
      <c r="A2300" t="s">
        <v>993</v>
      </c>
      <c r="B2300">
        <v>1</v>
      </c>
      <c r="C2300" t="str">
        <f t="shared" si="70"/>
        <v>EMSG:, AOR=XXXSTRACE:com.farmers.config.contact.Customer_ExtEnhancement.getSecondaryEnterPriseCacheKey(Customer_ExtEnhancement.gsx:XXXSTRACERAW:-</v>
      </c>
      <c r="D2300" s="3">
        <f t="shared" si="71"/>
        <v>1</v>
      </c>
    </row>
    <row r="2301" spans="1:4" x14ac:dyDescent="0.35">
      <c r="A2301" t="s">
        <v>2461</v>
      </c>
      <c r="B2301">
        <v>1</v>
      </c>
      <c r="C2301" t="str">
        <f t="shared" si="70"/>
        <v>EMSG:, AOR=XXXSTRACE:deployment.pc.war//com.guidewire.pl.system.bundle.ArrayDeltaMap.rekey(ArrayDeltaMap.java:XXXSTRACERAW:-</v>
      </c>
      <c r="D2301" s="3">
        <f t="shared" si="71"/>
        <v>1</v>
      </c>
    </row>
    <row r="2302" spans="1:4" x14ac:dyDescent="0.35">
      <c r="A2302" t="s">
        <v>2462</v>
      </c>
      <c r="B2302">
        <v>1</v>
      </c>
      <c r="C2302" t="str">
        <f t="shared" si="70"/>
        <v>EMSG:, AOR=XXXSTRACE:deployment.pc.war//com.guidewire.pl.system.bundle.BundleWriter.filterRestoredBeans(BundleWriter.java:XXXSTRACERAW:-</v>
      </c>
      <c r="D2302" s="3">
        <f t="shared" si="71"/>
        <v>1</v>
      </c>
    </row>
    <row r="2303" spans="1:4" x14ac:dyDescent="0.35">
      <c r="A2303" t="s">
        <v>2463</v>
      </c>
      <c r="B2303">
        <v>1</v>
      </c>
      <c r="C2303" t="str">
        <f t="shared" si="70"/>
        <v>EMSG:, AOR=XXXSTRACE:deployment.pc.war//com.guidewire.pl.system.database.DatabaseBundleWriter.createSnapshotOfBundleStatus(DatabaseBundleWriter.java:XXXSTRACERAW:-</v>
      </c>
      <c r="D2303" s="3">
        <f t="shared" si="71"/>
        <v>1</v>
      </c>
    </row>
    <row r="2304" spans="1:4" x14ac:dyDescent="0.35">
      <c r="A2304" t="s">
        <v>2464</v>
      </c>
      <c r="B2304">
        <v>1</v>
      </c>
      <c r="C2304" t="str">
        <f t="shared" si="70"/>
        <v>EMSG:, AOR=XXXSTRACE:deployment.pc.war//com.guidewire.pl.system.entity.proxy.AbstractKeyableBeanProxy.getOneToOneForeignKeyId(AbstractKeyableBeanProxy.java:XXXSTRACERAW:-</v>
      </c>
      <c r="D2304" s="3">
        <f t="shared" si="71"/>
        <v>1</v>
      </c>
    </row>
    <row r="2305" spans="1:4" x14ac:dyDescent="0.35">
      <c r="A2305" t="s">
        <v>2465</v>
      </c>
      <c r="B2305">
        <v>1</v>
      </c>
      <c r="C2305" t="str">
        <f t="shared" si="70"/>
        <v>EMSG:, AOR=XXXSTRACE:deployment.pc.war//com.guidewire.pl.system.entity.proxy.AbstractKeyableBeanProxy.isNew(AbstractKeyableBeanProxy.java:XXXSTRACERAW:-</v>
      </c>
      <c r="D2305" s="3">
        <f t="shared" si="71"/>
        <v>1</v>
      </c>
    </row>
    <row r="2306" spans="1:4" x14ac:dyDescent="0.35">
      <c r="A2306" t="s">
        <v>1075</v>
      </c>
      <c r="B2306">
        <v>1</v>
      </c>
      <c r="C2306" t="str">
        <f t="shared" ref="C2306:C2369" si="72">LEFT(A2306,255)</f>
        <v>EMSG:, AOR=XXXSTRACE:deployment.pc.war//com.guidewire.pl.system.entity.proxy.FastCompareDate.after(FastCompareDate.java:XXXSTRACERAW:-</v>
      </c>
      <c r="D2306" s="3">
        <f t="shared" ref="D2306:D2369" si="73">IF(AND((B2306/10)&lt;1,(B2306/10)&gt;0),1,(B2306/10)*130%)</f>
        <v>1</v>
      </c>
    </row>
    <row r="2307" spans="1:4" x14ac:dyDescent="0.35">
      <c r="A2307" t="s">
        <v>2466</v>
      </c>
      <c r="B2307">
        <v>1</v>
      </c>
      <c r="C2307" t="str">
        <f t="shared" si="72"/>
        <v>EMSG:, AOR=XXXSTRACE:gw.acc.luw.perf.JobManager.withdrawPolicyJobs(JobManager.gs:XXXSTRACERAW:-</v>
      </c>
      <c r="D2307" s="3">
        <f t="shared" si="73"/>
        <v>1</v>
      </c>
    </row>
    <row r="2308" spans="1:4" x14ac:dyDescent="0.35">
      <c r="A2308" t="s">
        <v>1156</v>
      </c>
      <c r="B2308">
        <v>1</v>
      </c>
      <c r="C2308" t="str">
        <f t="shared" si="72"/>
        <v>EMSG:, AOR=XXXSTRACE:gw.assignment.JobAssignmentEnhancement.assignProducer(JobAssignmentEnhancement.gsx:XXXSTRACERAW:-</v>
      </c>
      <c r="D2308" s="3">
        <f t="shared" si="73"/>
        <v>1</v>
      </c>
    </row>
    <row r="2309" spans="1:4" x14ac:dyDescent="0.35">
      <c r="A2309" t="s">
        <v>2467</v>
      </c>
      <c r="B2309">
        <v>1</v>
      </c>
      <c r="C2309" t="str">
        <f t="shared" si="72"/>
        <v>EMSG:, AOR=XXXSTRACE:gw.lob.pa.PersonalAutoLineEnhancement.queryDiscountZipCodeTable(PersonalAutoLineEnhancement.gsx:XXXSTRACERAW:-</v>
      </c>
      <c r="D2309" s="3">
        <f t="shared" si="73"/>
        <v>1</v>
      </c>
    </row>
    <row r="2310" spans="1:4" x14ac:dyDescent="0.35">
      <c r="A2310" t="s">
        <v>2468</v>
      </c>
      <c r="B2310">
        <v>1</v>
      </c>
      <c r="C2310" t="str">
        <f t="shared" si="72"/>
        <v>EMSG:, AOR=XXXSTRACE:java.base/java.util.HashMap$HashIterator.remove(HashMap.java:XXXSTRACERAW:-</v>
      </c>
      <c r="D2310" s="3">
        <f t="shared" si="73"/>
        <v>1</v>
      </c>
    </row>
    <row r="2311" spans="1:4" ht="29" x14ac:dyDescent="0.35">
      <c r="A2311" s="4" t="s">
        <v>2469</v>
      </c>
      <c r="B2311">
        <v>1</v>
      </c>
      <c r="C2311" t="str">
        <f t="shared" si="72"/>
        <v>EMSG:, AOR=XXXSTRACE:line XXX column XXX'
	at deployment.pc.war//gw.xml.XmlElementInternalsImpl.parse(XmlElementInternalsImpl.java:XXXSTRACERAW:-</v>
      </c>
      <c r="D2311" s="3">
        <f t="shared" si="73"/>
        <v>1</v>
      </c>
    </row>
    <row r="2312" spans="1:4" x14ac:dyDescent="0.35">
      <c r="A2312" t="s">
        <v>2470</v>
      </c>
      <c r="B2312">
        <v>1</v>
      </c>
      <c r="C2312" t="str">
        <f t="shared" si="72"/>
        <v>EMSG:-STRACE:-STRACERAW:Jan XXX XXX:XXX:XXX PST XXX, MSG=HTTP GET on resource 'https://unit-service.apps.aks.farmersinsurance.com:XXX/api/unitMakes' failed: internal server error (XXX</v>
      </c>
      <c r="D2312" s="3">
        <f t="shared" si="73"/>
        <v>1</v>
      </c>
    </row>
    <row r="2313" spans="1:4" x14ac:dyDescent="0.35">
      <c r="A2313" t="s">
        <v>2471</v>
      </c>
      <c r="B2313">
        <v>1</v>
      </c>
      <c r="C2313" t="str">
        <f t="shared" si="72"/>
        <v>EMSG:-STRACE:-STRACERAW:Jan XXX XXX:XXX:XXX PST XXX, MSG=HTTP POST on resource 'https://unit-service.apps.aks.farmersinsurance.com:XXX/api/unitModels' failed: not found (XXX</v>
      </c>
      <c r="D2313" s="3">
        <f t="shared" si="73"/>
        <v>1</v>
      </c>
    </row>
    <row r="2314" spans="1:4" x14ac:dyDescent="0.35">
      <c r="A2314" t="s">
        <v>2472</v>
      </c>
      <c r="B2314">
        <v>1</v>
      </c>
      <c r="C2314" t="str">
        <f t="shared" si="72"/>
        <v>EMSG:-STRACE:-STRACERAW:Jan XXX XXX:XXX:XXX PST XXX, MSG=Invalid status code: XXX, response body: [{"message":"ConcurrentRequests (Concurrent API Requests</v>
      </c>
      <c r="D2314" s="3">
        <f t="shared" si="73"/>
        <v>1</v>
      </c>
    </row>
    <row r="2315" spans="1:4" x14ac:dyDescent="0.35">
      <c r="A2315" t="s">
        <v>2473</v>
      </c>
      <c r="B2315">
        <v>1</v>
      </c>
      <c r="C2315" t="str">
        <f t="shared" si="72"/>
        <v>EMSG:-STRACE:-STRACERAW:XXX/XXX/XXX XXX:XXX PM by server ID [pcprodXXX] on host [fmlvpjapXXX]'</v>
      </c>
      <c r="D2315" s="3">
        <f t="shared" si="73"/>
        <v>1</v>
      </c>
    </row>
    <row r="2316" spans="1:4" x14ac:dyDescent="0.35">
      <c r="A2316" t="s">
        <v>1131</v>
      </c>
      <c r="B2316">
        <v>1</v>
      </c>
      <c r="C2316" t="str">
        <f t="shared" si="72"/>
        <v>EMSG:-STRACE:-STRACERAW:com.farmers.billing.dao.PayPlanAnalyzer$block_XXX_$block_XXX_.invoke(PayPlanAnalyzer.gs:XXX</v>
      </c>
      <c r="D2316" s="3">
        <f t="shared" si="73"/>
        <v>1</v>
      </c>
    </row>
    <row r="2317" spans="1:4" x14ac:dyDescent="0.35">
      <c r="A2317" t="s">
        <v>2474</v>
      </c>
      <c r="B2317">
        <v>1</v>
      </c>
      <c r="C2317" t="str">
        <f t="shared" si="72"/>
        <v>EMSG:-STRACE:-STRACERAW:com.farmers.config.common.CoverageSummaryUIHelper.getCoveragesForChangeSummary(CoverageSummaryUIHelper.gs:XXX</v>
      </c>
      <c r="D2317" s="3">
        <f t="shared" si="73"/>
        <v>1</v>
      </c>
    </row>
    <row r="2318" spans="1:4" x14ac:dyDescent="0.35">
      <c r="A2318" t="s">
        <v>2475</v>
      </c>
      <c r="B2318">
        <v>1</v>
      </c>
      <c r="C2318" t="str">
        <f t="shared" si="72"/>
        <v>EMSG:-STRACE:-STRACERAW:com.farmers.config.decliningdeductible.PAFlexDecliningDeductibleHelper.validateErrorMessages(PAFlexDecliningDeductibleHelper.gs:XXX</v>
      </c>
      <c r="D2318" s="3">
        <f t="shared" si="73"/>
        <v>1</v>
      </c>
    </row>
    <row r="2319" spans="1:4" x14ac:dyDescent="0.35">
      <c r="A2319" t="s">
        <v>2476</v>
      </c>
      <c r="B2319">
        <v>1</v>
      </c>
      <c r="C2319" t="str">
        <f t="shared" si="72"/>
        <v>EMSG:-STRACE:-STRACERAW:com.farmers.config.ho.productmodel.enhancements.Dwelling_HOEEnhancement.validateRoofCoverage_Ext(Dwelling_HOEEnhancement.gsx:XXX</v>
      </c>
      <c r="D2319" s="3">
        <f t="shared" si="73"/>
        <v>1</v>
      </c>
    </row>
    <row r="2320" spans="1:4" x14ac:dyDescent="0.35">
      <c r="A2320" t="s">
        <v>2477</v>
      </c>
      <c r="B2320">
        <v>1</v>
      </c>
      <c r="C2320" t="str">
        <f t="shared" si="72"/>
        <v>EMSG:-STRACE:-STRACERAW:com.farmers.config.pa.adpf.ParallelServiceExecutor.parallelExecutor(ParallelServiceExecutor.gs:XXX</v>
      </c>
      <c r="D2320" s="3">
        <f t="shared" si="73"/>
        <v>1</v>
      </c>
    </row>
    <row r="2321" spans="1:4" x14ac:dyDescent="0.35">
      <c r="A2321" t="s">
        <v>1077</v>
      </c>
      <c r="B2321">
        <v>1</v>
      </c>
      <c r="C2321" t="str">
        <f t="shared" si="72"/>
        <v>EMSG:-STRACE:-STRACERAW:com.farmers.config.pa.helper.PADriverHelper.defaultDriverSignalEnrollInd(PADriverHelper.gs:XXX</v>
      </c>
      <c r="D2321" s="3">
        <f t="shared" si="73"/>
        <v>1</v>
      </c>
    </row>
    <row r="2322" spans="1:4" x14ac:dyDescent="0.35">
      <c r="A2322" t="s">
        <v>2478</v>
      </c>
      <c r="B2322">
        <v>1</v>
      </c>
      <c r="C2322" t="str">
        <f t="shared" si="72"/>
        <v>EMSG:-STRACE:-STRACERAW:com.farmers.config.pa.helper.PADriverHelper.setStudentValues(PADriverHelper.gs:XXX</v>
      </c>
      <c r="D2322" s="3">
        <f t="shared" si="73"/>
        <v>1</v>
      </c>
    </row>
    <row r="2323" spans="1:4" x14ac:dyDescent="0.35">
      <c r="A2323" t="s">
        <v>953</v>
      </c>
      <c r="B2323">
        <v>1</v>
      </c>
      <c r="C2323" t="str">
        <f t="shared" si="72"/>
        <v>EMSG:-STRACE:-STRACERAW:com.farmers.integ.authentication.FarmersAuthenticationSourceCreator.getFarmersEDGEAuthenticationSource(FarmersAuthenticationSourceCreator.gs:XXX</v>
      </c>
      <c r="D2323" s="3">
        <f t="shared" si="73"/>
        <v>1</v>
      </c>
    </row>
    <row r="2324" spans="1:4" x14ac:dyDescent="0.35">
      <c r="A2324" t="s">
        <v>2479</v>
      </c>
      <c r="B2324">
        <v>1</v>
      </c>
      <c r="C2324" t="str">
        <f t="shared" si="72"/>
        <v>EMSG:-STRACE:-STRACERAW:com.farmers.integ.downstream.eventstore.gxmodel.enhancements.ULPolicyEnhancement.getLimitXXXAutoExposure_Ext(ULPolicyEnhancement.gsx:XXX</v>
      </c>
      <c r="D2324" s="3">
        <f t="shared" si="73"/>
        <v>1</v>
      </c>
    </row>
    <row r="2325" spans="1:4" x14ac:dyDescent="0.35">
      <c r="A2325" t="s">
        <v>1080</v>
      </c>
      <c r="B2325">
        <v>1</v>
      </c>
      <c r="C2325" t="str">
        <f t="shared" si="72"/>
        <v>EMSG:-STRACE:-STRACERAW:com.farmers.premiumoptions.impl.HOPremiumOptionsProcess.getHighDeductibleOptions(HOPremiumOptionsProcess.gs:XXX</v>
      </c>
      <c r="D2325" s="3">
        <f t="shared" si="73"/>
        <v>1</v>
      </c>
    </row>
    <row r="2326" spans="1:4" x14ac:dyDescent="0.35">
      <c r="A2326" t="s">
        <v>704</v>
      </c>
      <c r="B2326">
        <v>1</v>
      </c>
      <c r="C2326" t="str">
        <f t="shared" si="72"/>
        <v>EMSG:-STRACE:-STRACERAW:com.guidewire.pc.domain.job.impl.JobImpl.beforeInsert(JobImpl.java:XXX</v>
      </c>
      <c r="D2326" s="3">
        <f t="shared" si="73"/>
        <v>1</v>
      </c>
    </row>
    <row r="2327" spans="1:4" x14ac:dyDescent="0.35">
      <c r="A2327" t="s">
        <v>2480</v>
      </c>
      <c r="B2327">
        <v>1</v>
      </c>
      <c r="C2327" t="str">
        <f t="shared" si="72"/>
        <v>EMSG:-STRACE:-STRACERAW:com.guidewire.pc.domain.policy.period.impl.PolicyPeriodImpl.getOffering(PolicyPeriodImpl.java:XXX</v>
      </c>
      <c r="D2327" s="3">
        <f t="shared" si="73"/>
        <v>1</v>
      </c>
    </row>
    <row r="2328" spans="1:4" x14ac:dyDescent="0.35">
      <c r="A2328" t="s">
        <v>1081</v>
      </c>
      <c r="B2328">
        <v>1</v>
      </c>
      <c r="C2328" t="str">
        <f t="shared" si="72"/>
        <v>EMSG:-STRACE:-STRACERAW:com.guidewire.pl.persistence.code.TypeKeyInternalAccess.getInternalInterface(TypeKeyInternalAccess.java:XXX</v>
      </c>
      <c r="D2328" s="3">
        <f t="shared" si="73"/>
        <v>1</v>
      </c>
    </row>
    <row r="2329" spans="1:4" x14ac:dyDescent="0.35">
      <c r="A2329" t="s">
        <v>2481</v>
      </c>
      <c r="B2329">
        <v>1</v>
      </c>
      <c r="C2329" t="str">
        <f t="shared" si="72"/>
        <v>EMSG:-STRACE:-STRACERAW:com.guidewire.pl.system.bundle.BundleWriter.forceSourcesOfSearchDenormPropertiesIntoBundleForUpdate(BundleWriter.java:XXX</v>
      </c>
      <c r="D2329" s="3">
        <f t="shared" si="73"/>
        <v>1</v>
      </c>
    </row>
    <row r="2330" spans="1:4" x14ac:dyDescent="0.35">
      <c r="A2330" t="s">
        <v>2482</v>
      </c>
      <c r="B2330">
        <v>1</v>
      </c>
      <c r="C2330" t="str">
        <f t="shared" si="72"/>
        <v>EMSG:-STRACE:-STRACERAW:com.guidewire.pl.system.bundle.EntityBundleImpl.commitAndGetBeans(EntityBundleImpl.java:XXX</v>
      </c>
      <c r="D2330" s="3">
        <f t="shared" si="73"/>
        <v>1</v>
      </c>
    </row>
    <row r="2331" spans="1:4" x14ac:dyDescent="0.35">
      <c r="A2331" t="s">
        <v>946</v>
      </c>
      <c r="B2331">
        <v>1</v>
      </c>
      <c r="C2331" t="str">
        <f t="shared" si="72"/>
        <v>EMSG:-STRACE:-STRACERAW:com.guidewire.pl.system.entity.proxy.EffDatedVersionListImpl.getVersionAsOf(EffDatedVersionListImpl.java:XXX</v>
      </c>
      <c r="D2331" s="3">
        <f t="shared" si="73"/>
        <v>1</v>
      </c>
    </row>
    <row r="2332" spans="1:4" x14ac:dyDescent="0.35">
      <c r="A2332" t="s">
        <v>2483</v>
      </c>
      <c r="B2332">
        <v>1</v>
      </c>
      <c r="C2332" t="str">
        <f t="shared" si="72"/>
        <v>EMSG:-STRACE:-STRACERAW:com.guidewire.pl.system.workqueue.DistributedWorkerControllerImpl.checkOutWorkItems(DistributedWorkerControllerImpl.java:XXX</v>
      </c>
      <c r="D2332" s="3">
        <f t="shared" si="73"/>
        <v>1</v>
      </c>
    </row>
    <row r="2333" spans="1:4" x14ac:dyDescent="0.35">
      <c r="A2333" t="s">
        <v>2484</v>
      </c>
      <c r="B2333">
        <v>1</v>
      </c>
      <c r="C2333" t="str">
        <f t="shared" si="72"/>
        <v>EMSG:-STRACE:-STRACERAW:deployment.pc.war//com.guidewire.pl.system.database.DatabaseChangedBeanWriter.createConcurrentDataChangeException(DatabaseChangedBeanWriter.java:XXX</v>
      </c>
      <c r="D2333" s="3">
        <f t="shared" si="73"/>
        <v>1</v>
      </c>
    </row>
    <row r="2334" spans="1:4" x14ac:dyDescent="0.35">
      <c r="A2334" t="s">
        <v>2485</v>
      </c>
      <c r="B2334">
        <v>1</v>
      </c>
      <c r="C2334" t="str">
        <f t="shared" si="72"/>
        <v>EMSG:-STRACE:-STRACERAW:gw.account.AccountFileQuickCompareUIController.getPolicyType(AccountFileQuickCompareUIController.gs:XXX</v>
      </c>
      <c r="D2334" s="3">
        <f t="shared" si="73"/>
        <v>1</v>
      </c>
    </row>
    <row r="2335" spans="1:4" x14ac:dyDescent="0.35">
      <c r="A2335" t="s">
        <v>2486</v>
      </c>
      <c r="B2335">
        <v>1</v>
      </c>
      <c r="C2335" t="str">
        <f t="shared" si="72"/>
        <v>EMSG:-STRACE:-STRACERAW:gw.api.extension.PCExtensionInterfacesMapper$block_XXX_.invoke(PCExtensionInterfacesMapper.gs:XXX</v>
      </c>
      <c r="D2335" s="3">
        <f t="shared" si="73"/>
        <v>1</v>
      </c>
    </row>
    <row r="2336" spans="1:4" x14ac:dyDescent="0.35">
      <c r="A2336" t="s">
        <v>2487</v>
      </c>
      <c r="B2336">
        <v>1</v>
      </c>
      <c r="C2336" t="str">
        <f t="shared" si="72"/>
        <v>EMSG:-STRACE:-STRACERAW:gw.job.SubmissionProcess.isJobProductRewriteForUser_Ext(SubmissionProcess.gs:XXX</v>
      </c>
      <c r="D2336" s="3">
        <f t="shared" si="73"/>
        <v>1</v>
      </c>
    </row>
    <row r="2337" spans="1:4" x14ac:dyDescent="0.35">
      <c r="A2337" t="s">
        <v>2488</v>
      </c>
      <c r="B2337">
        <v>1</v>
      </c>
      <c r="C2337" t="str">
        <f t="shared" si="72"/>
        <v>EMSG:-STRACE:-STRACERAW:gw.lob.pa.PersonalAutoLineEnhancement.getAccTenureMonths_Ext(PersonalAutoLineEnhancement.gsx:XXX</v>
      </c>
      <c r="D2337" s="3">
        <f t="shared" si="73"/>
        <v>1</v>
      </c>
    </row>
    <row r="2338" spans="1:4" x14ac:dyDescent="0.35">
      <c r="A2338" t="s">
        <v>2489</v>
      </c>
      <c r="B2338">
        <v>1</v>
      </c>
      <c r="C2338" t="str">
        <f t="shared" si="72"/>
        <v>EMSG:-STRACE:-STRACERAW:gw.lob.pup.PUPPolicyReviewHelper_PUE$block_XXX_.invoke(PUPPolicyReviewHelper_PUE.gs:XXX</v>
      </c>
      <c r="D2338" s="3">
        <f t="shared" si="73"/>
        <v>1</v>
      </c>
    </row>
    <row r="2339" spans="1:4" x14ac:dyDescent="0.35">
      <c r="A2339" t="s">
        <v>2490</v>
      </c>
      <c r="B2339">
        <v>1</v>
      </c>
      <c r="C2339" t="str">
        <f t="shared" si="72"/>
        <v>EMSG:-STRACE:-STRACERAW:gw.lob.pup.PUPPolicyReviewHelper_PUE.getVehicleExposuresPerType_Ext(PUPPolicyReviewHelper_PUE.gs:XXX</v>
      </c>
      <c r="D2339" s="3">
        <f t="shared" si="73"/>
        <v>1</v>
      </c>
    </row>
    <row r="2340" spans="1:4" x14ac:dyDescent="0.35">
      <c r="A2340" t="s">
        <v>501</v>
      </c>
      <c r="B2340">
        <v>1</v>
      </c>
      <c r="C2340" t="str">
        <f t="shared" si="72"/>
        <v>EMSG:-STRACE:-STRACERAW:gw.pcf.job.QuoteUIHelper.informationMessagePNISNIChange(QuoteUIHelper.gs:XXX</v>
      </c>
      <c r="D2340" s="3">
        <f t="shared" si="73"/>
        <v>1</v>
      </c>
    </row>
    <row r="2341" spans="1:4" x14ac:dyDescent="0.35">
      <c r="A2341" t="s">
        <v>1049</v>
      </c>
      <c r="B2341">
        <v>1</v>
      </c>
      <c r="C2341" t="str">
        <f t="shared" si="72"/>
        <v>EMSG:-STRACE:-STRACERAW:gw.web.line.pa.policy.PADriversPanelSetUIHelper.setSignlaphoneValueOnDriverFirstEnter(PADriversPanelSetUIHelper.gs:XXX</v>
      </c>
      <c r="D2341" s="3">
        <f t="shared" si="73"/>
        <v>1</v>
      </c>
    </row>
    <row r="2342" spans="1:4" x14ac:dyDescent="0.35">
      <c r="A2342" t="s">
        <v>2491</v>
      </c>
      <c r="B2342">
        <v>1</v>
      </c>
      <c r="C2342" t="str">
        <f t="shared" si="72"/>
        <v>EMSG:-STRACE:-STRACERAW:gw.web.policyfile.PolicyFileMenuActionsUIHelper.validateChangeEffectiveDate(PolicyFileMenuActionsUIHelper.gs:XXX</v>
      </c>
      <c r="D2342" s="3">
        <f t="shared" si="73"/>
        <v>1</v>
      </c>
    </row>
    <row r="2343" spans="1:4" x14ac:dyDescent="0.35">
      <c r="A2343" t="s">
        <v>2492</v>
      </c>
      <c r="B2343">
        <v>1</v>
      </c>
      <c r="C2343" t="str">
        <f t="shared" si="72"/>
        <v>EMSG:-STRACE:-STRACERAW:java.util.concurrent.FutureTask.get(FutureTask.java:XXX</v>
      </c>
      <c r="D2343" s="3">
        <f t="shared" si="73"/>
        <v>1</v>
      </c>
    </row>
    <row r="2344" spans="1:4" x14ac:dyDescent="0.35">
      <c r="A2344" t="s">
        <v>378</v>
      </c>
      <c r="B2344">
        <v>1</v>
      </c>
      <c r="C2344" t="str">
        <f t="shared" si="72"/>
        <v>EMSG:-STRACE:-STRACERAW:most one cost version list on gw.lob.pup.rating.PUPCovCostData_PUE&lt;entity.Cost&gt; for dates (XXXXXXXXXXXXXXXXXX</v>
      </c>
      <c r="D2344" s="3">
        <f t="shared" si="73"/>
        <v>1</v>
      </c>
    </row>
    <row r="2345" spans="1:4" x14ac:dyDescent="0.35">
      <c r="A2345" t="s">
        <v>2493</v>
      </c>
      <c r="B2345">
        <v>1</v>
      </c>
      <c r="C2345" t="str">
        <f t="shared" si="72"/>
        <v>EMSG:-STRACE:-STRACERAW:most one result.  Select statement causing error: Values=[CNO:4263283343058XXX (publicid</v>
      </c>
      <c r="D2345" s="3">
        <f t="shared" si="73"/>
        <v>1</v>
      </c>
    </row>
    <row r="2346" spans="1:4" x14ac:dyDescent="0.35">
      <c r="A2346" t="s">
        <v>1188</v>
      </c>
      <c r="B2346">
        <v>1</v>
      </c>
      <c r="C2346" t="str">
        <f t="shared" si="72"/>
        <v>EMSG:-STRACE:-STRACERAW:must be a combined limit (XXX-digit max, i.e XXX</v>
      </c>
      <c r="D2346" s="3">
        <f t="shared" si="73"/>
        <v>1</v>
      </c>
    </row>
    <row r="2347" spans="1:4" x14ac:dyDescent="0.35">
      <c r="A2347" t="s">
        <v>2494</v>
      </c>
      <c r="B2347">
        <v>1</v>
      </c>
      <c r="C2347" t="str">
        <f t="shared" si="72"/>
        <v>EMSG:-STRACE:-STRACERAW:pcfc.expressions.MyTemplateWorksheetExpressions$ScreenExpressionsImpl.visible_XXX(MyTemplateWorksheetExpressions.gs:XXX</v>
      </c>
      <c r="D2347" s="3">
        <f t="shared" si="73"/>
        <v>1</v>
      </c>
    </row>
    <row r="2348" spans="1:4" ht="29" x14ac:dyDescent="0.35">
      <c r="A2348" s="4" t="s">
        <v>2495</v>
      </c>
      <c r="B2348">
        <v>1</v>
      </c>
      <c r="C2348" t="str">
        <f t="shared" si="72"/>
        <v>EMSG:-STRACE:XXX/XXX/XXX XXX:XXX AM. Please cancel and retry your change.
	at gw.acc.luw.LUWExceptionHelper.processUserDisplayableException(LUWExceptionHelper.gs:XXXSTRACERAW:-</v>
      </c>
      <c r="D2348" s="3">
        <f t="shared" si="73"/>
        <v>1</v>
      </c>
    </row>
    <row r="2349" spans="1:4" x14ac:dyDescent="0.35">
      <c r="A2349" t="s">
        <v>2496</v>
      </c>
      <c r="B2349">
        <v>1</v>
      </c>
      <c r="C2349" t="str">
        <f t="shared" si="72"/>
        <v>EMSG:-STRACE:com.farmers.billing.dao.PayPlanAnalyzer$block_XXX_$block_XXX_.invoke(PayPlanAnalyzer.gs:XXXSTRACERAW:-</v>
      </c>
      <c r="D2349" s="3">
        <f t="shared" si="73"/>
        <v>1</v>
      </c>
    </row>
    <row r="2350" spans="1:4" x14ac:dyDescent="0.35">
      <c r="A2350" t="s">
        <v>2497</v>
      </c>
      <c r="B2350">
        <v>1</v>
      </c>
      <c r="C2350" t="str">
        <f t="shared" si="72"/>
        <v>EMSG:-STRACE:com.farmers.config.common.mdm.MDMProcess$block_XXX_$block_XXX_.invoke(MDMProcess.gs:XXXSTRACERAW:-</v>
      </c>
      <c r="D2350" s="3">
        <f t="shared" si="73"/>
        <v>1</v>
      </c>
    </row>
    <row r="2351" spans="1:4" x14ac:dyDescent="0.35">
      <c r="A2351" t="s">
        <v>2498</v>
      </c>
      <c r="B2351">
        <v>1</v>
      </c>
      <c r="C2351" t="str">
        <f t="shared" si="72"/>
        <v>EMSG:-STRACE:com.farmers.config.common.mdm.MDMProcess$block_XXX_.invoke(MDMProcess.gs:XXXSTRACERAW:-</v>
      </c>
      <c r="D2351" s="3">
        <f t="shared" si="73"/>
        <v>1</v>
      </c>
    </row>
    <row r="2352" spans="1:4" x14ac:dyDescent="0.35">
      <c r="A2352" t="s">
        <v>528</v>
      </c>
      <c r="B2352">
        <v>1</v>
      </c>
      <c r="C2352" t="str">
        <f t="shared" si="72"/>
        <v>EMSG:-STRACE:com.farmers.integ.security.community.ace.agent.profile.processor.updator.SecondaryProducerCodeUpdateProcessor.update(SecondaryProducerCodeUpdateProcessor.gs:XXXSTRACERAW:-</v>
      </c>
      <c r="D2352" s="3">
        <f t="shared" si="73"/>
        <v>1</v>
      </c>
    </row>
    <row r="2353" spans="1:4" x14ac:dyDescent="0.35">
      <c r="A2353" t="s">
        <v>943</v>
      </c>
      <c r="B2353">
        <v>1</v>
      </c>
      <c r="C2353" t="str">
        <f t="shared" si="72"/>
        <v>EMSG:-STRACE:com.farmers.integ.security.community.ace.agent.profile.resolver.ApcDistrictGroupResolver.resolve(ApcDistrictGroupResolver.gs:XXXSTRACERAW:-</v>
      </c>
      <c r="D2353" s="3">
        <f t="shared" si="73"/>
        <v>1</v>
      </c>
    </row>
    <row r="2354" spans="1:4" x14ac:dyDescent="0.35">
      <c r="A2354" t="s">
        <v>1245</v>
      </c>
      <c r="B2354">
        <v>1</v>
      </c>
      <c r="C2354" t="str">
        <f t="shared" si="72"/>
        <v>EMSG:-STRACE:deployment.pc.war//com.guidewire.pl.system.entity.proxy.AbstractKeyableBeanProxy.getEdgeForeignKeyId(AbstractKeyableBeanProxy.java:XXXSTRACERAW:-</v>
      </c>
      <c r="D2354" s="3">
        <f t="shared" si="73"/>
        <v>1</v>
      </c>
    </row>
    <row r="2355" spans="1:4" x14ac:dyDescent="0.35">
      <c r="A2355" t="s">
        <v>2499</v>
      </c>
      <c r="B2355">
        <v>1</v>
      </c>
      <c r="C2355" t="str">
        <f t="shared" si="72"/>
        <v>EMSG:-STRACE:deployment.pc.war//com.ibm.icu.math.BigDecimal.bad(BigDecimal.java:XXXSTRACERAW:-</v>
      </c>
      <c r="D2355" s="3">
        <f t="shared" si="73"/>
        <v>1</v>
      </c>
    </row>
    <row r="2356" spans="1:4" x14ac:dyDescent="0.35">
      <c r="A2356" t="s">
        <v>2500</v>
      </c>
      <c r="B2356">
        <v>1</v>
      </c>
      <c r="C2356" t="str">
        <f t="shared" si="72"/>
        <v>EMSG:-STRACE:edge.capabilities.policychange.PolicyChangeHandler$block_XXX_.invoke(PolicyChangeHandler.gs:XXXSTRACERAW:-</v>
      </c>
      <c r="D2356" s="3">
        <f t="shared" si="73"/>
        <v>1</v>
      </c>
    </row>
    <row r="2357" spans="1:4" x14ac:dyDescent="0.35">
      <c r="A2357" t="s">
        <v>2501</v>
      </c>
      <c r="B2357">
        <v>1</v>
      </c>
      <c r="C2357" t="str">
        <f t="shared" si="72"/>
        <v>EMSG:-STRACE:gw.acc.luw.perf.JobManager.withdrawPolicyJobs(JobManager.gs:XXXSTRACERAW:-</v>
      </c>
      <c r="D2357" s="3">
        <f t="shared" si="73"/>
        <v>1</v>
      </c>
    </row>
    <row r="2358" spans="1:4" x14ac:dyDescent="0.35">
      <c r="A2358" t="s">
        <v>2502</v>
      </c>
      <c r="B2358">
        <v>1</v>
      </c>
      <c r="C2358" t="str">
        <f t="shared" si="72"/>
        <v>EMSG:-STRACE:gw.lob.pup.PUPLineEnhancement_PUE.addHouseholdMemberForContact(PUPLineEnhancement_PUE.gsx:XXXSTRACERAW:-</v>
      </c>
      <c r="D2358" s="3">
        <f t="shared" si="73"/>
        <v>1</v>
      </c>
    </row>
    <row r="2359" spans="1:4" x14ac:dyDescent="0.35">
      <c r="A2359" t="s">
        <v>2503</v>
      </c>
      <c r="B2359">
        <v>1</v>
      </c>
      <c r="C2359" t="str">
        <f t="shared" si="72"/>
        <v>EMSG:ABOLGHASEM SINAI is already a Household Member.STRACE:deployment.pc.war//com.guidewire.pc.domain.policy.period.impl.PolicyPeriodImpl.checkAccountContactIsNotAlreadyAPolicyContactRoleOfType(PolicyPeriodImpl.java:XXXSTRACERAW:-</v>
      </c>
      <c r="D2359" s="3">
        <f t="shared" si="73"/>
        <v>1</v>
      </c>
    </row>
    <row r="2360" spans="1:4" x14ac:dyDescent="0.35">
      <c r="A2360" t="s">
        <v>2504</v>
      </c>
      <c r="B2360">
        <v>1</v>
      </c>
      <c r="C2360" t="str">
        <f t="shared" si="72"/>
        <v>EMSG:ALLEN HERRINGSTRACE:com.farmers.config.pa.validator.BrightlineValidator.validateQuoteBrightlineRules(BrightlineValidator.gs:XXXSTRACERAW:-</v>
      </c>
      <c r="D2360" s="3">
        <f t="shared" si="73"/>
        <v>1</v>
      </c>
    </row>
    <row r="2361" spans="1:4" x14ac:dyDescent="0.35">
      <c r="A2361" t="s">
        <v>2505</v>
      </c>
      <c r="B2361">
        <v>1</v>
      </c>
      <c r="C2361" t="str">
        <f t="shared" si="72"/>
        <v>EMSG:ALLEN HERRINGSTRACE:gw.job.QuoteProcess.requestQuote(QuoteProcess.gs:XXXSTRACERAW:-</v>
      </c>
      <c r="D2361" s="3">
        <f t="shared" si="73"/>
        <v>1</v>
      </c>
    </row>
    <row r="2362" spans="1:4" x14ac:dyDescent="0.35">
      <c r="A2362" t="s">
        <v>2506</v>
      </c>
      <c r="B2362">
        <v>1</v>
      </c>
      <c r="C2362" t="str">
        <f t="shared" si="72"/>
        <v>EMSG:ANISE WHEATLEYSTRACE:com.farmers.config.pa.validator.BrightlineValidator.validateQuoteBrightlineRules(BrightlineValidator.gs:XXXSTRACERAW:-</v>
      </c>
      <c r="D2362" s="3">
        <f t="shared" si="73"/>
        <v>1</v>
      </c>
    </row>
    <row r="2363" spans="1:4" x14ac:dyDescent="0.35">
      <c r="A2363" t="s">
        <v>2507</v>
      </c>
      <c r="B2363">
        <v>1</v>
      </c>
      <c r="C2363" t="str">
        <f t="shared" si="72"/>
        <v>EMSG:ANISE WHEATLEYSTRACE:gw.job.QuoteProcess.requestQuote(QuoteProcess.gs:XXXSTRACERAW:-</v>
      </c>
      <c r="D2363" s="3">
        <f t="shared" si="73"/>
        <v>1</v>
      </c>
    </row>
    <row r="2364" spans="1:4" x14ac:dyDescent="0.35">
      <c r="A2364" t="s">
        <v>1148</v>
      </c>
      <c r="B2364">
        <v>1</v>
      </c>
      <c r="C2364" t="str">
        <f t="shared" si="72"/>
        <v>EMSG:ANTWONE ROMEROSTRACE:com.farmers.config.pa.validator.BrightlineValidator.validateQuoteBrightlineRules(BrightlineValidator.gs:XXXSTRACERAW:-</v>
      </c>
      <c r="D2364" s="3">
        <f t="shared" si="73"/>
        <v>1</v>
      </c>
    </row>
    <row r="2365" spans="1:4" x14ac:dyDescent="0.35">
      <c r="A2365" t="s">
        <v>1149</v>
      </c>
      <c r="B2365">
        <v>1</v>
      </c>
      <c r="C2365" t="str">
        <f t="shared" si="72"/>
        <v>EMSG:ANTWONE ROMEROSTRACE:gw.job.QuoteProcess.requestQuote(QuoteProcess.gs:XXXSTRACERAW:-</v>
      </c>
      <c r="D2365" s="3">
        <f t="shared" si="73"/>
        <v>1</v>
      </c>
    </row>
    <row r="2366" spans="1:4" x14ac:dyDescent="0.35">
      <c r="A2366" t="s">
        <v>2508</v>
      </c>
      <c r="B2366">
        <v>1</v>
      </c>
      <c r="C2366" t="str">
        <f t="shared" si="72"/>
        <v>EMSG:AVERY RUTLEDGESTRACE:com.farmers.config.pa.validator.BrightlineValidator.validateQuoteBrightlineRules(BrightlineValidator.gs:XXXSTRACERAW:-</v>
      </c>
      <c r="D2366" s="3">
        <f t="shared" si="73"/>
        <v>1</v>
      </c>
    </row>
    <row r="2367" spans="1:4" x14ac:dyDescent="0.35">
      <c r="A2367" t="s">
        <v>2509</v>
      </c>
      <c r="B2367">
        <v>1</v>
      </c>
      <c r="C2367" t="str">
        <f t="shared" si="72"/>
        <v>EMSG:AVERY RUTLEDGESTRACE:gw.job.QuoteProcess.requestQuote(QuoteProcess.gs:XXXSTRACERAW:-</v>
      </c>
      <c r="D2367" s="3">
        <f t="shared" si="73"/>
        <v>1</v>
      </c>
    </row>
    <row r="2368" spans="1:4" x14ac:dyDescent="0.35">
      <c r="A2368" t="s">
        <v>2510</v>
      </c>
      <c r="B2368">
        <v>1</v>
      </c>
      <c r="C2368" t="str">
        <f t="shared" si="72"/>
        <v>EMSG:Add License # for BLANCA GARCIASTRACE:com.farmers.config.pa.mvr.validator.MVRDriverValidator.throwDisplayableExceptionIfNeeded(MVRDriverValidator.gs:XXXSTRACERAW:-</v>
      </c>
      <c r="D2368" s="3">
        <f t="shared" si="73"/>
        <v>1</v>
      </c>
    </row>
    <row r="2369" spans="1:4" x14ac:dyDescent="0.35">
      <c r="A2369" t="s">
        <v>2511</v>
      </c>
      <c r="B2369">
        <v>1</v>
      </c>
      <c r="C2369" t="str">
        <f t="shared" si="72"/>
        <v>EMSG:Add License # for BLANCA GARCIASTRACE:gw.job.QuoteProcess.requestQuote(QuoteProcess.gs:XXXSTRACERAW:-</v>
      </c>
      <c r="D2369" s="3">
        <f t="shared" si="73"/>
        <v>1</v>
      </c>
    </row>
    <row r="2370" spans="1:4" x14ac:dyDescent="0.35">
      <c r="A2370" t="s">
        <v>2512</v>
      </c>
      <c r="B2370">
        <v>1</v>
      </c>
      <c r="C2370" t="str">
        <f t="shared" ref="C2370:C2433" si="74">LEFT(A2370,255)</f>
        <v>EMSG:Add License State for Marina Jacquez-LaresSTRACE:com.farmers.config.pa.mvr.validator.MVRDriverValidator.throwDisplayableExceptionIfNeeded(MVRDriverValidator.gs:XXXSTRACERAW:-</v>
      </c>
      <c r="D2370" s="3">
        <f t="shared" ref="D2370:D2433" si="75">IF(AND((B2370/10)&lt;1,(B2370/10)&gt;0),1,(B2370/10)*130%)</f>
        <v>1</v>
      </c>
    </row>
    <row r="2371" spans="1:4" x14ac:dyDescent="0.35">
      <c r="A2371" t="s">
        <v>2513</v>
      </c>
      <c r="B2371">
        <v>1</v>
      </c>
      <c r="C2371" t="str">
        <f t="shared" si="74"/>
        <v>EMSG:Add License State for Marina Jacquez-LaresSTRACE:gw.job.QuoteProcess.requestQuote(QuoteProcess.gs:XXXSTRACERAW:-</v>
      </c>
      <c r="D2371" s="3">
        <f t="shared" si="75"/>
        <v>1</v>
      </c>
    </row>
    <row r="2372" spans="1:4" x14ac:dyDescent="0.35">
      <c r="A2372" t="s">
        <v>2514</v>
      </c>
      <c r="B2372">
        <v>1</v>
      </c>
      <c r="C2372" t="str">
        <f t="shared" si="74"/>
        <v>EMSG:Alisha WolfeSTRACE:com.farmers.config.pa.validator.BrightlineValidator.validateQuoteBrightlineRules(BrightlineValidator.gs:XXXSTRACERAW:-</v>
      </c>
      <c r="D2372" s="3">
        <f t="shared" si="75"/>
        <v>1</v>
      </c>
    </row>
    <row r="2373" spans="1:4" x14ac:dyDescent="0.35">
      <c r="A2373" t="s">
        <v>2515</v>
      </c>
      <c r="B2373">
        <v>1</v>
      </c>
      <c r="C2373" t="str">
        <f t="shared" si="74"/>
        <v>EMSG:Alisha WolfeSTRACE:gw.job.QuoteProcess.requestQuote(QuoteProcess.gs:XXXSTRACERAW:-</v>
      </c>
      <c r="D2373" s="3">
        <f t="shared" si="75"/>
        <v>1</v>
      </c>
    </row>
    <row r="2374" spans="1:4" x14ac:dyDescent="0.35">
      <c r="A2374" t="s">
        <v>2516</v>
      </c>
      <c r="B2374">
        <v>1</v>
      </c>
      <c r="C2374" t="str">
        <f t="shared" si="74"/>
        <v>EMSG:Alvaro Alba AguirreSTRACE:com.farmers.config.pa.validator.BrightlineValidator.validateQuoteBrightlineRules(BrightlineValidator.gs:XXXSTRACERAW:-</v>
      </c>
      <c r="D2374" s="3">
        <f t="shared" si="75"/>
        <v>1</v>
      </c>
    </row>
    <row r="2375" spans="1:4" x14ac:dyDescent="0.35">
      <c r="A2375" t="s">
        <v>2517</v>
      </c>
      <c r="B2375">
        <v>1</v>
      </c>
      <c r="C2375" t="str">
        <f t="shared" si="74"/>
        <v>EMSG:Alvaro Alba AguirreSTRACE:gw.job.QuoteProcess.requestQuote(QuoteProcess.gs:XXXSTRACERAW:-</v>
      </c>
      <c r="D2375" s="3">
        <f t="shared" si="75"/>
        <v>1</v>
      </c>
    </row>
    <row r="2376" spans="1:4" x14ac:dyDescent="0.35">
      <c r="A2376" t="s">
        <v>2518</v>
      </c>
      <c r="B2376">
        <v>1</v>
      </c>
      <c r="C2376" t="str">
        <f t="shared" si="74"/>
        <v>EMSG:Alyssa LuskSTRACE:com.farmers.config.pa.validator.BrightlineValidator.validateQuoteBrightlineRules(BrightlineValidator.gs:XXXSTRACERAW:-</v>
      </c>
      <c r="D2376" s="3">
        <f t="shared" si="75"/>
        <v>1</v>
      </c>
    </row>
    <row r="2377" spans="1:4" x14ac:dyDescent="0.35">
      <c r="A2377" t="s">
        <v>2519</v>
      </c>
      <c r="B2377">
        <v>1</v>
      </c>
      <c r="C2377" t="str">
        <f t="shared" si="74"/>
        <v>EMSG:Anthony VieraSTRACE:com.farmers.config.pa.validator.BrightlineValidator.validateQuoteBrightlineRules(BrightlineValidator.gs:XXXSTRACERAW:-</v>
      </c>
      <c r="D2377" s="3">
        <f t="shared" si="75"/>
        <v>1</v>
      </c>
    </row>
    <row r="2378" spans="1:4" x14ac:dyDescent="0.35">
      <c r="A2378" t="s">
        <v>2520</v>
      </c>
      <c r="B2378">
        <v>1</v>
      </c>
      <c r="C2378" t="str">
        <f t="shared" si="74"/>
        <v>EMSG:Argument "policy" cannot be nullSTRACE:deployment.pc.war//gw.pl.util.ArgCheck.nonNull(ArgCheck.java:XXXSTRACERAW:-</v>
      </c>
      <c r="D2378" s="3">
        <f t="shared" si="75"/>
        <v>1</v>
      </c>
    </row>
    <row r="2379" spans="1:4" x14ac:dyDescent="0.35">
      <c r="A2379" t="s">
        <v>2521</v>
      </c>
      <c r="B2379">
        <v>1</v>
      </c>
      <c r="C2379" t="str">
        <f t="shared" si="74"/>
        <v>EMSG:Attempt to access bean of type "Form" id=XXX with a null bundleSTRACE:deployment.pc.war//com.guidewire.pl.system.entity.proxy.BeanProxy.checkIsInBundle(BeanProxy.java:XXXSTRACERAW:-</v>
      </c>
      <c r="D2379" s="3">
        <f t="shared" si="75"/>
        <v>1</v>
      </c>
    </row>
    <row r="2380" spans="1:4" x14ac:dyDescent="0.35">
      <c r="A2380" t="s">
        <v>2522</v>
      </c>
      <c r="B2380">
        <v>1</v>
      </c>
      <c r="C2380" t="str">
        <f t="shared" si="74"/>
        <v>EMSG:Attempt to access bean of type "Person" id=XXX with a null bundleSTRACE:deployment.pc.war//com.guidewire.pl.system.entity.proxy.BeanProxy.checkIsInBundle(BeanProxy.java:XXXSTRACERAW:-</v>
      </c>
      <c r="D2380" s="3">
        <f t="shared" si="75"/>
        <v>1</v>
      </c>
    </row>
    <row r="2381" spans="1:4" x14ac:dyDescent="0.35">
      <c r="A2381" t="s">
        <v>2523</v>
      </c>
      <c r="B2381">
        <v>1</v>
      </c>
      <c r="C2381" t="str">
        <f t="shared" si="74"/>
        <v>EMSG:Attempt to access bean of type "ULCovLimits_Ext" id=XXX with a null bundleSTRACE:deployment.pc.war//com.guidewire.pl.system.entity.proxy.BeanProxy.checkIsInBundle(BeanProxy.java:XXXSTRACERAW:-</v>
      </c>
      <c r="D2381" s="3">
        <f t="shared" si="75"/>
        <v>1</v>
      </c>
    </row>
    <row r="2382" spans="1:4" x14ac:dyDescent="0.35">
      <c r="A2382" t="s">
        <v>2524</v>
      </c>
      <c r="B2382">
        <v>1</v>
      </c>
      <c r="C2382" t="str">
        <f t="shared" si="74"/>
        <v>EMSG:BRANDT KNUTONSTRACE:com.farmers.config.pa.validator.BrightlineValidator.validateQuoteBrightlineRules(BrightlineValidator.gs:XXXSTRACERAW:-</v>
      </c>
      <c r="D2382" s="3">
        <f t="shared" si="75"/>
        <v>1</v>
      </c>
    </row>
    <row r="2383" spans="1:4" x14ac:dyDescent="0.35">
      <c r="A2383" t="s">
        <v>2525</v>
      </c>
      <c r="B2383">
        <v>1</v>
      </c>
      <c r="C2383" t="str">
        <f t="shared" si="74"/>
        <v>EMSG:BRANDT KNUTONSTRACE:gw.job.QuoteProcess.requestQuote(QuoteProcess.gs:XXXSTRACERAW:-</v>
      </c>
      <c r="D2383" s="3">
        <f t="shared" si="75"/>
        <v>1</v>
      </c>
    </row>
    <row r="2384" spans="1:4" x14ac:dyDescent="0.35">
      <c r="A2384" t="s">
        <v>2526</v>
      </c>
      <c r="B2384">
        <v>1</v>
      </c>
      <c r="C2384" t="str">
        <f t="shared" si="74"/>
        <v>EMSG:BRAYDON KOENSTRACE:com.farmers.config.pa.validator.BrightlineValidator.validateQuoteBrightlineRules(BrightlineValidator.gs:XXXSTRACERAW:-</v>
      </c>
      <c r="D2384" s="3">
        <f t="shared" si="75"/>
        <v>1</v>
      </c>
    </row>
    <row r="2385" spans="1:4" x14ac:dyDescent="0.35">
      <c r="A2385" t="s">
        <v>2527</v>
      </c>
      <c r="B2385">
        <v>1</v>
      </c>
      <c r="C2385" t="str">
        <f t="shared" si="74"/>
        <v>EMSG:BRAYDON KOENSTRACE:gw.job.QuoteProcess.requestQuote(QuoteProcess.gs:XXXSTRACERAW:-</v>
      </c>
      <c r="D2385" s="3">
        <f t="shared" si="75"/>
        <v>1</v>
      </c>
    </row>
    <row r="2386" spans="1:4" x14ac:dyDescent="0.35">
      <c r="A2386" t="s">
        <v>2528</v>
      </c>
      <c r="B2386">
        <v>1</v>
      </c>
      <c r="C2386" t="str">
        <f t="shared" si="74"/>
        <v>EMSG:BRENDA CASTLESTRACE:com.farmers.config.pa.validator.BrightlineValidator.validateQuoteBrightlineRules(BrightlineValidator.gs:XXXSTRACERAW:-</v>
      </c>
      <c r="D2386" s="3">
        <f t="shared" si="75"/>
        <v>1</v>
      </c>
    </row>
    <row r="2387" spans="1:4" x14ac:dyDescent="0.35">
      <c r="A2387" t="s">
        <v>2529</v>
      </c>
      <c r="B2387">
        <v>1</v>
      </c>
      <c r="C2387" t="str">
        <f t="shared" si="74"/>
        <v>EMSG:BRIAN MORENOSTRACE:com.farmers.config.pa.validator.BrightlineValidator.validateQuoteBrightlineRules(BrightlineValidator.gs:XXXSTRACERAW:-</v>
      </c>
      <c r="D2387" s="3">
        <f t="shared" si="75"/>
        <v>1</v>
      </c>
    </row>
    <row r="2388" spans="1:4" x14ac:dyDescent="0.35">
      <c r="A2388" t="s">
        <v>2530</v>
      </c>
      <c r="B2388">
        <v>1</v>
      </c>
      <c r="C2388" t="str">
        <f t="shared" si="74"/>
        <v>EMSG:BRIAN MORENOSTRACE:gw.job.QuoteProcess.requestQuote(QuoteProcess.gs:XXXSTRACERAW:-</v>
      </c>
      <c r="D2388" s="3">
        <f t="shared" si="75"/>
        <v>1</v>
      </c>
    </row>
    <row r="2389" spans="1:4" x14ac:dyDescent="0.35">
      <c r="A2389" t="s">
        <v>2531</v>
      </c>
      <c r="B2389">
        <v>1</v>
      </c>
      <c r="C2389" t="str">
        <f t="shared" si="74"/>
        <v>EMSG:Beatrice XimenezSTRACE:com.farmers.config.pa.validator.BrightlineValidator.validateQuoteBrightlineRules(BrightlineValidator.gs:XXXSTRACERAW:-</v>
      </c>
      <c r="D2389" s="3">
        <f t="shared" si="75"/>
        <v>1</v>
      </c>
    </row>
    <row r="2390" spans="1:4" x14ac:dyDescent="0.35">
      <c r="A2390" t="s">
        <v>2532</v>
      </c>
      <c r="B2390">
        <v>1</v>
      </c>
      <c r="C2390" t="str">
        <f t="shared" si="74"/>
        <v>EMSG:Belinda TimmsSTRACE:com.farmers.config.pa.validator.BrightlineValidator.validateQuoteBrightlineRules(BrightlineValidator.gs:XXXSTRACERAW:-</v>
      </c>
      <c r="D2390" s="3">
        <f t="shared" si="75"/>
        <v>1</v>
      </c>
    </row>
    <row r="2391" spans="1:4" x14ac:dyDescent="0.35">
      <c r="A2391" t="s">
        <v>2533</v>
      </c>
      <c r="B2391">
        <v>1</v>
      </c>
      <c r="C2391" t="str">
        <f t="shared" si="74"/>
        <v>EMSG:Belinda TimmsSTRACE:gw.job.QuoteProcess.requestQuote(QuoteProcess.gs:XXXSTRACERAW:-</v>
      </c>
      <c r="D2391" s="3">
        <f t="shared" si="75"/>
        <v>1</v>
      </c>
    </row>
    <row r="2392" spans="1:4" x14ac:dyDescent="0.35">
      <c r="A2392" t="s">
        <v>2534</v>
      </c>
      <c r="B2392">
        <v>1</v>
      </c>
      <c r="C2392" t="str">
        <f t="shared" si="74"/>
        <v>EMSG:Brendan MillsSTRACE:com.farmers.config.pa.validator.BrightlineValidator.validateQuoteBrightlineRules(BrightlineValidator.gs:XXXSTRACERAW:-</v>
      </c>
      <c r="D2392" s="3">
        <f t="shared" si="75"/>
        <v>1</v>
      </c>
    </row>
    <row r="2393" spans="1:4" x14ac:dyDescent="0.35">
      <c r="A2393" t="s">
        <v>2535</v>
      </c>
      <c r="B2393">
        <v>1</v>
      </c>
      <c r="C2393" t="str">
        <f t="shared" si="74"/>
        <v>EMSG:Brendan MillsSTRACE:gw.job.QuoteProcess.requestQuote(QuoteProcess.gs:XXXSTRACERAW:-</v>
      </c>
      <c r="D2393" s="3">
        <f t="shared" si="75"/>
        <v>1</v>
      </c>
    </row>
    <row r="2394" spans="1:4" x14ac:dyDescent="0.35">
      <c r="A2394" t="s">
        <v>2536</v>
      </c>
      <c r="B2394">
        <v>1</v>
      </c>
      <c r="C2394" t="str">
        <f t="shared" si="74"/>
        <v>EMSG:CAITLIN NGUYENSTRACE:com.farmers.config.pa.validator.BrightlineValidator.validateQuoteBrightlineRules(BrightlineValidator.gs:XXXSTRACERAW:-</v>
      </c>
      <c r="D2394" s="3">
        <f t="shared" si="75"/>
        <v>1</v>
      </c>
    </row>
    <row r="2395" spans="1:4" x14ac:dyDescent="0.35">
      <c r="A2395" t="s">
        <v>2537</v>
      </c>
      <c r="B2395">
        <v>1</v>
      </c>
      <c r="C2395" t="str">
        <f t="shared" si="74"/>
        <v>EMSG:CAITLIN NGUYENSTRACE:gw.job.QuoteProcess.requestQuote(QuoteProcess.gs:XXXSTRACERAW:-</v>
      </c>
      <c r="D2395" s="3">
        <f t="shared" si="75"/>
        <v>1</v>
      </c>
    </row>
    <row r="2396" spans="1:4" x14ac:dyDescent="0.35">
      <c r="A2396" t="s">
        <v>2538</v>
      </c>
      <c r="B2396">
        <v>1</v>
      </c>
      <c r="C2396" t="str">
        <f t="shared" si="74"/>
        <v>EMSG:CANDACE PHILLIPSSTRACE:com.farmers.config.pa.validator.BrightlineValidator.validateQuoteBrightlineRules(BrightlineValidator.gs:XXXSTRACERAW:-</v>
      </c>
      <c r="D2396" s="3">
        <f t="shared" si="75"/>
        <v>1</v>
      </c>
    </row>
    <row r="2397" spans="1:4" x14ac:dyDescent="0.35">
      <c r="A2397" t="s">
        <v>2539</v>
      </c>
      <c r="B2397">
        <v>1</v>
      </c>
      <c r="C2397" t="str">
        <f t="shared" si="74"/>
        <v>EMSG:CHRISTINA M BALDERAZ is already a Household Member.STRACE:deployment.pc.war//com.guidewire.pc.domain.policy.period.impl.PolicyPeriodImpl.checkAccountContactIsNotAlreadyAPolicyContactRoleOfType(PolicyPeriodImpl.java:XXXSTRACERAW:-</v>
      </c>
      <c r="D2397" s="3">
        <f t="shared" si="75"/>
        <v>1</v>
      </c>
    </row>
    <row r="2398" spans="1:4" x14ac:dyDescent="0.35">
      <c r="A2398" t="s">
        <v>2540</v>
      </c>
      <c r="B2398">
        <v>1</v>
      </c>
      <c r="C2398" t="str">
        <f t="shared" si="74"/>
        <v>EMSG:CORY GERLOCKSTRACE:com.farmers.config.pa.validator.BrightlineValidator.validateQuoteBrightlineRules(BrightlineValidator.gs:XXXSTRACERAW:-</v>
      </c>
      <c r="D2398" s="3">
        <f t="shared" si="75"/>
        <v>1</v>
      </c>
    </row>
    <row r="2399" spans="1:4" x14ac:dyDescent="0.35">
      <c r="A2399" t="s">
        <v>2541</v>
      </c>
      <c r="B2399">
        <v>1</v>
      </c>
      <c r="C2399" t="str">
        <f t="shared" si="74"/>
        <v>EMSG:CORY GERLOCKSTRACE:gw.job.QuoteProcess.requestQuote(QuoteProcess.gs:XXXSTRACERAW:-</v>
      </c>
      <c r="D2399" s="3">
        <f t="shared" si="75"/>
        <v>1</v>
      </c>
    </row>
    <row r="2400" spans="1:4" x14ac:dyDescent="0.35">
      <c r="A2400" t="s">
        <v>2542</v>
      </c>
      <c r="B2400">
        <v>1</v>
      </c>
      <c r="C2400" t="str">
        <f t="shared" si="74"/>
        <v>EMSG:Can't have NULL fixedIdSTRACE:deployment.pc.war//gw.pl.persistence.core.effdate.EffDatedKey.&lt;init&gt;(EffDatedKey.java:XXXSTRACERAW:-</v>
      </c>
      <c r="D2400" s="3">
        <f t="shared" si="75"/>
        <v>1</v>
      </c>
    </row>
    <row r="2401" spans="1:4" x14ac:dyDescent="0.35">
      <c r="A2401" t="s">
        <v>2543</v>
      </c>
      <c r="B2401">
        <v>1</v>
      </c>
      <c r="C2401" t="str">
        <f t="shared" si="74"/>
        <v>EMSG:Cannot create PolicyLocation for AccountLocation not associated with AccountSTRACE:deployment.pc.war//com.guidewire.pc.domain.policy.period.impl.PolicyPeriodImpl.newLocation(PolicyPeriodImpl.java:XXXSTRACERAW:-</v>
      </c>
      <c r="D2401" s="3">
        <f t="shared" si="75"/>
        <v>1</v>
      </c>
    </row>
    <row r="2402" spans="1:4" x14ac:dyDescent="0.35">
      <c r="A2402" t="s">
        <v>248</v>
      </c>
      <c r="B2402">
        <v>1</v>
      </c>
      <c r="C2402" t="str">
        <f t="shared" si="74"/>
        <v>EMSG:Cannot make XXX the secondary named insured because it is already the primary named insured.STRACE:deployment.pc.war//com.guidewire.pc.domain.policy.period.impl.PolicyPeriodImpl.changeSecondaryNamedInsuredTo(PolicyPeriodImpl.java:XXXSTRACERAW:-</v>
      </c>
      <c r="D2402" s="3">
        <f t="shared" si="75"/>
        <v>1</v>
      </c>
    </row>
    <row r="2403" spans="1:4" x14ac:dyDescent="0.35">
      <c r="A2403" t="s">
        <v>505</v>
      </c>
      <c r="B2403">
        <v>1</v>
      </c>
      <c r="C2403" t="str">
        <f t="shared" si="74"/>
        <v>EMSG:Cannot promote preempted branchSTRACE:deployment.pc.war//com.guidewire.pl.system.entity.proxy.EffDatedBranchProxy.checkIfPreempted(EffDatedBranchProxy.java:XXXSTRACERAW:-</v>
      </c>
      <c r="D2403" s="3">
        <f t="shared" si="75"/>
        <v>1</v>
      </c>
    </row>
    <row r="2404" spans="1:4" x14ac:dyDescent="0.35">
      <c r="A2404" t="s">
        <v>695</v>
      </c>
      <c r="B2404">
        <v>1</v>
      </c>
      <c r="C2404" t="str">
        <f t="shared" si="74"/>
        <v>EMSG:Cannot traverse in window modeSTRACE:deployment.pc.war//com.guidewire.pl.system.entity.proxy.EffDatedBranchProxy.getTraversalDate(EffDatedBranchProxy.java:XXXSTRACERAW:-</v>
      </c>
      <c r="D2404" s="3">
        <f t="shared" si="75"/>
        <v>1</v>
      </c>
    </row>
    <row r="2405" spans="1:4" x14ac:dyDescent="0.35">
      <c r="A2405" t="s">
        <v>670</v>
      </c>
      <c r="B2405">
        <v>1</v>
      </c>
      <c r="C2405" t="str">
        <f t="shared" si="74"/>
        <v>EMSG:Change the Purchase Date. Year purchased cannot be more than XXX years prior to model year for Vehicle XXXSTRACE:edge.capabilities.quote.submission.quoting.util.SubmissionUnderwritingIssuesUtil.checkVerifyRateExceptions(SubmissionUnderwritingIssuesUt</v>
      </c>
      <c r="D2405" s="3">
        <f t="shared" si="75"/>
        <v>1</v>
      </c>
    </row>
    <row r="2406" spans="1:4" x14ac:dyDescent="0.35">
      <c r="A2406" t="s">
        <v>2544</v>
      </c>
      <c r="B2406">
        <v>1</v>
      </c>
      <c r="C2406" t="str">
        <f t="shared" si="74"/>
        <v>EMSG:Charlotte EschSTRACE:com.farmers.config.pa.validator.BrightlineValidator.validateQuoteBrightlineRules(BrightlineValidator.gs:XXXSTRACERAW:-</v>
      </c>
      <c r="D2406" s="3">
        <f t="shared" si="75"/>
        <v>1</v>
      </c>
    </row>
    <row r="2407" spans="1:4" x14ac:dyDescent="0.35">
      <c r="A2407" t="s">
        <v>2545</v>
      </c>
      <c r="B2407">
        <v>1</v>
      </c>
      <c r="C2407" t="str">
        <f t="shared" si="74"/>
        <v>EMSG:Charlotte EschSTRACE:gw.job.QuoteProcess.requestQuote(QuoteProcess.gs:XXXSTRACERAW:-</v>
      </c>
      <c r="D2407" s="3">
        <f t="shared" si="75"/>
        <v>1</v>
      </c>
    </row>
    <row r="2408" spans="1:4" x14ac:dyDescent="0.35">
      <c r="A2408" t="s">
        <v>2546</v>
      </c>
      <c r="B2408">
        <v>1</v>
      </c>
      <c r="C2408" t="str">
        <f t="shared" si="74"/>
        <v>EMSG:Christian MoodySTRACE:com.farmers.config.pa.validator.BrightlineValidator.validateQuoteBrightlineRules(BrightlineValidator.gs:XXXSTRACERAW:-</v>
      </c>
      <c r="D2408" s="3">
        <f t="shared" si="75"/>
        <v>1</v>
      </c>
    </row>
    <row r="2409" spans="1:4" x14ac:dyDescent="0.35">
      <c r="A2409" t="s">
        <v>2547</v>
      </c>
      <c r="B2409">
        <v>1</v>
      </c>
      <c r="C2409" t="str">
        <f t="shared" si="74"/>
        <v>EMSG:Christian MoodySTRACE:gw.job.QuoteProcess.requestQuote(QuoteProcess.gs:XXXSTRACERAW:-</v>
      </c>
      <c r="D2409" s="3">
        <f t="shared" si="75"/>
        <v>1</v>
      </c>
    </row>
    <row r="2410" spans="1:4" x14ac:dyDescent="0.35">
      <c r="A2410" t="s">
        <v>2548</v>
      </c>
      <c r="B2410">
        <v>1</v>
      </c>
      <c r="C2410" t="str">
        <f t="shared" si="74"/>
        <v>EMSG:Cindy KnutsonSTRACE:com.farmers.config.pa.validator.BrightlineValidator.validateQuoteBrightlineRules(BrightlineValidator.gs:XXXSTRACERAW:-</v>
      </c>
      <c r="D2410" s="3">
        <f t="shared" si="75"/>
        <v>1</v>
      </c>
    </row>
    <row r="2411" spans="1:4" x14ac:dyDescent="0.35">
      <c r="A2411" t="s">
        <v>2549</v>
      </c>
      <c r="B2411">
        <v>1</v>
      </c>
      <c r="C2411" t="str">
        <f t="shared" si="74"/>
        <v>EMSG:Cindy KnutsonSTRACE:gw.job.QuoteProcess.requestQuote(QuoteProcess.gs:XXXSTRACERAW:-</v>
      </c>
      <c r="D2411" s="3">
        <f t="shared" si="75"/>
        <v>1</v>
      </c>
    </row>
    <row r="2412" spans="1:4" x14ac:dyDescent="0.35">
      <c r="A2412" t="s">
        <v>2550</v>
      </c>
      <c r="B2412">
        <v>1</v>
      </c>
      <c r="C2412" t="str">
        <f t="shared" si="74"/>
        <v>EMSG:Cindy WoodsSTRACE:com.farmers.config.pa.validator.BrightlineValidator.validateQuoteBrightlineRules(BrightlineValidator.gs:XXXSTRACERAW:-</v>
      </c>
      <c r="D2412" s="3">
        <f t="shared" si="75"/>
        <v>1</v>
      </c>
    </row>
    <row r="2413" spans="1:4" x14ac:dyDescent="0.35">
      <c r="A2413" t="s">
        <v>2551</v>
      </c>
      <c r="B2413">
        <v>1</v>
      </c>
      <c r="C2413" t="str">
        <f t="shared" si="74"/>
        <v>EMSG:Cindy WoodsSTRACE:gw.job.QuoteProcess.requestQuote(QuoteProcess.gs:XXXSTRACERAW:-</v>
      </c>
      <c r="D2413" s="3">
        <f t="shared" si="75"/>
        <v>1</v>
      </c>
    </row>
    <row r="2414" spans="1:4" x14ac:dyDescent="0.35">
      <c r="A2414" t="s">
        <v>2552</v>
      </c>
      <c r="B2414">
        <v>1</v>
      </c>
      <c r="C2414" t="str">
        <f t="shared" si="74"/>
        <v>EMSG:Clorinda CrespinSTRACE:com.farmers.config.pa.validator.BrightlineValidator.validateQuoteBrightlineRules(BrightlineValidator.gs:XXXSTRACERAW:-</v>
      </c>
      <c r="D2414" s="3">
        <f t="shared" si="75"/>
        <v>1</v>
      </c>
    </row>
    <row r="2415" spans="1:4" x14ac:dyDescent="0.35">
      <c r="A2415" t="s">
        <v>2553</v>
      </c>
      <c r="B2415">
        <v>1</v>
      </c>
      <c r="C2415" t="str">
        <f t="shared" si="74"/>
        <v>EMSG:Clorinda CrespinSTRACE:gw.job.QuoteProcess.requestQuote(QuoteProcess.gs:XXXSTRACERAW:-</v>
      </c>
      <c r="D2415" s="3">
        <f t="shared" si="75"/>
        <v>1</v>
      </c>
    </row>
    <row r="2416" spans="1:4" ht="29" x14ac:dyDescent="0.35">
      <c r="A2416" s="4" t="s">
        <v>2554</v>
      </c>
      <c r="B2416">
        <v>1</v>
      </c>
      <c r="C2416" t="str">
        <f t="shared" si="74"/>
        <v>EMSG:ConcurrentDataChangeException XXXSTRACE:XXX/XXX/XXX XXX:XXX AM. Please cancel and retry your change.
	at com.farmers.edge.capabilities.documerge.DocuMergeUploadHandler.uploadViaEmail(DocuMergeUploadHandler.gs:XXXSTRACERAW:-</v>
      </c>
      <c r="D2416" s="3">
        <f t="shared" si="75"/>
        <v>1</v>
      </c>
    </row>
    <row r="2417" spans="1:4" x14ac:dyDescent="0.35">
      <c r="A2417" t="s">
        <v>1165</v>
      </c>
      <c r="B2417">
        <v>1</v>
      </c>
      <c r="C2417" t="str">
        <f t="shared" si="74"/>
        <v>EMSG:Correct the PNI and/or Spouse NameSTRACE:com.farmers.config.common.credit.ho.HOCreditScoreProcess.createEnterpriseISIReportData(HOCreditScoreProcess.gs:XXXSTRACERAW:-</v>
      </c>
      <c r="D2417" s="3">
        <f t="shared" si="75"/>
        <v>1</v>
      </c>
    </row>
    <row r="2418" spans="1:4" x14ac:dyDescent="0.35">
      <c r="A2418" t="s">
        <v>2555</v>
      </c>
      <c r="B2418">
        <v>1</v>
      </c>
      <c r="C2418" t="str">
        <f t="shared" si="74"/>
        <v>EMSG:Could not map property (entity-PersonalAutoLine).MVRDriverCount_ExtSTRACE:deployment.pc.war//gw.internal.xml.gx.GxRuntime.createElement(GxRuntime.java:XXXSTRACERAW:-</v>
      </c>
      <c r="D2418" s="3">
        <f t="shared" si="75"/>
        <v>1</v>
      </c>
    </row>
    <row r="2419" spans="1:4" x14ac:dyDescent="0.35">
      <c r="A2419" t="s">
        <v>580</v>
      </c>
      <c r="B2419">
        <v>1</v>
      </c>
      <c r="C2419" t="str">
        <f t="shared" si="74"/>
        <v>EMSG:Could not map property CustomerRawData_ExtSTRACE:deployment.pc.war//gw.internal.xml.gx.GxRuntime.createElement(GxRuntime.java:XXXSTRACERAW:-</v>
      </c>
      <c r="D2419" s="3">
        <f t="shared" si="75"/>
        <v>1</v>
      </c>
    </row>
    <row r="2420" spans="1:4" x14ac:dyDescent="0.35">
      <c r="A2420" t="s">
        <v>1093</v>
      </c>
      <c r="B2420">
        <v>1</v>
      </c>
      <c r="C2420" t="str">
        <f t="shared" si="74"/>
        <v>EMSG:Create a new submission. Policy is not eligible for Reinstatement as  one or more policy(s) of PNI/Spouse have been cancelled due to non pay.STRACE:gw.job.QuoteProcess.requestQuote(QuoteProcess.gs:XXXSTRACERAW:-</v>
      </c>
      <c r="D2420" s="3">
        <f t="shared" si="75"/>
        <v>1</v>
      </c>
    </row>
    <row r="2421" spans="1:4" x14ac:dyDescent="0.35">
      <c r="A2421" t="s">
        <v>2556</v>
      </c>
      <c r="B2421">
        <v>1</v>
      </c>
      <c r="C2421" t="str">
        <f t="shared" si="74"/>
        <v>EMSG:DEVIN WHITESTRACE:com.farmers.config.pa.validator.BrightlineValidator.validateQuoteBrightlineRules(BrightlineValidator.gs:XXXSTRACERAW:-</v>
      </c>
      <c r="D2421" s="3">
        <f t="shared" si="75"/>
        <v>1</v>
      </c>
    </row>
    <row r="2422" spans="1:4" x14ac:dyDescent="0.35">
      <c r="A2422" t="s">
        <v>2557</v>
      </c>
      <c r="B2422">
        <v>1</v>
      </c>
      <c r="C2422" t="str">
        <f t="shared" si="74"/>
        <v>EMSG:DILLON WILESSTRACE:com.farmers.config.pa.validator.BrightlineValidator.validateQuoteBrightlineRules(BrightlineValidator.gs:XXXSTRACERAW:-</v>
      </c>
      <c r="D2422" s="3">
        <f t="shared" si="75"/>
        <v>1</v>
      </c>
    </row>
    <row r="2423" spans="1:4" x14ac:dyDescent="0.35">
      <c r="A2423" t="s">
        <v>2558</v>
      </c>
      <c r="B2423">
        <v>1</v>
      </c>
      <c r="C2423" t="str">
        <f t="shared" si="74"/>
        <v>EMSG:DILLON WILESSTRACE:gw.job.QuoteProcess.requestQuote(QuoteProcess.gs:XXXSTRACERAW:-</v>
      </c>
      <c r="D2423" s="3">
        <f t="shared" si="75"/>
        <v>1</v>
      </c>
    </row>
    <row r="2424" spans="1:4" x14ac:dyDescent="0.35">
      <c r="A2424" t="s">
        <v>2559</v>
      </c>
      <c r="B2424">
        <v>1</v>
      </c>
      <c r="C2424" t="str">
        <f t="shared" si="74"/>
        <v>EMSG:DYLAN OSORIOSTRACE:com.farmers.config.pa.validator.BrightlineValidator.validateQuoteBrightlineRules(BrightlineValidator.gs:XXXSTRACERAW:-</v>
      </c>
      <c r="D2424" s="3">
        <f t="shared" si="75"/>
        <v>1</v>
      </c>
    </row>
    <row r="2425" spans="1:4" x14ac:dyDescent="0.35">
      <c r="A2425" t="s">
        <v>2560</v>
      </c>
      <c r="B2425">
        <v>1</v>
      </c>
      <c r="C2425" t="str">
        <f t="shared" si="74"/>
        <v>EMSG:DYLAN OSORIOSTRACE:gw.job.QuoteProcess.requestQuote(QuoteProcess.gs:XXXSTRACERAW:-</v>
      </c>
      <c r="D2425" s="3">
        <f t="shared" si="75"/>
        <v>1</v>
      </c>
    </row>
    <row r="2426" spans="1:4" x14ac:dyDescent="0.35">
      <c r="A2426" t="s">
        <v>2561</v>
      </c>
      <c r="B2426">
        <v>1</v>
      </c>
      <c r="C2426" t="str">
        <f t="shared" si="74"/>
        <v>EMSG:Dale DudleySTRACE:com.farmers.config.pa.validator.BrightlineValidator.validateQuoteBrightlineRules(BrightlineValidator.gs:XXXSTRACERAW:-</v>
      </c>
      <c r="D2426" s="3">
        <f t="shared" si="75"/>
        <v>1</v>
      </c>
    </row>
    <row r="2427" spans="1:4" x14ac:dyDescent="0.35">
      <c r="A2427" t="s">
        <v>2562</v>
      </c>
      <c r="B2427">
        <v>1</v>
      </c>
      <c r="C2427" t="str">
        <f t="shared" si="74"/>
        <v>EMSG:Dale DudleySTRACE:gw.job.QuoteProcess.requestQuote(QuoteProcess.gs:XXXSTRACERAW:-</v>
      </c>
      <c r="D2427" s="3">
        <f t="shared" si="75"/>
        <v>1</v>
      </c>
    </row>
    <row r="2428" spans="1:4" x14ac:dyDescent="0.35">
      <c r="A2428" t="s">
        <v>2563</v>
      </c>
      <c r="B2428">
        <v>1</v>
      </c>
      <c r="C2428" t="str">
        <f t="shared" si="74"/>
        <v>EMSG:Daniel ScottSTRACE:com.farmers.config.pa.validator.BrightlineValidator.validateQuoteBrightlineRules(BrightlineValidator.gs:XXXSTRACERAW:-</v>
      </c>
      <c r="D2428" s="3">
        <f t="shared" si="75"/>
        <v>1</v>
      </c>
    </row>
    <row r="2429" spans="1:4" x14ac:dyDescent="0.35">
      <c r="A2429" t="s">
        <v>2564</v>
      </c>
      <c r="B2429">
        <v>1</v>
      </c>
      <c r="C2429" t="str">
        <f t="shared" si="74"/>
        <v>EMSG:Daniel ScottSTRACE:gw.job.QuoteProcess.requestQuote(QuoteProcess.gs:XXXSTRACERAW:-</v>
      </c>
      <c r="D2429" s="3">
        <f t="shared" si="75"/>
        <v>1</v>
      </c>
    </row>
    <row r="2430" spans="1:4" x14ac:dyDescent="0.35">
      <c r="A2430" t="s">
        <v>2565</v>
      </c>
      <c r="B2430">
        <v>1</v>
      </c>
      <c r="C2430" t="str">
        <f t="shared" si="74"/>
        <v>EMSG:Daniel TharpeSTRACE:com.farmers.config.pa.validator.BrightlineValidator.validateQuoteBrightlineRules(BrightlineValidator.gs:XXXSTRACERAW:-</v>
      </c>
      <c r="D2430" s="3">
        <f t="shared" si="75"/>
        <v>1</v>
      </c>
    </row>
    <row r="2431" spans="1:4" x14ac:dyDescent="0.35">
      <c r="A2431" t="s">
        <v>2566</v>
      </c>
      <c r="B2431">
        <v>1</v>
      </c>
      <c r="C2431" t="str">
        <f t="shared" si="74"/>
        <v>EMSG:Daniella LuceroSTRACE:com.farmers.config.pa.validator.BrightlineValidator.validateQuoteBrightlineRules(BrightlineValidator.gs:XXXSTRACERAW:-</v>
      </c>
      <c r="D2431" s="3">
        <f t="shared" si="75"/>
        <v>1</v>
      </c>
    </row>
    <row r="2432" spans="1:4" x14ac:dyDescent="0.35">
      <c r="A2432" t="s">
        <v>2567</v>
      </c>
      <c r="B2432">
        <v>1</v>
      </c>
      <c r="C2432" t="str">
        <f t="shared" si="74"/>
        <v>EMSG:Daniella LuceroSTRACE:gw.job.QuoteProcess.requestQuote(QuoteProcess.gs:XXXSTRACERAW:-</v>
      </c>
      <c r="D2432" s="3">
        <f t="shared" si="75"/>
        <v>1</v>
      </c>
    </row>
    <row r="2433" spans="1:4" x14ac:dyDescent="0.35">
      <c r="A2433" t="s">
        <v>2568</v>
      </c>
      <c r="B2433">
        <v>1</v>
      </c>
      <c r="C2433" t="str">
        <f t="shared" si="74"/>
        <v>EMSG:Darius StylesSTRACE:com.farmers.config.pa.validator.BrightlineValidator.validateQuoteBrightlineRules(BrightlineValidator.gs:XXXSTRACERAW:-</v>
      </c>
      <c r="D2433" s="3">
        <f t="shared" si="75"/>
        <v>1</v>
      </c>
    </row>
    <row r="2434" spans="1:4" ht="29" x14ac:dyDescent="0.35">
      <c r="A2434" s="4" t="s">
        <v>2569</v>
      </c>
      <c r="B2434">
        <v>1</v>
      </c>
      <c r="C2434" t="str">
        <f t="shared" ref="C2434:C2497" si="76">LEFT(A2434,255)</f>
        <v>EMSG:Database bean version conflict : XXXSTRACE:Blanco at XXX/XXX/XXX XXX:XXX AM. Please cancel and retry your change.
	at deployment.pc.war//com.guidewire.pl.system.database.DatabaseChangedBeanWriter.createConcurrentDataChangeException(DatabaseChangedBea</v>
      </c>
      <c r="D2434" s="3">
        <f t="shared" ref="D2434:D2497" si="77">IF(AND((B2434/10)&lt;1,(B2434/10)&gt;0),1,(B2434/10)*130%)</f>
        <v>1</v>
      </c>
    </row>
    <row r="2435" spans="1:4" ht="29" x14ac:dyDescent="0.35">
      <c r="A2435" s="4" t="s">
        <v>2570</v>
      </c>
      <c r="B2435">
        <v>1</v>
      </c>
      <c r="C2435" t="str">
        <f t="shared" si="76"/>
        <v>EMSG:Database bean version conflict : XXXSTRACE:Sarehseni Heras at XXX/XXX/XXX XXX:XXX AM. Please cancel and retry your change.
	at deployment.pc.war//com.guidewire.pl.system.database.DatabaseChangedBeanWriter.createConcurrentDataChangeException(DatabaseC</v>
      </c>
      <c r="D2435" s="3">
        <f t="shared" si="77"/>
        <v>1</v>
      </c>
    </row>
    <row r="2436" spans="1:4" ht="29" x14ac:dyDescent="0.35">
      <c r="A2436" s="4" t="s">
        <v>2571</v>
      </c>
      <c r="B2436">
        <v>1</v>
      </c>
      <c r="C2436" t="str">
        <f t="shared" si="76"/>
        <v>EMSG:Database bean version conflict : XXXSTRACE:school with vehicle.UW.XXX', and it was changed by Lilian P at XXX/XXX/XXX XXX:XXX PM. Please cancel and retry your change.
	at deployment.pc.war//com.guidewire.pl.system.database.DatabaseChangedBeanWriter.c</v>
      </c>
      <c r="D2436" s="3">
        <f t="shared" si="77"/>
        <v>1</v>
      </c>
    </row>
    <row r="2437" spans="1:4" ht="29" x14ac:dyDescent="0.35">
      <c r="A2437" s="4" t="s">
        <v>2572</v>
      </c>
      <c r="B2437">
        <v>1</v>
      </c>
      <c r="C2437" t="str">
        <f t="shared" si="76"/>
        <v>EMSG:Database bean version conflict : XXXSTRACE:school with vehicle.UW.XXX', and it was changed by Pyla D at XXX/XXX/XXX XXX:XXX AM. Please cancel and retry your change.
	at deployment.pc.war//com.guidewire.pl.system.database.DatabaseChangedBeanWriter.cre</v>
      </c>
      <c r="D2437" s="3">
        <f t="shared" si="77"/>
        <v>1</v>
      </c>
    </row>
    <row r="2438" spans="1:4" ht="43.5" x14ac:dyDescent="0.35">
      <c r="A2438" s="4" t="s">
        <v>2573</v>
      </c>
      <c r="B2438">
        <v>1</v>
      </c>
      <c r="C2438" t="str">
        <f t="shared" si="76"/>
        <v>EMSG:Database bean version conflict : XXXSTRACE:vehicle carry  â€˜Broad Form Drive Other Carâ€™ coverage?]', and it was changed by Rahid S at XXX/XXX/XXX XXX:XXX PM. Please cancel and retry your change.
	at deployment.pc.war//com.guidewire.pl.system.datab</v>
      </c>
      <c r="D2438" s="3">
        <f t="shared" si="77"/>
        <v>1</v>
      </c>
    </row>
    <row r="2439" spans="1:4" x14ac:dyDescent="0.35">
      <c r="A2439" t="s">
        <v>2574</v>
      </c>
      <c r="B2439">
        <v>1</v>
      </c>
      <c r="C2439" t="str">
        <f t="shared" si="76"/>
        <v>EMSG:David EldridgeSTRACE:com.farmers.config.pa.validator.BrightlineValidator.validateQuoteBrightlineRules(BrightlineValidator.gs:XXXSTRACERAW:-</v>
      </c>
      <c r="D2439" s="3">
        <f t="shared" si="77"/>
        <v>1</v>
      </c>
    </row>
    <row r="2440" spans="1:4" x14ac:dyDescent="0.35">
      <c r="A2440" t="s">
        <v>2575</v>
      </c>
      <c r="B2440">
        <v>1</v>
      </c>
      <c r="C2440" t="str">
        <f t="shared" si="76"/>
        <v>EMSG:David EldridgeSTRACE:gw.job.QuoteProcess.requestQuote(QuoteProcess.gs:XXXSTRACERAW:-</v>
      </c>
      <c r="D2440" s="3">
        <f t="shared" si="77"/>
        <v>1</v>
      </c>
    </row>
    <row r="2441" spans="1:4" x14ac:dyDescent="0.35">
      <c r="A2441" t="s">
        <v>2576</v>
      </c>
      <c r="B2441">
        <v>1</v>
      </c>
      <c r="C2441" t="str">
        <f t="shared" si="76"/>
        <v>EMSG:Devonne GilbreathSTRACE:com.farmers.config.pa.validator.BrightlineValidator.validateQuoteBrightlineRules(BrightlineValidator.gs:XXXSTRACERAW:-</v>
      </c>
      <c r="D2441" s="3">
        <f t="shared" si="77"/>
        <v>1</v>
      </c>
    </row>
    <row r="2442" spans="1:4" x14ac:dyDescent="0.35">
      <c r="A2442" t="s">
        <v>2577</v>
      </c>
      <c r="B2442">
        <v>1</v>
      </c>
      <c r="C2442" t="str">
        <f t="shared" si="76"/>
        <v>EMSG:Devonne GilbreathSTRACE:gw.job.QuoteProcess.requestQuote(QuoteProcess.gs:XXXSTRACERAW:-</v>
      </c>
      <c r="D2442" s="3">
        <f t="shared" si="77"/>
        <v>1</v>
      </c>
    </row>
    <row r="2443" spans="1:4" x14ac:dyDescent="0.35">
      <c r="A2443" t="s">
        <v>1095</v>
      </c>
      <c r="B2443">
        <v>1</v>
      </c>
      <c r="C2443" t="str">
        <f t="shared" si="76"/>
        <v>EMSG:Donald JexSTRACE:com.farmers.config.pa.validator.BrightlineValidator.validateQuoteBrightlineRules(BrightlineValidator.gs:XXXSTRACERAW:-</v>
      </c>
      <c r="D2443" s="3">
        <f t="shared" si="77"/>
        <v>1</v>
      </c>
    </row>
    <row r="2444" spans="1:4" x14ac:dyDescent="0.35">
      <c r="A2444" t="s">
        <v>1096</v>
      </c>
      <c r="B2444">
        <v>1</v>
      </c>
      <c r="C2444" t="str">
        <f t="shared" si="76"/>
        <v>EMSG:Donald JexSTRACE:gw.job.QuoteProcess.requestQuote(QuoteProcess.gs:XXXSTRACERAW:-</v>
      </c>
      <c r="D2444" s="3">
        <f t="shared" si="77"/>
        <v>1</v>
      </c>
    </row>
    <row r="2445" spans="1:4" x14ac:dyDescent="0.35">
      <c r="A2445" t="s">
        <v>467</v>
      </c>
      <c r="B2445">
        <v>1</v>
      </c>
      <c r="C2445" t="str">
        <f t="shared" si="76"/>
        <v>EMSG:Duplicate key in XXX has value "XXX".  Column "UserID" has value "XXX".STRACE:deployment.pc.war//com.guidewire.pl.system.database.entitywriter.TableWriterImpl.throwDBDuplicateKeyException(TableWriterImpl.java:XXXSTRACERAW:-</v>
      </c>
      <c r="D2445" s="3">
        <f t="shared" si="77"/>
        <v>1</v>
      </c>
    </row>
    <row r="2446" spans="1:4" ht="58" x14ac:dyDescent="0.35">
      <c r="A2446" s="4" t="s">
        <v>2578</v>
      </c>
      <c r="B2446">
        <v>1</v>
      </c>
      <c r="C2446" t="str">
        <f t="shared" si="76"/>
        <v>EMSG:Dwelling at XXXSTRACE:XXX CARPENTIER ST, SAN LEANDRO, CA: $XXX,XXX All Perils on Deductibles is no longer available and has been removed. Please enter a new value.; XXX, XXX/XXX/XXX, XXX/XXX/XXX, XXX: No message configured for MissingQuestionIssue; X</v>
      </c>
      <c r="D2446" s="3">
        <f t="shared" si="77"/>
        <v>1</v>
      </c>
    </row>
    <row r="2447" spans="1:4" ht="29" x14ac:dyDescent="0.35">
      <c r="A2447" s="4" t="s">
        <v>2579</v>
      </c>
      <c r="B2447">
        <v>1</v>
      </c>
      <c r="C2447" t="str">
        <f t="shared" si="76"/>
        <v>EMSG:Dwelling at XXXSTRACE:XXX E XXXth St, Santa Ana, CA: $XXX All Perils on Deductibles is no longer available and has been removed. Please enter a new value.
	at gw.api.extension.PCExtensionInterfacesMapper$block_XXX_.invoke(PCExtensionInterfacesMapper.</v>
      </c>
      <c r="D2447" s="3">
        <f t="shared" si="77"/>
        <v>1</v>
      </c>
    </row>
    <row r="2448" spans="1:4" ht="29" x14ac:dyDescent="0.35">
      <c r="A2448" s="4" t="s">
        <v>2580</v>
      </c>
      <c r="B2448">
        <v>1</v>
      </c>
      <c r="C2448" t="str">
        <f t="shared" si="76"/>
        <v>EMSG:Dwelling at XXXSTRACE:XXX Fern Ln, Arab, AL: Perils on Personal Property is now available and its value must be verified by the user.
	at gw.api.extension.PCExtensionInterfacesMapper$block_XXX_.invoke(PCExtensionInterfacesMapper.gs:XXXSTRACERAW:-</v>
      </c>
      <c r="D2448" s="3">
        <f t="shared" si="77"/>
        <v>1</v>
      </c>
    </row>
    <row r="2449" spans="1:4" ht="29" x14ac:dyDescent="0.35">
      <c r="A2449" s="4" t="s">
        <v>2581</v>
      </c>
      <c r="B2449">
        <v>1</v>
      </c>
      <c r="C2449" t="str">
        <f t="shared" si="76"/>
        <v>EMSG:Dwelling at XXXSTRACE:XXX Kendall Ct, Mobile, AL: Perils on Personal Property is now available and its value must be verified by the user.
	at gw.api.extension.PCExtensionInterfacesMapper$block_XXX_.invoke(PCExtensionInterfacesMapper.gs:XXXSTRACERAW:</v>
      </c>
      <c r="D2449" s="3">
        <f t="shared" si="77"/>
        <v>1</v>
      </c>
    </row>
    <row r="2450" spans="1:4" ht="29" x14ac:dyDescent="0.35">
      <c r="A2450" s="4" t="s">
        <v>2582</v>
      </c>
      <c r="B2450">
        <v>1</v>
      </c>
      <c r="C2450" t="str">
        <f t="shared" si="76"/>
        <v>EMSG:Dwelling at XXXSTRACE:XXX Lee St, Guntersville, AL: Perils on Personal Property is now available and its value must be verified by the user.
	at gw.api.extension.PCExtensionInterfacesMapper$block_XXX_.invoke(PCExtensionInterfacesMapper.gs:XXXSTRACERA</v>
      </c>
      <c r="D2450" s="3">
        <f t="shared" si="77"/>
        <v>1</v>
      </c>
    </row>
    <row r="2451" spans="1:4" ht="29" x14ac:dyDescent="0.35">
      <c r="A2451" s="4" t="s">
        <v>2583</v>
      </c>
      <c r="B2451">
        <v>1</v>
      </c>
      <c r="C2451" t="str">
        <f t="shared" si="76"/>
        <v>EMSG:Dwelling at XXXSTRACE:XXX Naugher Rd, Huntsville, AL: Perils on Personal Property is now available and its value must be verified by the user.
	at gw.api.extension.PCExtensionInterfacesMapper$block_XXX_.invoke(PCExtensionInterfacesMapper.gs:XXXSTRACE</v>
      </c>
      <c r="D2451" s="3">
        <f t="shared" si="77"/>
        <v>1</v>
      </c>
    </row>
    <row r="2452" spans="1:4" ht="29" x14ac:dyDescent="0.35">
      <c r="A2452" s="4" t="s">
        <v>2584</v>
      </c>
      <c r="B2452">
        <v>1</v>
      </c>
      <c r="C2452" t="str">
        <f t="shared" si="76"/>
        <v>EMSG:Dwelling at XXXSTRACE:XXX Russet Woods Ln, Hoover, AL: Perils on Personal Property is now available and its value must be verified by the user.
	at gw.api.extension.PCExtensionInterfacesMapper$block_XXX_.invoke(PCExtensionInterfacesMapper.gs:XXXSTRAC</v>
      </c>
      <c r="D2452" s="3">
        <f t="shared" si="77"/>
        <v>1</v>
      </c>
    </row>
    <row r="2453" spans="1:4" ht="29" x14ac:dyDescent="0.35">
      <c r="A2453" s="4" t="s">
        <v>2585</v>
      </c>
      <c r="B2453">
        <v>1</v>
      </c>
      <c r="C2453" t="str">
        <f t="shared" si="76"/>
        <v>EMSG:Dwelling at XXXSTRACE:XXX Ultimate Ct, Madison, AL: Perils on Personal Property is now available and its value must be verified by the user.
	at gw.api.extension.PCExtensionInterfacesMapper$block_XXX_.invoke(PCExtensionInterfacesMapper.gs:XXXSTRACERA</v>
      </c>
      <c r="D2453" s="3">
        <f t="shared" si="77"/>
        <v>1</v>
      </c>
    </row>
    <row r="2454" spans="1:4" ht="29" x14ac:dyDescent="0.35">
      <c r="A2454" s="4" t="s">
        <v>2586</v>
      </c>
      <c r="B2454">
        <v>1</v>
      </c>
      <c r="C2454" t="str">
        <f t="shared" si="76"/>
        <v>EMSG:Dwelling at XXXSTRACE:XXX XXXrd Ave SW, Vernon, AL: Perils on Personal Property is now available and its value must be verified by the user.
	at gw.api.extension.PCExtensionInterfacesMapper$block_XXX_.invoke(PCExtensionInterfacesMapper.gs:XXXSTRACERA</v>
      </c>
      <c r="D2454" s="3">
        <f t="shared" si="77"/>
        <v>1</v>
      </c>
    </row>
    <row r="2455" spans="1:4" x14ac:dyDescent="0.35">
      <c r="A2455" t="s">
        <v>2587</v>
      </c>
      <c r="B2455">
        <v>1</v>
      </c>
      <c r="C2455" t="str">
        <f t="shared" si="76"/>
        <v>EMSG:EDISSA ORTEGASTRACE:com.farmers.config.pa.validator.BrightlineValidator.validateQuoteBrightlineRules(BrightlineValidator.gs:XXXSTRACERAW:-</v>
      </c>
      <c r="D2455" s="3">
        <f t="shared" si="77"/>
        <v>1</v>
      </c>
    </row>
    <row r="2456" spans="1:4" x14ac:dyDescent="0.35">
      <c r="A2456" t="s">
        <v>2588</v>
      </c>
      <c r="B2456">
        <v>1</v>
      </c>
      <c r="C2456" t="str">
        <f t="shared" si="76"/>
        <v>EMSG:EDISSA ORTEGASTRACE:gw.job.QuoteProcess.requestQuote(QuoteProcess.gs:XXXSTRACERAW:-</v>
      </c>
      <c r="D2456" s="3">
        <f t="shared" si="77"/>
        <v>1</v>
      </c>
    </row>
    <row r="2457" spans="1:4" x14ac:dyDescent="0.35">
      <c r="A2457" t="s">
        <v>2589</v>
      </c>
      <c r="B2457">
        <v>1</v>
      </c>
      <c r="C2457" t="str">
        <f t="shared" si="76"/>
        <v>EMSG:ELLA EVANSSTRACE:com.farmers.config.pa.validator.BrightlineValidator.validateQuoteBrightlineRules(BrightlineValidator.gs:XXXSTRACERAW:-</v>
      </c>
      <c r="D2457" s="3">
        <f t="shared" si="77"/>
        <v>1</v>
      </c>
    </row>
    <row r="2458" spans="1:4" x14ac:dyDescent="0.35">
      <c r="A2458" t="s">
        <v>2590</v>
      </c>
      <c r="B2458">
        <v>1</v>
      </c>
      <c r="C2458" t="str">
        <f t="shared" si="76"/>
        <v>EMSG:ERIKA COLLINSSTRACE:com.farmers.config.pa.validator.BrightlineValidator.validateQuoteBrightlineRules(BrightlineValidator.gs:XXXSTRACERAW:-</v>
      </c>
      <c r="D2458" s="3">
        <f t="shared" si="77"/>
        <v>1</v>
      </c>
    </row>
    <row r="2459" spans="1:4" x14ac:dyDescent="0.35">
      <c r="A2459" t="s">
        <v>2591</v>
      </c>
      <c r="B2459">
        <v>1</v>
      </c>
      <c r="C2459" t="str">
        <f t="shared" si="76"/>
        <v>EMSG:ERIKA COLLINSSTRACE:gw.job.QuoteProcess.requestQuote(QuoteProcess.gs:XXXSTRACERAW:-</v>
      </c>
      <c r="D2459" s="3">
        <f t="shared" si="77"/>
        <v>1</v>
      </c>
    </row>
    <row r="2460" spans="1:4" x14ac:dyDescent="0.35">
      <c r="A2460" t="s">
        <v>2592</v>
      </c>
      <c r="B2460">
        <v>1</v>
      </c>
      <c r="C2460" t="str">
        <f t="shared" si="76"/>
        <v>EMSG:Effective ranges overlap for HODwellingAddlInt_HOE with BranchID XXX and with FixedID XXXSTRACE:deployment.pc.war//com.guidewire.pl.system.entity.proxy.EffDatedBeanProxy.checkForOverlaps(EffDatedBeanProxy.java:XXXSTRACERAW:-</v>
      </c>
      <c r="D2460" s="3">
        <f t="shared" si="77"/>
        <v>1</v>
      </c>
    </row>
    <row r="2461" spans="1:4" ht="43.5" x14ac:dyDescent="0.35">
      <c r="A2461" s="4" t="s">
        <v>2593</v>
      </c>
      <c r="B2461">
        <v>1</v>
      </c>
      <c r="C2461" t="str">
        <f t="shared" si="76"/>
        <v>EMSG:Effective ranges overlap for PolicyAddlNamedInsured with BranchID XXX and with FixedID XXXSTRACE:Apr XXX XXX:XXX:XXX PDT XXX - Sun Apr XXX XXX:XXX:XXX PDT XXX, Sat Apr XXX XXX:XXX:XXX PDT XXX - Sun Apr XXX XXX:XXX:XXX PDT XXX
	at deployment.pc.war//c</v>
      </c>
      <c r="D2461" s="3">
        <f t="shared" si="77"/>
        <v>1</v>
      </c>
    </row>
    <row r="2462" spans="1:4" x14ac:dyDescent="0.35">
      <c r="A2462" t="s">
        <v>2594</v>
      </c>
      <c r="B2462">
        <v>1</v>
      </c>
      <c r="C2462" t="str">
        <f t="shared" si="76"/>
        <v>EMSG:Effective ranges overlap for RemovedVehicle_Ext with BranchID XXX and with FixedID XXXSTRACE:deployment.pc.war//com.guidewire.pl.system.entity.proxy.EffDatedBeanProxy.checkForOverlaps(EffDatedBeanProxy.java:XXXSTRACERAW:-</v>
      </c>
      <c r="D2462" s="3">
        <f t="shared" si="77"/>
        <v>1</v>
      </c>
    </row>
    <row r="2463" spans="1:4" ht="43.5" x14ac:dyDescent="0.35">
      <c r="A2463" s="4" t="s">
        <v>2595</v>
      </c>
      <c r="B2463">
        <v>1</v>
      </c>
      <c r="C2463" t="str">
        <f t="shared" si="76"/>
        <v>EMSG:Effective ranges overlap for ReportOrderedPerson_Ext with BranchID XXX and with FixedID XXXSTRACE:Oct XXX XXX:XXX:XXX PDT XXX, Fri Apr XXX XXX:XXX:XXX PDT XXX - Sat Oct XXX XXX:XXX:XXX PDT XXX
	at deployment.pc.war//com.guidewire.pl.system.entity.pro</v>
      </c>
      <c r="D2463" s="3">
        <f t="shared" si="77"/>
        <v>1</v>
      </c>
    </row>
    <row r="2464" spans="1:4" x14ac:dyDescent="0.35">
      <c r="A2464" t="s">
        <v>2596</v>
      </c>
      <c r="B2464">
        <v>1</v>
      </c>
      <c r="C2464" t="str">
        <f t="shared" si="76"/>
        <v>EMSG:Elaine Hill-EvansSTRACE:com.farmers.config.pa.validator.BrightlineValidator.validateQuoteBrightlineRules(BrightlineValidator.gs:XXXSTRACERAW:-</v>
      </c>
      <c r="D2464" s="3">
        <f t="shared" si="77"/>
        <v>1</v>
      </c>
    </row>
    <row r="2465" spans="1:4" x14ac:dyDescent="0.35">
      <c r="A2465" t="s">
        <v>2597</v>
      </c>
      <c r="B2465">
        <v>1</v>
      </c>
      <c r="C2465" t="str">
        <f t="shared" si="76"/>
        <v>EMSG:Elaine Hill-EvansSTRACE:gw.job.QuoteProcess.requestQuote(QuoteProcess.gs:XXXSTRACERAW:-</v>
      </c>
      <c r="D2465" s="3">
        <f t="shared" si="77"/>
        <v>1</v>
      </c>
    </row>
    <row r="2466" spans="1:4" x14ac:dyDescent="0.35">
      <c r="A2466" t="s">
        <v>2598</v>
      </c>
      <c r="B2466">
        <v>1</v>
      </c>
      <c r="C2466" t="str">
        <f t="shared" si="76"/>
        <v>EMSG:Elizabeth BarnhartSTRACE:com.farmers.config.pa.validator.BrightlineValidator.validateQuoteBrightlineRules(BrightlineValidator.gs:XXXSTRACERAW:-</v>
      </c>
      <c r="D2466" s="3">
        <f t="shared" si="77"/>
        <v>1</v>
      </c>
    </row>
    <row r="2467" spans="1:4" x14ac:dyDescent="0.35">
      <c r="A2467" t="s">
        <v>2599</v>
      </c>
      <c r="B2467">
        <v>1</v>
      </c>
      <c r="C2467" t="str">
        <f t="shared" si="76"/>
        <v>EMSG:Enter Signal Phone number for SARAH HOUSE. A cell phone number is required for Signal enrollment.;Enter Signal Phone number for ARICK HOUSE. A cell phone number is required for Signal enrollment.;STRACE:edge.capabilities.quote.submission.quoting.util</v>
      </c>
      <c r="D2467" s="3">
        <f t="shared" si="77"/>
        <v>1</v>
      </c>
    </row>
    <row r="2468" spans="1:4" x14ac:dyDescent="0.35">
      <c r="A2468" t="s">
        <v>2600</v>
      </c>
      <c r="B2468">
        <v>1</v>
      </c>
      <c r="C2468" t="str">
        <f t="shared" si="76"/>
        <v>EMSG:Eric CarvilleSTRACE:com.farmers.config.pa.validator.BrightlineValidator.validateQuoteBrightlineRules(BrightlineValidator.gs:XXXSTRACERAW:-</v>
      </c>
      <c r="D2468" s="3">
        <f t="shared" si="77"/>
        <v>1</v>
      </c>
    </row>
    <row r="2469" spans="1:4" x14ac:dyDescent="0.35">
      <c r="A2469" t="s">
        <v>2601</v>
      </c>
      <c r="B2469">
        <v>1</v>
      </c>
      <c r="C2469" t="str">
        <f t="shared" si="76"/>
        <v>EMSG:Eric CarvilleSTRACE:gw.job.QuoteProcess.requestQuote(QuoteProcess.gs:XXXSTRACERAW:-</v>
      </c>
      <c r="D2469" s="3">
        <f t="shared" si="77"/>
        <v>1</v>
      </c>
    </row>
    <row r="2470" spans="1:4" x14ac:dyDescent="0.35">
      <c r="A2470" t="s">
        <v>2602</v>
      </c>
      <c r="B2470">
        <v>1</v>
      </c>
      <c r="C2470" t="str">
        <f t="shared" si="76"/>
        <v>EMSG:Eugenio CalvilloSTRACE:com.farmers.config.pa.validator.BrightlineValidator.validateQuoteBrightlineRules(BrightlineValidator.gs:XXXSTRACERAW:-</v>
      </c>
      <c r="D2470" s="3">
        <f t="shared" si="77"/>
        <v>1</v>
      </c>
    </row>
    <row r="2471" spans="1:4" x14ac:dyDescent="0.35">
      <c r="A2471" t="s">
        <v>2603</v>
      </c>
      <c r="B2471">
        <v>1</v>
      </c>
      <c r="C2471" t="str">
        <f t="shared" si="76"/>
        <v>EMSG:Eugenio CalvilloSTRACE:gw.job.QuoteProcess.requestQuote(QuoteProcess.gs:XXXSTRACERAW:-</v>
      </c>
      <c r="D2471" s="3">
        <f t="shared" si="77"/>
        <v>1</v>
      </c>
    </row>
    <row r="2472" spans="1:4" x14ac:dyDescent="0.35">
      <c r="A2472" t="s">
        <v>2604</v>
      </c>
      <c r="B2472">
        <v>1</v>
      </c>
      <c r="C2472" t="str">
        <f t="shared" si="76"/>
        <v>EMSG:Eva MerkelSTRACE:com.farmers.config.pa.validator.BrightlineValidator.validateQuoteBrightlineRules(BrightlineValidator.gs:XXXSTRACERAW:-</v>
      </c>
      <c r="D2472" s="3">
        <f t="shared" si="77"/>
        <v>1</v>
      </c>
    </row>
    <row r="2473" spans="1:4" x14ac:dyDescent="0.35">
      <c r="A2473" t="s">
        <v>2605</v>
      </c>
      <c r="B2473">
        <v>1</v>
      </c>
      <c r="C2473" t="str">
        <f t="shared" si="76"/>
        <v>EMSG:Eva MerkelSTRACE:gw.job.QuoteProcess.requestQuote(QuoteProcess.gs:XXXSTRACERAW:-</v>
      </c>
      <c r="D2473" s="3">
        <f t="shared" si="77"/>
        <v>1</v>
      </c>
    </row>
    <row r="2474" spans="1:4" x14ac:dyDescent="0.35">
      <c r="A2474" t="s">
        <v>1100</v>
      </c>
      <c r="B2474">
        <v>1</v>
      </c>
      <c r="C2474" t="str">
        <f t="shared" si="76"/>
        <v>EMSG:Exception during Rating ExecuteIterationsMultiThreaded : gw.api.rating.RatingException: There is no bi code in the table 'pa_pi_bi_codes' for null BI limitsSTRACE:com.farmers.rating.common.flow.iteration.impl.IterationsExecutorImpl$block_XXX_.invoke(</v>
      </c>
      <c r="D2474" s="3">
        <f t="shared" si="77"/>
        <v>1</v>
      </c>
    </row>
    <row r="2475" spans="1:4" x14ac:dyDescent="0.35">
      <c r="A2475" t="s">
        <v>2606</v>
      </c>
      <c r="B2475">
        <v>1</v>
      </c>
      <c r="C2475" t="str">
        <f t="shared" si="76"/>
        <v>EMSG:Exception during Rating ExecuteIterationsMultiThreaded : java.util.concurrent.ExecutionException: java.lang.IllegalArgumentException: Cannot re-add ScenarioPremium_Ext:XXX since it has already been removed.  You must use bundle rollback to undo a rem</v>
      </c>
      <c r="D2475" s="3">
        <f t="shared" si="77"/>
        <v>1</v>
      </c>
    </row>
    <row r="2476" spans="1:4" x14ac:dyDescent="0.35">
      <c r="A2476" t="s">
        <v>2607</v>
      </c>
      <c r="B2476">
        <v>1</v>
      </c>
      <c r="C2476" t="str">
        <f t="shared" si="76"/>
        <v>EMSG:For eligible contact Anthony Collier credit score is null. Please make sure credit is orderedSTRACE:com.farmers.config.common.credit.CreditScoreHelper.populateRatingCreditDTO(CreditScoreHelper.gs:XXXSTRACERAW:-</v>
      </c>
      <c r="D2476" s="3">
        <f t="shared" si="77"/>
        <v>1</v>
      </c>
    </row>
    <row r="2477" spans="1:4" x14ac:dyDescent="0.35">
      <c r="A2477" t="s">
        <v>2608</v>
      </c>
      <c r="B2477">
        <v>1</v>
      </c>
      <c r="C2477" t="str">
        <f t="shared" si="76"/>
        <v>EMSG:For eligible contact Charles Bellanger credit score is null. Please make sure credit is orderedSTRACE:com.farmers.config.common.credit.CreditScoreHelper.populateRatingCreditDTO(CreditScoreHelper.gs:XXXSTRACERAW:-</v>
      </c>
      <c r="D2477" s="3">
        <f t="shared" si="77"/>
        <v>1</v>
      </c>
    </row>
    <row r="2478" spans="1:4" x14ac:dyDescent="0.35">
      <c r="A2478" t="s">
        <v>2609</v>
      </c>
      <c r="B2478">
        <v>1</v>
      </c>
      <c r="C2478" t="str">
        <f t="shared" si="76"/>
        <v>EMSG:For eligible contact Cornelia Budnick credit score is null. Please make sure credit is orderedSTRACE:com.farmers.integ.framework.job.automatejob.AutomatedJob.executeJob(AutomatedJob.gs:XXXSTRACERAW:-</v>
      </c>
      <c r="D2478" s="3">
        <f t="shared" si="77"/>
        <v>1</v>
      </c>
    </row>
    <row r="2479" spans="1:4" x14ac:dyDescent="0.35">
      <c r="A2479" t="s">
        <v>2610</v>
      </c>
      <c r="B2479">
        <v>1</v>
      </c>
      <c r="C2479" t="str">
        <f t="shared" si="76"/>
        <v>EMSG:For eligible contact DAVID HUGGINS credit score is null. Please make sure credit is orderedSTRACE:com.farmers.config.common.credit.CreditScoreHelper.populateRatingCreditDTO(CreditScoreHelper.gs:XXXSTRACERAW:-</v>
      </c>
      <c r="D2479" s="3">
        <f t="shared" si="77"/>
        <v>1</v>
      </c>
    </row>
    <row r="2480" spans="1:4" x14ac:dyDescent="0.35">
      <c r="A2480" t="s">
        <v>2611</v>
      </c>
      <c r="B2480">
        <v>1</v>
      </c>
      <c r="C2480" t="str">
        <f t="shared" si="76"/>
        <v>EMSG:For eligible contact Glynn Sistrunk credit score is null. Please make sure credit is orderedSTRACE:com.farmers.config.common.credit.CreditScoreHelper.populateRatingCreditDTO(CreditScoreHelper.gs:XXXSTRACERAW:-</v>
      </c>
      <c r="D2480" s="3">
        <f t="shared" si="77"/>
        <v>1</v>
      </c>
    </row>
    <row r="2481" spans="1:4" x14ac:dyDescent="0.35">
      <c r="A2481" t="s">
        <v>2612</v>
      </c>
      <c r="B2481">
        <v>1</v>
      </c>
      <c r="C2481" t="str">
        <f t="shared" si="76"/>
        <v>EMSG:For eligible contact Larry Weideman credit score is null. Please make sure credit is orderedSTRACE:com.farmers.config.common.credit.CreditScoreHelper.populateRatingCreditDTO(CreditScoreHelper.gs:XXXSTRACERAW:-</v>
      </c>
      <c r="D2481" s="3">
        <f t="shared" si="77"/>
        <v>1</v>
      </c>
    </row>
    <row r="2482" spans="1:4" x14ac:dyDescent="0.35">
      <c r="A2482" t="s">
        <v>2613</v>
      </c>
      <c r="B2482">
        <v>1</v>
      </c>
      <c r="C2482" t="str">
        <f t="shared" si="76"/>
        <v>EMSG:For eligible contact MERCEDES DEL MAR credit score is null. Please make sure credit is orderedSTRACE:com.farmers.config.common.credit.CreditScoreHelper.populateRatingCreditDTO(CreditScoreHelper.gs:XXXSTRACERAW:-</v>
      </c>
      <c r="D2482" s="3">
        <f t="shared" si="77"/>
        <v>1</v>
      </c>
    </row>
    <row r="2483" spans="1:4" x14ac:dyDescent="0.35">
      <c r="A2483" t="s">
        <v>2614</v>
      </c>
      <c r="B2483">
        <v>1</v>
      </c>
      <c r="C2483" t="str">
        <f t="shared" si="76"/>
        <v>EMSG:For eligible contact Maria Amante credit score is null. Please make sure credit is orderedSTRACE:com.farmers.config.common.credit.CreditScoreHelper.populateRatingCreditDTO(CreditScoreHelper.gs:XXXSTRACERAW:-</v>
      </c>
      <c r="D2483" s="3">
        <f t="shared" si="77"/>
        <v>1</v>
      </c>
    </row>
    <row r="2484" spans="1:4" x14ac:dyDescent="0.35">
      <c r="A2484" t="s">
        <v>2615</v>
      </c>
      <c r="B2484">
        <v>1</v>
      </c>
      <c r="C2484" t="str">
        <f t="shared" si="76"/>
        <v>EMSG:For eligible contact Matthew Larkin credit score is null. Please make sure credit is orderedSTRACE:com.farmers.config.common.credit.CreditScoreHelper.populateRatingCreditDTO(CreditScoreHelper.gs:XXXSTRACERAW:-</v>
      </c>
      <c r="D2484" s="3">
        <f t="shared" si="77"/>
        <v>1</v>
      </c>
    </row>
    <row r="2485" spans="1:4" x14ac:dyDescent="0.35">
      <c r="A2485" t="s">
        <v>2616</v>
      </c>
      <c r="B2485">
        <v>1</v>
      </c>
      <c r="C2485" t="str">
        <f t="shared" si="76"/>
        <v>EMSG:For eligible contact ROBERT CLEMMENT credit score is null. Please make sure credit is orderedSTRACE:com.farmers.config.common.credit.CreditScoreHelper.populateRatingCreditDTO(CreditScoreHelper.gs:XXXSTRACERAW:-</v>
      </c>
      <c r="D2485" s="3">
        <f t="shared" si="77"/>
        <v>1</v>
      </c>
    </row>
    <row r="2486" spans="1:4" x14ac:dyDescent="0.35">
      <c r="A2486" t="s">
        <v>2617</v>
      </c>
      <c r="B2486">
        <v>1</v>
      </c>
      <c r="C2486" t="str">
        <f t="shared" si="76"/>
        <v>EMSG:For eligible contact Randy Mcintyre credit score is null. Please make sure credit is orderedSTRACE:com.farmers.config.common.credit.CreditScoreHelper.populateRatingCreditDTO(CreditScoreHelper.gs:XXXSTRACERAW:-</v>
      </c>
      <c r="D2486" s="3">
        <f t="shared" si="77"/>
        <v>1</v>
      </c>
    </row>
    <row r="2487" spans="1:4" x14ac:dyDescent="0.35">
      <c r="A2487" t="s">
        <v>2618</v>
      </c>
      <c r="B2487">
        <v>1</v>
      </c>
      <c r="C2487" t="str">
        <f t="shared" si="76"/>
        <v>EMSG:For eligible contact SANDRA CASTRO credit score is null. Please make sure credit is orderedSTRACE:com.farmers.config.common.credit.CreditScoreHelper.populateRatingCreditDTO(CreditScoreHelper.gs:XXXSTRACERAW:-</v>
      </c>
      <c r="D2487" s="3">
        <f t="shared" si="77"/>
        <v>1</v>
      </c>
    </row>
    <row r="2488" spans="1:4" x14ac:dyDescent="0.35">
      <c r="A2488" t="s">
        <v>1170</v>
      </c>
      <c r="B2488">
        <v>1</v>
      </c>
      <c r="C2488" t="str">
        <f t="shared" si="76"/>
        <v>EMSG:For eligible contact Savita Reddy credit score is null. Please make sure credit is orderedSTRACE:com.farmers.config.common.credit.CreditScoreHelper.populateRatingCreditDTO(CreditScoreHelper.gs:XXXSTRACERAW:-</v>
      </c>
      <c r="D2488" s="3">
        <f t="shared" si="77"/>
        <v>1</v>
      </c>
    </row>
    <row r="2489" spans="1:4" x14ac:dyDescent="0.35">
      <c r="A2489" t="s">
        <v>2619</v>
      </c>
      <c r="B2489">
        <v>1</v>
      </c>
      <c r="C2489" t="str">
        <f t="shared" si="76"/>
        <v>EMSG:For eligible contact VINCENZO PULLARA credit score is null. Please make sure credit is orderedSTRACE:com.farmers.config.common.credit.CreditScoreHelper.populateRatingCreditDTO(CreditScoreHelper.gs:XXXSTRACERAW:-</v>
      </c>
      <c r="D2489" s="3">
        <f t="shared" si="77"/>
        <v>1</v>
      </c>
    </row>
    <row r="2490" spans="1:4" x14ac:dyDescent="0.35">
      <c r="A2490" t="s">
        <v>2620</v>
      </c>
      <c r="B2490">
        <v>1</v>
      </c>
      <c r="C2490" t="str">
        <f t="shared" si="76"/>
        <v>EMSG:For eligible contact WADE GOODHART credit score is null. Please make sure credit is orderedSTRACE:com.farmers.config.common.credit.CreditScoreHelper.populateRatingCreditDTO(CreditScoreHelper.gs:XXXSTRACERAW:-</v>
      </c>
      <c r="D2490" s="3">
        <f t="shared" si="77"/>
        <v>1</v>
      </c>
    </row>
    <row r="2491" spans="1:4" x14ac:dyDescent="0.35">
      <c r="A2491" t="s">
        <v>1103</v>
      </c>
      <c r="B2491">
        <v>1</v>
      </c>
      <c r="C2491" t="str">
        <f t="shared" si="76"/>
        <v>EMSG:For eligible contact XXX insight score is null. Please make sure insight is orderedSTRACE:com.farmers.config.common.credit.CreditScoreHelper.populateInsightScore(CreditScoreHelper.gs:XXXSTRACERAW:-</v>
      </c>
      <c r="D2491" s="3">
        <f t="shared" si="77"/>
        <v>1</v>
      </c>
    </row>
    <row r="2492" spans="1:4" x14ac:dyDescent="0.35">
      <c r="A2492" t="s">
        <v>2621</v>
      </c>
      <c r="B2492">
        <v>1</v>
      </c>
      <c r="C2492" t="str">
        <f t="shared" si="76"/>
        <v>EMSG:Frantz GilbertSTRACE:com.farmers.config.pa.validator.BrightlineValidator.validateQuoteBrightlineRules(BrightlineValidator.gs:XXXSTRACERAW:-</v>
      </c>
      <c r="D2492" s="3">
        <f t="shared" si="77"/>
        <v>1</v>
      </c>
    </row>
    <row r="2493" spans="1:4" x14ac:dyDescent="0.35">
      <c r="A2493" t="s">
        <v>2622</v>
      </c>
      <c r="B2493">
        <v>1</v>
      </c>
      <c r="C2493" t="str">
        <f t="shared" si="76"/>
        <v>EMSG:Frantz GilbertSTRACE:gw.job.QuoteProcess.requestQuote(QuoteProcess.gs:XXXSTRACERAW:-</v>
      </c>
      <c r="D2493" s="3">
        <f t="shared" si="77"/>
        <v>1</v>
      </c>
    </row>
    <row r="2494" spans="1:4" x14ac:dyDescent="0.35">
      <c r="A2494" t="s">
        <v>2623</v>
      </c>
      <c r="B2494">
        <v>1</v>
      </c>
      <c r="C2494" t="str">
        <f t="shared" si="76"/>
        <v>EMSG:GODFREY EZEIGBOSTRACE:com.farmers.config.pa.validator.BrightlineValidator.validateQuoteBrightlineRules(BrightlineValidator.gs:XXXSTRACERAW:-</v>
      </c>
      <c r="D2494" s="3">
        <f t="shared" si="77"/>
        <v>1</v>
      </c>
    </row>
    <row r="2495" spans="1:4" x14ac:dyDescent="0.35">
      <c r="A2495" t="s">
        <v>2624</v>
      </c>
      <c r="B2495">
        <v>1</v>
      </c>
      <c r="C2495" t="str">
        <f t="shared" si="76"/>
        <v>EMSG:GODFREY EZEIGBOSTRACE:gw.job.QuoteProcess.requestQuote(QuoteProcess.gs:XXXSTRACERAW:-</v>
      </c>
      <c r="D2495" s="3">
        <f t="shared" si="77"/>
        <v>1</v>
      </c>
    </row>
    <row r="2496" spans="1:4" x14ac:dyDescent="0.35">
      <c r="A2496" t="s">
        <v>2625</v>
      </c>
      <c r="B2496">
        <v>1</v>
      </c>
      <c r="C2496" t="str">
        <f t="shared" si="76"/>
        <v>EMSG:HADYA SHIRZAISTRACE:com.farmers.config.pa.validator.BrightlineValidator.validateQuoteBrightlineRules(BrightlineValidator.gs:XXXSTRACERAW:-</v>
      </c>
      <c r="D2496" s="3">
        <f t="shared" si="77"/>
        <v>1</v>
      </c>
    </row>
    <row r="2497" spans="1:4" x14ac:dyDescent="0.35">
      <c r="A2497" t="s">
        <v>2626</v>
      </c>
      <c r="B2497">
        <v>1</v>
      </c>
      <c r="C2497" t="str">
        <f t="shared" si="76"/>
        <v>EMSG:HADYA SHIRZAISTRACE:gw.job.QuoteProcess.requestQuote(QuoteProcess.gs:XXXSTRACERAW:-</v>
      </c>
      <c r="D2497" s="3">
        <f t="shared" si="77"/>
        <v>1</v>
      </c>
    </row>
    <row r="2498" spans="1:4" x14ac:dyDescent="0.35">
      <c r="A2498" t="s">
        <v>2627</v>
      </c>
      <c r="B2498">
        <v>1</v>
      </c>
      <c r="C2498" t="str">
        <f t="shared" ref="C2498:C2562" si="78">LEFT(A2498,255)</f>
        <v>EMSG:HOPE GRISSOMSTRACE:com.farmers.config.pa.validator.BrightlineValidator.validateQuoteBrightlineRules(BrightlineValidator.gs:XXXSTRACERAW:-</v>
      </c>
      <c r="D2498" s="3">
        <f t="shared" ref="D2498:D2562" si="79">IF(AND((B2498/10)&lt;1,(B2498/10)&gt;0),1,(B2498/10)*130%)</f>
        <v>1</v>
      </c>
    </row>
    <row r="2499" spans="1:4" x14ac:dyDescent="0.35">
      <c r="A2499" t="s">
        <v>2628</v>
      </c>
      <c r="B2499">
        <v>1</v>
      </c>
      <c r="C2499" t="str">
        <f t="shared" si="78"/>
        <v>EMSG:Helen HallSTRACE:com.farmers.config.pa.validator.BrightlineValidator.validateQuoteBrightlineRules(BrightlineValidator.gs:XXXSTRACERAW:-</v>
      </c>
      <c r="D2499" s="3">
        <f t="shared" si="79"/>
        <v>1</v>
      </c>
    </row>
    <row r="2500" spans="1:4" x14ac:dyDescent="0.35">
      <c r="A2500" t="s">
        <v>2629</v>
      </c>
      <c r="B2500">
        <v>1</v>
      </c>
      <c r="C2500" t="str">
        <f t="shared" si="78"/>
        <v>EMSG:Heng LySTRACE:com.farmers.config.pa.validator.BrightlineValidator.validateQuoteBrightlineRules(BrightlineValidator.gs:XXXSTRACERAW:-</v>
      </c>
      <c r="D2500" s="3">
        <f t="shared" si="79"/>
        <v>1</v>
      </c>
    </row>
    <row r="2501" spans="1:4" x14ac:dyDescent="0.35">
      <c r="A2501" t="s">
        <v>2630</v>
      </c>
      <c r="B2501">
        <v>1</v>
      </c>
      <c r="C2501" t="str">
        <f t="shared" si="78"/>
        <v>EMSG:ISHMAEL JABBIESTRACE:com.farmers.config.pa.validator.BrightlineValidator.validateQuoteBrightlineRules(BrightlineValidator.gs:XXXSTRACERAW:-</v>
      </c>
      <c r="D2501" s="3">
        <f t="shared" si="79"/>
        <v>1</v>
      </c>
    </row>
    <row r="2502" spans="1:4" x14ac:dyDescent="0.35">
      <c r="A2502" t="s">
        <v>2631</v>
      </c>
      <c r="B2502">
        <v>1</v>
      </c>
      <c r="C2502" t="str">
        <f t="shared" si="78"/>
        <v>EMSG:ISHMAEL JABBIESTRACE:gw.job.QuoteProcess.requestQuote(QuoteProcess.gs:XXXSTRACERAW:-</v>
      </c>
      <c r="D2502" s="3">
        <f t="shared" si="79"/>
        <v>1</v>
      </c>
    </row>
    <row r="2503" spans="1:4" x14ac:dyDescent="0.35">
      <c r="A2503" t="s">
        <v>1104</v>
      </c>
      <c r="B2503">
        <v>1</v>
      </c>
      <c r="C2503" t="str">
        <f t="shared" si="78"/>
        <v>EMSG:Illegal value for keySTRACE:deployment.pc.war//com.guidewire.pl.system.database.impl.DBRestriction.compare(DBRestriction.java:XXXSTRACERAW:-</v>
      </c>
      <c r="D2503" s="3">
        <f t="shared" si="79"/>
        <v>1</v>
      </c>
    </row>
    <row r="2504" spans="1:4" x14ac:dyDescent="0.35">
      <c r="A2504" t="s">
        <v>2632</v>
      </c>
      <c r="B2504">
        <v>1</v>
      </c>
      <c r="C2504" t="str">
        <f t="shared" si="78"/>
        <v>EMSG:Index XXX out of bounds for length XXXSTRACE:gw.acc.batch.inbound.InboundBatchUtils.getPayloadValueMapDelimiter(InboundBatchUtils.gs:XXXSTRACERAW:-</v>
      </c>
      <c r="D2504" s="3">
        <f t="shared" si="79"/>
        <v>1</v>
      </c>
    </row>
    <row r="2505" spans="1:4" x14ac:dyDescent="0.35">
      <c r="A2505" t="s">
        <v>2633</v>
      </c>
      <c r="B2505">
        <v>1</v>
      </c>
      <c r="C2505" t="str">
        <f t="shared" si="78"/>
        <v>EMSG:Index XXX out of bounds for length XXXSTRACE:java.base/java.util.ArrayDeque.grow(ArrayDeque.java:XXXSTRACERAW:-</v>
      </c>
      <c r="D2505" s="3">
        <f t="shared" si="79"/>
        <v>1</v>
      </c>
    </row>
    <row r="2506" spans="1:4" x14ac:dyDescent="0.35">
      <c r="A2506" t="s">
        <v>2634</v>
      </c>
      <c r="B2506">
        <v>1</v>
      </c>
      <c r="C2506" t="str">
        <f t="shared" si="78"/>
        <v>EMSG:Internal error: bean entity.EffectiveDatedFields:XXX was not staged for edit.STRACE:deployment.pc.war//com.guidewire.pl.system.bundle.EntityBundleImpl.handleBeanChange(EntityBundleImpl.java:XXXSTRACERAW:-</v>
      </c>
      <c r="D2506" s="3">
        <f t="shared" si="79"/>
        <v>1</v>
      </c>
    </row>
    <row r="2507" spans="1:4" x14ac:dyDescent="0.35">
      <c r="A2507" t="s">
        <v>2635</v>
      </c>
      <c r="B2507">
        <v>1</v>
      </c>
      <c r="C2507" t="str">
        <f t="shared" si="78"/>
        <v>EMSG:Irene C Curry is already a Household Member.STRACE:deployment.pc.war//com.guidewire.pc.domain.policy.period.impl.PolicyPeriodImpl.checkAccountContactIsNotAlreadyAPolicyContactRoleOfType(PolicyPeriodImpl.java:XXXSTRACERAW:-</v>
      </c>
      <c r="D2507" s="3">
        <f t="shared" si="79"/>
        <v>1</v>
      </c>
    </row>
    <row r="2508" spans="1:4" x14ac:dyDescent="0.35">
      <c r="A2508" t="s">
        <v>2636</v>
      </c>
      <c r="B2508">
        <v>1</v>
      </c>
      <c r="C2508" t="str">
        <f t="shared" si="78"/>
        <v>EMSG:JANELLE VALENTINESTRACE:com.farmers.config.pa.validator.BrightlineValidator.validateQuoteBrightlineRules(BrightlineValidator.gs:XXXSTRACERAW:-</v>
      </c>
      <c r="D2508" s="3">
        <f t="shared" si="79"/>
        <v>1</v>
      </c>
    </row>
    <row r="2509" spans="1:4" x14ac:dyDescent="0.35">
      <c r="A2509" t="s">
        <v>2637</v>
      </c>
      <c r="B2509">
        <v>1</v>
      </c>
      <c r="C2509" t="str">
        <f t="shared" si="78"/>
        <v>EMSG:JANELLE VALENTINESTRACE:gw.job.QuoteProcess.requestQuote(QuoteProcess.gs:XXXSTRACERAW:-</v>
      </c>
      <c r="D2509" s="3">
        <f t="shared" si="79"/>
        <v>1</v>
      </c>
    </row>
    <row r="2510" spans="1:4" x14ac:dyDescent="0.35">
      <c r="A2510" t="s">
        <v>2638</v>
      </c>
      <c r="B2510">
        <v>1</v>
      </c>
      <c r="C2510" t="str">
        <f t="shared" si="78"/>
        <v>EMSG:JASON FUENTESSTRACE:com.farmers.config.pa.validator.BrightlineValidator.validateQuoteBrightlineRules(BrightlineValidator.gs:XXXSTRACERAW:-</v>
      </c>
      <c r="D2510" s="3">
        <f t="shared" si="79"/>
        <v>1</v>
      </c>
    </row>
    <row r="2511" spans="1:4" x14ac:dyDescent="0.35">
      <c r="A2511" t="s">
        <v>2639</v>
      </c>
      <c r="B2511">
        <v>1</v>
      </c>
      <c r="C2511" t="str">
        <f t="shared" si="78"/>
        <v>EMSG:JASON FUENTESSTRACE:gw.job.QuoteProcess.requestQuote(QuoteProcess.gs:XXXSTRACERAW:-</v>
      </c>
      <c r="D2511" s="3">
        <f t="shared" si="79"/>
        <v>1</v>
      </c>
    </row>
    <row r="2512" spans="1:4" x14ac:dyDescent="0.35">
      <c r="A2512" t="s">
        <v>2640</v>
      </c>
      <c r="B2512">
        <v>1</v>
      </c>
      <c r="C2512" t="str">
        <f t="shared" si="78"/>
        <v>EMSG:JOSHUA PALMERSTRACE:com.farmers.config.pa.validator.BrightlineValidator.validateQuoteBrightlineRules(BrightlineValidator.gs:XXXSTRACERAW:-</v>
      </c>
      <c r="D2512" s="3">
        <f t="shared" si="79"/>
        <v>1</v>
      </c>
    </row>
    <row r="2513" spans="1:4" x14ac:dyDescent="0.35">
      <c r="A2513" t="s">
        <v>2641</v>
      </c>
      <c r="B2513">
        <v>1</v>
      </c>
      <c r="C2513" t="str">
        <f t="shared" si="78"/>
        <v>EMSG:Jacqueline RandSTRACE:com.farmers.config.pa.validator.BrightlineValidator.validateQuoteBrightlineRules(BrightlineValidator.gs:XXXSTRACERAW:-</v>
      </c>
      <c r="D2513" s="3">
        <f t="shared" si="79"/>
        <v>1</v>
      </c>
    </row>
    <row r="2514" spans="1:4" x14ac:dyDescent="0.35">
      <c r="A2514" t="s">
        <v>2642</v>
      </c>
      <c r="B2514">
        <v>1</v>
      </c>
      <c r="C2514" t="str">
        <f t="shared" si="78"/>
        <v>EMSG:Jacqueline RandSTRACE:gw.job.QuoteProcess.requestQuote(QuoteProcess.gs:XXXSTRACERAW:-</v>
      </c>
      <c r="D2514" s="3">
        <f t="shared" si="79"/>
        <v>1</v>
      </c>
    </row>
    <row r="2515" spans="1:4" x14ac:dyDescent="0.35">
      <c r="A2515" t="s">
        <v>2643</v>
      </c>
      <c r="B2515">
        <v>1</v>
      </c>
      <c r="C2515" t="str">
        <f t="shared" si="78"/>
        <v>EMSG:Jadi GibbsSTRACE:gw.job.QuoteProcess.requestQuote(QuoteProcess.gs:XXXSTRACERAW:-</v>
      </c>
      <c r="D2515" s="3">
        <f t="shared" si="79"/>
        <v>1</v>
      </c>
    </row>
    <row r="2516" spans="1:4" x14ac:dyDescent="0.35">
      <c r="A2516" t="s">
        <v>2644</v>
      </c>
      <c r="B2516">
        <v>1</v>
      </c>
      <c r="C2516" t="str">
        <f t="shared" si="78"/>
        <v>EMSG:James Olsen FelicianoSTRACE:com.farmers.config.pa.validator.BrightlineValidator.validateQuoteBrightlineRules(BrightlineValidator.gs:XXXSTRACERAW:-</v>
      </c>
      <c r="D2516" s="3">
        <f t="shared" si="79"/>
        <v>1</v>
      </c>
    </row>
    <row r="2517" spans="1:4" x14ac:dyDescent="0.35">
      <c r="A2517" t="s">
        <v>2645</v>
      </c>
      <c r="B2517">
        <v>1</v>
      </c>
      <c r="C2517" t="str">
        <f t="shared" si="78"/>
        <v>EMSG:James Olsen FelicianoSTRACE:gw.job.QuoteProcess.requestQuote(QuoteProcess.gs:XXXSTRACERAW:-</v>
      </c>
      <c r="D2517" s="3">
        <f t="shared" si="79"/>
        <v>1</v>
      </c>
    </row>
    <row r="2518" spans="1:4" x14ac:dyDescent="0.35">
      <c r="A2518" t="s">
        <v>2646</v>
      </c>
      <c r="B2518">
        <v>1</v>
      </c>
      <c r="C2518" t="str">
        <f t="shared" si="78"/>
        <v>EMSG:Jeff RutledgeSTRACE:com.farmers.config.pa.validator.BrightlineValidator.validateQuoteBrightlineRules(BrightlineValidator.gs:XXXSTRACERAW:-</v>
      </c>
      <c r="D2518" s="3">
        <f t="shared" si="79"/>
        <v>1</v>
      </c>
    </row>
    <row r="2519" spans="1:4" x14ac:dyDescent="0.35">
      <c r="A2519" t="s">
        <v>2647</v>
      </c>
      <c r="B2519">
        <v>1</v>
      </c>
      <c r="C2519" t="str">
        <f t="shared" si="78"/>
        <v>EMSG:Jeff RutledgeSTRACE:gw.job.QuoteProcess.requestQuote(QuoteProcess.gs:XXXSTRACERAW:-</v>
      </c>
      <c r="D2519" s="3">
        <f t="shared" si="79"/>
        <v>1</v>
      </c>
    </row>
    <row r="2520" spans="1:4" x14ac:dyDescent="0.35">
      <c r="A2520" t="s">
        <v>2648</v>
      </c>
      <c r="B2520">
        <v>1</v>
      </c>
      <c r="C2520" t="str">
        <f t="shared" si="78"/>
        <v>EMSG:Jessica MartilloSTRACE:com.farmers.config.pa.validator.BrightlineValidator.validateQuoteBrightlineRules(BrightlineValidator.gs:XXXSTRACERAW:-</v>
      </c>
      <c r="D2520" s="3">
        <f t="shared" si="79"/>
        <v>1</v>
      </c>
    </row>
    <row r="2521" spans="1:4" x14ac:dyDescent="0.35">
      <c r="A2521" t="s">
        <v>2649</v>
      </c>
      <c r="B2521">
        <v>1</v>
      </c>
      <c r="C2521" t="str">
        <f t="shared" si="78"/>
        <v>EMSG:Jessica MartilloSTRACE:gw.job.QuoteProcess.requestQuote(QuoteProcess.gs:XXXSTRACERAW:-</v>
      </c>
      <c r="D2521" s="3">
        <f t="shared" si="79"/>
        <v>1</v>
      </c>
    </row>
    <row r="2522" spans="1:4" x14ac:dyDescent="0.35">
      <c r="A2522" t="s">
        <v>2650</v>
      </c>
      <c r="B2522">
        <v>1</v>
      </c>
      <c r="C2522" t="str">
        <f t="shared" si="78"/>
        <v>EMSG:Jesus VillarealSTRACE:com.farmers.config.pa.validator.BrightlineValidator.validateQuoteBrightlineRules(BrightlineValidator.gs:XXXSTRACERAW:-</v>
      </c>
      <c r="D2522" s="3">
        <f t="shared" si="79"/>
        <v>1</v>
      </c>
    </row>
    <row r="2523" spans="1:4" x14ac:dyDescent="0.35">
      <c r="A2523" t="s">
        <v>2651</v>
      </c>
      <c r="B2523">
        <v>1</v>
      </c>
      <c r="C2523" t="str">
        <f t="shared" si="78"/>
        <v>EMSG:Jesus VillarealSTRACE:gw.job.QuoteProcess.requestQuote(QuoteProcess.gs:XXXSTRACERAW:-</v>
      </c>
      <c r="D2523" s="3">
        <f t="shared" si="79"/>
        <v>1</v>
      </c>
    </row>
    <row r="2524" spans="1:4" x14ac:dyDescent="0.35">
      <c r="A2524" t="s">
        <v>2652</v>
      </c>
      <c r="B2524">
        <v>1</v>
      </c>
      <c r="C2524" t="str">
        <f t="shared" si="78"/>
        <v>EMSG:Jill ThompsonSTRACE:com.farmers.config.pa.validator.BrightlineValidator.validateQuoteBrightlineRules(BrightlineValidator.gs:XXXSTRACERAW:-</v>
      </c>
      <c r="D2524" s="3">
        <f t="shared" si="79"/>
        <v>1</v>
      </c>
    </row>
    <row r="2525" spans="1:4" x14ac:dyDescent="0.35">
      <c r="A2525" t="s">
        <v>2653</v>
      </c>
      <c r="B2525">
        <v>1</v>
      </c>
      <c r="C2525" t="str">
        <f t="shared" si="78"/>
        <v>EMSG:Jill ThompsonSTRACE:gw.job.QuoteProcess.requestQuote(QuoteProcess.gs:XXXSTRACERAW:-</v>
      </c>
      <c r="D2525" s="3">
        <f t="shared" si="79"/>
        <v>1</v>
      </c>
    </row>
    <row r="2526" spans="1:4" x14ac:dyDescent="0.35">
      <c r="A2526" t="s">
        <v>2654</v>
      </c>
      <c r="B2526">
        <v>1</v>
      </c>
      <c r="C2526" t="str">
        <f t="shared" si="78"/>
        <v>EMSG:Jonily JovanSTRACE:com.farmers.config.pa.validator.BrightlineValidator.validateQuoteBrightlineRules(BrightlineValidator.gs:XXXSTRACERAW:-</v>
      </c>
      <c r="D2526" s="3">
        <f t="shared" si="79"/>
        <v>1</v>
      </c>
    </row>
    <row r="2527" spans="1:4" x14ac:dyDescent="0.35">
      <c r="A2527" t="s">
        <v>2655</v>
      </c>
      <c r="B2527">
        <v>1</v>
      </c>
      <c r="C2527" t="str">
        <f t="shared" si="78"/>
        <v>EMSG:Jonily JovanSTRACE:gw.job.QuoteProcess.requestQuote(QuoteProcess.gs:XXXSTRACERAW:-</v>
      </c>
      <c r="D2527" s="3">
        <f t="shared" si="79"/>
        <v>1</v>
      </c>
    </row>
    <row r="2528" spans="1:4" x14ac:dyDescent="0.35">
      <c r="A2528" t="s">
        <v>2656</v>
      </c>
      <c r="B2528">
        <v>1</v>
      </c>
      <c r="C2528" t="str">
        <f t="shared" si="78"/>
        <v>EMSG:KASSANDRA CHAVEZSTRACE:com.farmers.config.pa.validator.BrightlineValidator.validateQuoteBrightlineRules(BrightlineValidator.gs:XXXSTRACERAW:-</v>
      </c>
      <c r="D2528" s="3">
        <f t="shared" si="79"/>
        <v>1</v>
      </c>
    </row>
    <row r="2529" spans="1:4" x14ac:dyDescent="0.35">
      <c r="A2529" t="s">
        <v>2657</v>
      </c>
      <c r="B2529">
        <v>1</v>
      </c>
      <c r="C2529" t="str">
        <f t="shared" si="78"/>
        <v>EMSG:KASSANDRA CHAVEZSTRACE:gw.job.QuoteProcess.requestQuote(QuoteProcess.gs:XXXSTRACERAW:-</v>
      </c>
      <c r="D2529" s="3">
        <f t="shared" si="79"/>
        <v>1</v>
      </c>
    </row>
    <row r="2530" spans="1:4" x14ac:dyDescent="0.35">
      <c r="A2530" t="s">
        <v>2658</v>
      </c>
      <c r="B2530">
        <v>1</v>
      </c>
      <c r="C2530" t="str">
        <f t="shared" si="78"/>
        <v>EMSG:KENDRA ZABOKRTSKYSTRACE:com.farmers.config.pa.validator.BrightlineValidator.validateQuoteBrightlineRules(BrightlineValidator.gs:XXXSTRACERAW:-</v>
      </c>
      <c r="D2530" s="3">
        <f t="shared" si="79"/>
        <v>1</v>
      </c>
    </row>
    <row r="2531" spans="1:4" x14ac:dyDescent="0.35">
      <c r="A2531" t="s">
        <v>2659</v>
      </c>
      <c r="B2531">
        <v>1</v>
      </c>
      <c r="C2531" t="str">
        <f t="shared" si="78"/>
        <v>EMSG:KENDRA ZABOKRTSKYSTRACE:gw.job.QuoteProcess.requestQuote(QuoteProcess.gs:XXXSTRACERAW:-</v>
      </c>
      <c r="D2531" s="3">
        <f t="shared" si="79"/>
        <v>1</v>
      </c>
    </row>
    <row r="2532" spans="1:4" x14ac:dyDescent="0.35">
      <c r="A2532" t="s">
        <v>2660</v>
      </c>
      <c r="B2532">
        <v>1</v>
      </c>
      <c r="C2532" t="str">
        <f t="shared" si="78"/>
        <v>EMSG:KISHA SCHLOTTERERSTRACE:com.farmers.config.pa.validator.BrightlineValidator.validateQuoteBrightlineRules(BrightlineValidator.gs:XXXSTRACERAW:-</v>
      </c>
      <c r="D2532" s="3">
        <f t="shared" si="79"/>
        <v>1</v>
      </c>
    </row>
    <row r="2533" spans="1:4" x14ac:dyDescent="0.35">
      <c r="A2533" t="s">
        <v>2661</v>
      </c>
      <c r="B2533">
        <v>1</v>
      </c>
      <c r="C2533" t="str">
        <f t="shared" si="78"/>
        <v>EMSG:KISHA SCHLOTTERERSTRACE:gw.job.QuoteProcess.requestQuote(QuoteProcess.gs:XXXSTRACERAW:-</v>
      </c>
      <c r="D2533" s="3">
        <f t="shared" si="79"/>
        <v>1</v>
      </c>
    </row>
    <row r="2534" spans="1:4" x14ac:dyDescent="0.35">
      <c r="A2534" t="s">
        <v>2662</v>
      </c>
      <c r="B2534">
        <v>1</v>
      </c>
      <c r="C2534" t="str">
        <f t="shared" si="78"/>
        <v>EMSG:Karen StorieSTRACE:com.farmers.config.pa.validator.BrightlineValidator.validateQuoteBrightlineRules(BrightlineValidator.gs:XXXSTRACERAW:-</v>
      </c>
      <c r="D2534" s="3">
        <f t="shared" si="79"/>
        <v>1</v>
      </c>
    </row>
    <row r="2535" spans="1:4" x14ac:dyDescent="0.35">
      <c r="A2535" t="s">
        <v>2663</v>
      </c>
      <c r="B2535">
        <v>1</v>
      </c>
      <c r="C2535" t="str">
        <f t="shared" si="78"/>
        <v>EMSG:Karen StorieSTRACE:gw.job.QuoteProcess.requestQuote(QuoteProcess.gs:XXXSTRACERAW:-</v>
      </c>
      <c r="D2535" s="3">
        <f t="shared" si="79"/>
        <v>1</v>
      </c>
    </row>
    <row r="2536" spans="1:4" x14ac:dyDescent="0.35">
      <c r="A2536" t="s">
        <v>2664</v>
      </c>
      <c r="B2536">
        <v>1</v>
      </c>
      <c r="C2536" t="str">
        <f t="shared" si="78"/>
        <v>EMSG:Karen WoodmanseeSTRACE:com.farmers.config.pa.validator.BrightlineValidator.validateQuoteBrightlineRules(BrightlineValidator.gs:XXXSTRACERAW:-</v>
      </c>
      <c r="D2536" s="3">
        <f t="shared" si="79"/>
        <v>1</v>
      </c>
    </row>
    <row r="2537" spans="1:4" x14ac:dyDescent="0.35">
      <c r="A2537" t="s">
        <v>2665</v>
      </c>
      <c r="B2537">
        <v>1</v>
      </c>
      <c r="C2537" t="str">
        <f t="shared" si="78"/>
        <v>EMSG:Kimberlee BrunerSTRACE:com.farmers.config.pa.validator.BrightlineValidator.validateQuoteBrightlineRules(BrightlineValidator.gs:XXXSTRACERAW:-</v>
      </c>
      <c r="D2537" s="3">
        <f t="shared" si="79"/>
        <v>1</v>
      </c>
    </row>
    <row r="2538" spans="1:4" x14ac:dyDescent="0.35">
      <c r="A2538" t="s">
        <v>2666</v>
      </c>
      <c r="B2538">
        <v>1</v>
      </c>
      <c r="C2538" t="str">
        <f t="shared" si="78"/>
        <v>EMSG:Kimberlee BrunerSTRACE:gw.job.QuoteProcess.requestQuote(QuoteProcess.gs:XXXSTRACERAW:-</v>
      </c>
      <c r="D2538" s="3">
        <f t="shared" si="79"/>
        <v>1</v>
      </c>
    </row>
    <row r="2539" spans="1:4" x14ac:dyDescent="0.35">
      <c r="A2539" t="s">
        <v>2667</v>
      </c>
      <c r="B2539">
        <v>1</v>
      </c>
      <c r="C2539" t="str">
        <f t="shared" si="78"/>
        <v>EMSG:Krista GuerreroSTRACE:com.farmers.config.pa.validator.BrightlineValidator.validateQuoteBrightlineRules(BrightlineValidator.gs:XXXSTRACERAW:-</v>
      </c>
      <c r="D2539" s="3">
        <f t="shared" si="79"/>
        <v>1</v>
      </c>
    </row>
    <row r="2540" spans="1:4" x14ac:dyDescent="0.35">
      <c r="A2540" t="s">
        <v>2668</v>
      </c>
      <c r="B2540">
        <v>1</v>
      </c>
      <c r="C2540" t="str">
        <f t="shared" si="78"/>
        <v>EMSG:LESLIE LITTLESTRACE:com.farmers.config.pa.validator.BrightlineValidator.validateQuoteBrightlineRules(BrightlineValidator.gs:XXXSTRACERAW:-</v>
      </c>
      <c r="D2540" s="3">
        <f t="shared" si="79"/>
        <v>1</v>
      </c>
    </row>
    <row r="2541" spans="1:4" x14ac:dyDescent="0.35">
      <c r="A2541" t="s">
        <v>2669</v>
      </c>
      <c r="B2541">
        <v>1</v>
      </c>
      <c r="C2541" t="str">
        <f t="shared" si="78"/>
        <v>EMSG:LESLIE LITTLESTRACE:gw.job.QuoteProcess.requestQuote(QuoteProcess.gs:XXXSTRACERAW:-</v>
      </c>
      <c r="D2541" s="3">
        <f t="shared" si="79"/>
        <v>1</v>
      </c>
    </row>
    <row r="2542" spans="1:4" x14ac:dyDescent="0.35">
      <c r="A2542" t="s">
        <v>2670</v>
      </c>
      <c r="B2542">
        <v>1</v>
      </c>
      <c r="C2542" t="str">
        <f t="shared" si="78"/>
        <v>EMSG:LHPI Ordering Failed due to TimeOut! - [java.lang.RuntimeException: java.net.NoRouteToHostException: No route to host (Host unreachable)]STRACE:java.base/jdk.internal.reflect.GeneratedConstructorAccessorXXX.newInstance(Unknown SourceSTRACERAW:-</v>
      </c>
      <c r="D2542" s="3">
        <f t="shared" si="79"/>
        <v>1</v>
      </c>
    </row>
    <row r="2543" spans="1:4" x14ac:dyDescent="0.35">
      <c r="A2543" t="s">
        <v>779</v>
      </c>
      <c r="B2543">
        <v>1</v>
      </c>
      <c r="C2543" t="str">
        <f t="shared" si="78"/>
        <v>EMSG:LHPI Ordering Failed due to TimeOut! - [java.lang.RuntimeException: javax.net.ssl.SSLException: Connection reset]STRACE:java.base/jdk.internal.reflect.NativeConstructorAccessorImpl.newInstanceXXX(Native MethodSTRACERAW:-</v>
      </c>
      <c r="D2543" s="3">
        <f t="shared" si="79"/>
        <v>1</v>
      </c>
    </row>
    <row r="2544" spans="1:4" x14ac:dyDescent="0.35">
      <c r="A2544" t="s">
        <v>533</v>
      </c>
      <c r="B2544">
        <v>1</v>
      </c>
      <c r="C2544" t="str">
        <f t="shared" si="78"/>
        <v>EMSG:LHPI Ordering Failed! - [Runtime Error  HTTP POST on resource 'https://decisioning.lexisnexisrisk.com:XXX/farmers/fmk' failed: Remotely closed. ESBXXX]STRACE:java.base/jdk.internal.reflect.NativeConstructorAccessorImpl.newInstanceXXX(Native MethodSTR</v>
      </c>
      <c r="D2544" s="3">
        <f t="shared" si="79"/>
        <v>1</v>
      </c>
    </row>
    <row r="2545" spans="1:4" x14ac:dyDescent="0.35">
      <c r="A2545" t="s">
        <v>2671</v>
      </c>
      <c r="B2545">
        <v>1</v>
      </c>
      <c r="C2545" t="str">
        <f t="shared" si="78"/>
        <v>EMSG:LOIS BRADBURYSTRACE:com.farmers.config.pa.validator.BrightlineValidator.validateQuoteBrightlineRules(BrightlineValidator.gs:XXXSTRACERAW:-</v>
      </c>
      <c r="D2545" s="3">
        <f t="shared" si="79"/>
        <v>1</v>
      </c>
    </row>
    <row r="2546" spans="1:4" ht="58" x14ac:dyDescent="0.35">
      <c r="A2546" s="4" t="s">
        <v>2672</v>
      </c>
      <c r="B2546">
        <v>1</v>
      </c>
      <c r="C2546" t="str">
        <f t="shared" si="78"/>
        <v>EMSG:LUW Policy Change Job XXX: The object you are trying to update was XXXSTRACE:XXX/XXX/XXX XXX:XXX AM. Please cancel and retry your change.
The object you are trying to update was 'Policy:CN:05893194510056XXX - CN:05893194510056XXX', and it was changed</v>
      </c>
      <c r="D2546" s="3">
        <f t="shared" si="79"/>
        <v>1</v>
      </c>
    </row>
    <row r="2547" spans="1:4" ht="43.5" x14ac:dyDescent="0.35">
      <c r="A2547" s="4" t="s">
        <v>2673</v>
      </c>
      <c r="B2547">
        <v>1</v>
      </c>
      <c r="C2547" t="str">
        <f t="shared" si="78"/>
        <v>EMSG:LUW Policy Change Job XXX: The object you are trying to update was XXXSTRACE:XXX/XXX/XXX XXX:XXX PM. Please cancel and retry your change.
The object you are trying to update was 'Policy:CN:083447842XXX - CN:083447842XXX', and it was changed by System</v>
      </c>
      <c r="D2547" s="3">
        <f t="shared" si="79"/>
        <v>1</v>
      </c>
    </row>
    <row r="2548" spans="1:4" x14ac:dyDescent="0.35">
      <c r="A2548" t="s">
        <v>2674</v>
      </c>
      <c r="B2548">
        <v>1</v>
      </c>
      <c r="C2548" t="str">
        <f t="shared" si="78"/>
        <v>EMSG:Lander TyroneSTRACE:com.farmers.config.pa.validator.BrightlineValidator.validateQuoteBrightlineRules(BrightlineValidator.gs:XXXSTRACERAW:-</v>
      </c>
      <c r="D2548" s="3">
        <f t="shared" si="79"/>
        <v>1</v>
      </c>
    </row>
    <row r="2549" spans="1:4" x14ac:dyDescent="0.35">
      <c r="A2549" t="s">
        <v>2675</v>
      </c>
      <c r="B2549">
        <v>1</v>
      </c>
      <c r="C2549" t="str">
        <f t="shared" si="78"/>
        <v>EMSG:Lander TyroneSTRACE:gw.job.QuoteProcess.requestQuote(QuoteProcess.gs:XXXSTRACERAW:-</v>
      </c>
      <c r="D2549" s="3">
        <f t="shared" si="79"/>
        <v>1</v>
      </c>
    </row>
    <row r="2550" spans="1:4" x14ac:dyDescent="0.35">
      <c r="A2550" t="s">
        <v>2676</v>
      </c>
      <c r="B2550">
        <v>1</v>
      </c>
      <c r="C2550" t="str">
        <f t="shared" si="78"/>
        <v>EMSG:Lorinda HallSTRACE:com.farmers.config.pa.validator.BrightlineValidator.validateQuoteBrightlineRules(BrightlineValidator.gs:XXXSTRACERAW:-</v>
      </c>
      <c r="D2550" s="3">
        <f t="shared" si="79"/>
        <v>1</v>
      </c>
    </row>
    <row r="2551" spans="1:4" x14ac:dyDescent="0.35">
      <c r="A2551" t="s">
        <v>2677</v>
      </c>
      <c r="B2551">
        <v>1</v>
      </c>
      <c r="C2551" t="str">
        <f t="shared" si="78"/>
        <v>EMSG:MARLEY WITTSTRACE:com.farmers.config.pa.validator.BrightlineValidator.validateQuoteBrightlineRules(BrightlineValidator.gs:XXXSTRACERAW:-</v>
      </c>
      <c r="D2551" s="3">
        <f t="shared" si="79"/>
        <v>1</v>
      </c>
    </row>
    <row r="2552" spans="1:4" x14ac:dyDescent="0.35">
      <c r="A2552" t="s">
        <v>2678</v>
      </c>
      <c r="B2552">
        <v>1</v>
      </c>
      <c r="C2552" t="str">
        <f t="shared" si="78"/>
        <v>EMSG:MARLEY WITTSTRACE:gw.job.QuoteProcess.requestQuote(QuoteProcess.gs:XXXSTRACERAW:-</v>
      </c>
      <c r="D2552" s="3">
        <f t="shared" si="79"/>
        <v>1</v>
      </c>
    </row>
    <row r="2553" spans="1:4" x14ac:dyDescent="0.35">
      <c r="A2553" t="s">
        <v>2679</v>
      </c>
      <c r="B2553">
        <v>1</v>
      </c>
      <c r="C2553" t="str">
        <f t="shared" si="78"/>
        <v>EMSG:MATTHEW ESCOBARSTRACE:com.farmers.config.pa.validator.BrightlineValidator.validateQuoteBrightlineRules(BrightlineValidator.gs:XXXSTRACERAW:-</v>
      </c>
      <c r="D2553" s="3">
        <f t="shared" si="79"/>
        <v>1</v>
      </c>
    </row>
    <row r="2554" spans="1:4" x14ac:dyDescent="0.35">
      <c r="A2554" t="s">
        <v>2680</v>
      </c>
      <c r="B2554">
        <v>1</v>
      </c>
      <c r="C2554" t="str">
        <f t="shared" si="78"/>
        <v>EMSG:MATTHEW ESCOBARSTRACE:gw.job.QuoteProcess.requestQuote(QuoteProcess.gs:XXXSTRACERAW:-</v>
      </c>
      <c r="D2554" s="3">
        <f t="shared" si="79"/>
        <v>1</v>
      </c>
    </row>
    <row r="2555" spans="1:4" x14ac:dyDescent="0.35">
      <c r="A2555" t="s">
        <v>2681</v>
      </c>
      <c r="B2555">
        <v>1</v>
      </c>
      <c r="C2555" t="str">
        <f t="shared" si="78"/>
        <v>EMSG:MELISSA MONTFORT-CRUZSTRACE:com.farmers.config.pa.validator.BrightlineValidator.validateQuoteBrightlineRules(BrightlineValidator.gs:XXXSTRACERAW:-</v>
      </c>
      <c r="D2555" s="3">
        <f t="shared" si="79"/>
        <v>1</v>
      </c>
    </row>
    <row r="2556" spans="1:4" x14ac:dyDescent="0.35">
      <c r="A2556" t="s">
        <v>2682</v>
      </c>
      <c r="B2556">
        <v>1</v>
      </c>
      <c r="C2556" t="str">
        <f t="shared" si="78"/>
        <v>EMSG:MICHAEL FAASSTRACE:com.farmers.config.pa.validator.BrightlineValidator.validateQuoteBrightlineRules(BrightlineValidator.gs:XXXSTRACERAW:-</v>
      </c>
      <c r="D2556" s="3">
        <f t="shared" si="79"/>
        <v>1</v>
      </c>
    </row>
    <row r="2557" spans="1:4" x14ac:dyDescent="0.35">
      <c r="A2557" t="s">
        <v>2683</v>
      </c>
      <c r="B2557">
        <v>1</v>
      </c>
      <c r="C2557" t="str">
        <f t="shared" si="78"/>
        <v>EMSG:MINODORA PASKARSTRACE:com.farmers.config.pa.validator.BrightlineValidator.validateQuoteBrightlineRules(BrightlineValidator.gs:XXXSTRACERAW:-</v>
      </c>
      <c r="D2557" s="3">
        <f t="shared" si="79"/>
        <v>1</v>
      </c>
    </row>
    <row r="2558" spans="1:4" x14ac:dyDescent="0.35">
      <c r="A2558" t="s">
        <v>2684</v>
      </c>
      <c r="B2558">
        <v>1</v>
      </c>
      <c r="C2558" t="str">
        <f t="shared" si="78"/>
        <v>EMSG:MOHAMMED MOUSASTRACE:com.farmers.config.pa.validator.BrightlineValidator.validateQuoteBrightlineRules(BrightlineValidator.gs:XXXSTRACERAW:-</v>
      </c>
      <c r="D2558" s="3">
        <f t="shared" si="79"/>
        <v>1</v>
      </c>
    </row>
    <row r="2559" spans="1:4" x14ac:dyDescent="0.35">
      <c r="A2559" t="s">
        <v>2685</v>
      </c>
      <c r="B2559">
        <v>1</v>
      </c>
      <c r="C2559" t="str">
        <f t="shared" si="78"/>
        <v>EMSG:MVR APP ERROR: INVALID STATE POSTAL CODE for unit XXXBCSTRACE:com.farmers.config.common.mvr.MVRProcess.createCacheFromResponse(MVRProcess.gs:XXXSTRACERAW:-</v>
      </c>
      <c r="D2559" s="3">
        <f t="shared" si="79"/>
        <v>1</v>
      </c>
    </row>
    <row r="2560" spans="1:4" x14ac:dyDescent="0.35">
      <c r="A2560" t="s">
        <v>2686</v>
      </c>
      <c r="B2560">
        <v>1</v>
      </c>
      <c r="C2560" t="str">
        <f t="shared" si="78"/>
        <v>EMSG:MVR Ordering Failed! - [java.lang.RuntimeException: java.net.NoRouteToHostException: No route to host (Host unreachable)]STRACE:com.farmers.config.common.mvr.MVRProcess.orderMVR(MVRProcess.gs:XXXSTRACERAW:-</v>
      </c>
      <c r="D2560" s="3">
        <f t="shared" si="79"/>
        <v>1</v>
      </c>
    </row>
    <row r="2561" spans="1:4" x14ac:dyDescent="0.35">
      <c r="A2561" t="s">
        <v>2687</v>
      </c>
      <c r="B2561">
        <v>1</v>
      </c>
      <c r="C2561" t="str">
        <f t="shared" si="78"/>
        <v>EMSG:MVR Ordering Failed! - [java.lang.RuntimeException: javax.net.ssl.SSLException: Connection reset]STRACE:com.farmers.config.common.mvr.MVRProcess.orderMVR(MVRProcess.gs:XXXSTRACERAW:-</v>
      </c>
      <c r="D2561" s="3">
        <f t="shared" si="79"/>
        <v>1</v>
      </c>
    </row>
    <row r="2562" spans="1:4" x14ac:dyDescent="0.35">
      <c r="A2562" t="s">
        <v>2688</v>
      </c>
      <c r="B2562">
        <v>1</v>
      </c>
      <c r="C2562" t="str">
        <f t="shared" si="78"/>
        <v>EMSG:MVR interactive unavailableSTRACE:com.farmers.config.common.mvr.MVRProcess.createCacheFromResponse(MVRProcess.gs:XXXSTRACERAW:-</v>
      </c>
      <c r="D2562" s="3">
        <f t="shared" si="79"/>
        <v>1</v>
      </c>
    </row>
    <row r="2563" spans="1:4" x14ac:dyDescent="0.35">
      <c r="A2563" t="s">
        <v>2689</v>
      </c>
      <c r="B2563">
        <v>1</v>
      </c>
      <c r="C2563" t="str">
        <f t="shared" ref="C2563:C2626" si="80">LEFT(A2563,255)</f>
        <v>EMSG:Makayla HaasjesSTRACE:com.farmers.config.pa.validator.BrightlineValidator.validateQuoteBrightlineRules(BrightlineValidator.gs:XXXSTRACERAW:-</v>
      </c>
      <c r="D2563" s="3">
        <f t="shared" ref="D2563:D2626" si="81">IF(AND((B2563/10)&lt;1,(B2563/10)&gt;0),1,(B2563/10)*130%)</f>
        <v>1</v>
      </c>
    </row>
    <row r="2564" spans="1:4" x14ac:dyDescent="0.35">
      <c r="A2564" t="s">
        <v>2690</v>
      </c>
      <c r="B2564">
        <v>1</v>
      </c>
      <c r="C2564" t="str">
        <f t="shared" si="80"/>
        <v>EMSG:Makayla HaasjesSTRACE:gw.job.QuoteProcess.requestQuote(QuoteProcess.gs:XXXSTRACERAW:-</v>
      </c>
      <c r="D2564" s="3">
        <f t="shared" si="81"/>
        <v>1</v>
      </c>
    </row>
    <row r="2565" spans="1:4" x14ac:dyDescent="0.35">
      <c r="A2565" t="s">
        <v>2691</v>
      </c>
      <c r="B2565">
        <v>1</v>
      </c>
      <c r="C2565" t="str">
        <f t="shared" si="80"/>
        <v>EMSG:Makayla LewisSTRACE:com.farmers.config.pa.validator.BrightlineValidator.validateQuoteBrightlineRules(BrightlineValidator.gs:XXXSTRACERAW:-</v>
      </c>
      <c r="D2565" s="3">
        <f t="shared" si="81"/>
        <v>1</v>
      </c>
    </row>
    <row r="2566" spans="1:4" x14ac:dyDescent="0.35">
      <c r="A2566" t="s">
        <v>2692</v>
      </c>
      <c r="B2566">
        <v>1</v>
      </c>
      <c r="C2566" t="str">
        <f t="shared" si="80"/>
        <v>EMSG:Martha FloresSTRACE:com.farmers.config.pa.validator.BrightlineValidator.validateQuoteBrightlineRules(BrightlineValidator.gs:XXXSTRACERAW:-</v>
      </c>
      <c r="D2566" s="3">
        <f t="shared" si="81"/>
        <v>1</v>
      </c>
    </row>
    <row r="2567" spans="1:4" x14ac:dyDescent="0.35">
      <c r="A2567" t="s">
        <v>2693</v>
      </c>
      <c r="B2567">
        <v>1</v>
      </c>
      <c r="C2567" t="str">
        <f t="shared" si="80"/>
        <v>EMSG:Martha FloresSTRACE:gw.job.QuoteProcess.requestQuote(QuoteProcess.gs:XXXSTRACERAW:-</v>
      </c>
      <c r="D2567" s="3">
        <f t="shared" si="81"/>
        <v>1</v>
      </c>
    </row>
    <row r="2568" spans="1:4" x14ac:dyDescent="0.35">
      <c r="A2568" t="s">
        <v>2694</v>
      </c>
      <c r="B2568">
        <v>1</v>
      </c>
      <c r="C2568" t="str">
        <f t="shared" si="80"/>
        <v>EMSG:Melinda MilesSTRACE:com.farmers.config.pa.validator.BrightlineValidator.validateQuoteBrightlineRules(BrightlineValidator.gs:XXXSTRACERAW:-</v>
      </c>
      <c r="D2568" s="3">
        <f t="shared" si="81"/>
        <v>1</v>
      </c>
    </row>
    <row r="2569" spans="1:4" x14ac:dyDescent="0.35">
      <c r="A2569" t="s">
        <v>2695</v>
      </c>
      <c r="B2569">
        <v>1</v>
      </c>
      <c r="C2569" t="str">
        <f t="shared" si="80"/>
        <v>EMSG:Melinda MilesSTRACE:gw.job.QuoteProcess.requestQuote(QuoteProcess.gs:XXXSTRACERAW:-</v>
      </c>
      <c r="D2569" s="3">
        <f t="shared" si="81"/>
        <v>1</v>
      </c>
    </row>
    <row r="2570" spans="1:4" x14ac:dyDescent="0.35">
      <c r="A2570" t="s">
        <v>2696</v>
      </c>
      <c r="B2570">
        <v>1</v>
      </c>
      <c r="C2570" t="str">
        <f t="shared" si="80"/>
        <v>EMSG:Melissa LarnedSTRACE:com.farmers.config.pa.validator.BrightlineValidator.validateQuoteBrightlineRules(BrightlineValidator.gs:XXXSTRACERAW:-</v>
      </c>
      <c r="D2570" s="3">
        <f t="shared" si="81"/>
        <v>1</v>
      </c>
    </row>
    <row r="2571" spans="1:4" x14ac:dyDescent="0.35">
      <c r="A2571" t="s">
        <v>2697</v>
      </c>
      <c r="B2571">
        <v>1</v>
      </c>
      <c r="C2571" t="str">
        <f t="shared" si="80"/>
        <v>EMSG:Melissa LarnedSTRACE:gw.job.QuoteProcess.requestQuote(QuoteProcess.gs:XXXSTRACERAW:-</v>
      </c>
      <c r="D2571" s="3">
        <f t="shared" si="81"/>
        <v>1</v>
      </c>
    </row>
    <row r="2572" spans="1:4" x14ac:dyDescent="0.35">
      <c r="A2572" t="s">
        <v>2698</v>
      </c>
      <c r="B2572">
        <v>1</v>
      </c>
      <c r="C2572" t="str">
        <f t="shared" si="80"/>
        <v>EMSG:Message Exceeded Maximum RetriesSTRACE:-STRACERAW:</v>
      </c>
      <c r="D2572" s="3">
        <f t="shared" si="81"/>
        <v>1</v>
      </c>
    </row>
    <row r="2573" spans="1:4" x14ac:dyDescent="0.35">
      <c r="A2573" t="s">
        <v>2699</v>
      </c>
      <c r="B2573">
        <v>1</v>
      </c>
      <c r="C2573" t="str">
        <f t="shared" si="80"/>
        <v>EMSG:Mike TranerSTRACE:com.farmers.config.pa.validator.BrightlineValidator.validateQuoteBrightlineRules(BrightlineValidator.gs:XXXSTRACERAW:-</v>
      </c>
      <c r="D2573" s="3">
        <f t="shared" si="81"/>
        <v>1</v>
      </c>
    </row>
    <row r="2574" spans="1:4" x14ac:dyDescent="0.35">
      <c r="A2574" t="s">
        <v>1001</v>
      </c>
      <c r="B2574">
        <v>1</v>
      </c>
      <c r="C2574" t="str">
        <f t="shared" si="80"/>
        <v>EMSG:Missing required field "Agent Name";STRACE:edge.capabilities.quote.submission.quoting.util.SubmissionUnderwritingIssuesUtil.checkVerifyRateExceptions(SubmissionUnderwritingIssuesUtil.gs:XXXSTRACERAW:-</v>
      </c>
      <c r="D2574" s="3">
        <f t="shared" si="81"/>
        <v>1</v>
      </c>
    </row>
    <row r="2575" spans="1:4" ht="29" x14ac:dyDescent="0.35">
      <c r="A2575" s="4" t="s">
        <v>1106</v>
      </c>
      <c r="B2575">
        <v>1</v>
      </c>
      <c r="C2575" t="str">
        <f t="shared" si="80"/>
        <v>EMSG:Multiple onsetting costs with same cost key (BillGroup:nullSTRACE:Oct XXX XXX:XXX:XXX PDT XXX
  Cost Additional Residence Coverage (cost:XXXSTRACERAW:-</v>
      </c>
      <c r="D2575" s="3">
        <f t="shared" si="81"/>
        <v>1</v>
      </c>
    </row>
    <row r="2576" spans="1:4" x14ac:dyDescent="0.35">
      <c r="A2576" t="s">
        <v>2700</v>
      </c>
      <c r="B2576">
        <v>1</v>
      </c>
      <c r="C2576" t="str">
        <f t="shared" si="80"/>
        <v>EMSG:NISHA ADAMSSTRACE:com.farmers.config.pa.validator.BrightlineValidator.validateQuoteBrightlineRules(BrightlineValidator.gs:XXXSTRACERAW:-</v>
      </c>
      <c r="D2576" s="3">
        <f t="shared" si="81"/>
        <v>1</v>
      </c>
    </row>
    <row r="2577" spans="1:4" x14ac:dyDescent="0.35">
      <c r="A2577" t="s">
        <v>2701</v>
      </c>
      <c r="B2577">
        <v>1</v>
      </c>
      <c r="C2577" t="str">
        <f t="shared" si="80"/>
        <v>EMSG:NISHA ADAMSSTRACE:gw.job.QuoteProcess.requestQuote(QuoteProcess.gs:XXXSTRACERAW:-</v>
      </c>
      <c r="D2577" s="3">
        <f t="shared" si="81"/>
        <v>1</v>
      </c>
    </row>
    <row r="2578" spans="1:4" x14ac:dyDescent="0.35">
      <c r="A2578" t="s">
        <v>2702</v>
      </c>
      <c r="B2578">
        <v>1</v>
      </c>
      <c r="C2578" t="str">
        <f t="shared" si="80"/>
        <v>EMSG:NNAEMEKA OKPALASTRACE:com.farmers.config.pa.validator.BrightlineValidator.validateQuoteBrightlineRules(BrightlineValidator.gs:XXXSTRACERAW:-</v>
      </c>
      <c r="D2578" s="3">
        <f t="shared" si="81"/>
        <v>1</v>
      </c>
    </row>
    <row r="2579" spans="1:4" x14ac:dyDescent="0.35">
      <c r="A2579" t="s">
        <v>2703</v>
      </c>
      <c r="B2579">
        <v>1</v>
      </c>
      <c r="C2579" t="str">
        <f t="shared" si="80"/>
        <v>EMSG:NNAEMEKA OKPALASTRACE:gw.job.QuoteProcess.requestQuote(QuoteProcess.gs:XXXSTRACERAW:-</v>
      </c>
      <c r="D2579" s="3">
        <f t="shared" si="81"/>
        <v>1</v>
      </c>
    </row>
    <row r="2580" spans="1:4" x14ac:dyDescent="0.35">
      <c r="A2580" t="s">
        <v>2704</v>
      </c>
      <c r="B2580">
        <v>1</v>
      </c>
      <c r="C2580" t="str">
        <f t="shared" si="80"/>
        <v>EMSG:Neil FritschSTRACE:com.farmers.config.pa.validator.BrightlineValidator.validateQuoteBrightlineRules(BrightlineValidator.gs:XXXSTRACERAW:-</v>
      </c>
      <c r="D2580" s="3">
        <f t="shared" si="81"/>
        <v>1</v>
      </c>
    </row>
    <row r="2581" spans="1:4" x14ac:dyDescent="0.35">
      <c r="A2581" t="s">
        <v>2705</v>
      </c>
      <c r="B2581">
        <v>1</v>
      </c>
      <c r="C2581" t="str">
        <f t="shared" si="80"/>
        <v>EMSG:Neil FritschSTRACE:gw.job.QuoteProcess.requestQuote(QuoteProcess.gs:XXXSTRACERAW:-</v>
      </c>
      <c r="D2581" s="3">
        <f t="shared" si="81"/>
        <v>1</v>
      </c>
    </row>
    <row r="2582" spans="1:4" x14ac:dyDescent="0.35">
      <c r="A2582" t="s">
        <v>2706</v>
      </c>
      <c r="B2582">
        <v>1</v>
      </c>
      <c r="C2582" t="str">
        <f t="shared" si="80"/>
        <v>EMSG:Nikhil GoyalSTRACE:com.farmers.config.pa.validator.BrightlineValidator.validateQuoteBrightlineRules(BrightlineValidator.gs:XXXSTRACERAW:-</v>
      </c>
      <c r="D2582" s="3">
        <f t="shared" si="81"/>
        <v>1</v>
      </c>
    </row>
    <row r="2583" spans="1:4" x14ac:dyDescent="0.35">
      <c r="A2583" t="s">
        <v>2707</v>
      </c>
      <c r="B2583">
        <v>1</v>
      </c>
      <c r="C2583" t="str">
        <f t="shared" si="80"/>
        <v>EMSG:Nikhil GoyalSTRACE:gw.job.QuoteProcess.requestQuote(QuoteProcess.gs:XXXSTRACERAW:-</v>
      </c>
      <c r="D2583" s="3">
        <f t="shared" si="81"/>
        <v>1</v>
      </c>
    </row>
    <row r="2584" spans="1:4" x14ac:dyDescent="0.35">
      <c r="A2584" t="s">
        <v>2708</v>
      </c>
      <c r="B2584">
        <v>1</v>
      </c>
      <c r="C2584" t="str">
        <f t="shared" si="80"/>
        <v>EMSG:One of the call to the exernal services has failedSTRACE:com.farmers.config.pa.adpf.ParallelServiceExecutor.parallelExecutor(ParallelServiceExecutor.gs:XXXSTRACERAW:-</v>
      </c>
      <c r="D2584" s="3">
        <f t="shared" si="81"/>
        <v>1</v>
      </c>
    </row>
    <row r="2585" spans="1:4" x14ac:dyDescent="0.35">
      <c r="A2585" t="s">
        <v>1017</v>
      </c>
      <c r="B2585">
        <v>1</v>
      </c>
      <c r="C2585" t="str">
        <f t="shared" si="80"/>
        <v>EMSG:One or more null constraint violations detected for HomeownersLine_HOESTRACE:deployment.pc.war//com.guidewire.pl.system.database.entitywriter.DatabaseEntityWriterImpl.checkForNullConstraintViolation(DatabaseEntityWriterImpl.java:XXXSTRACERAW:-</v>
      </c>
      <c r="D2585" s="3">
        <f t="shared" si="81"/>
        <v>1</v>
      </c>
    </row>
    <row r="2586" spans="1:4" x14ac:dyDescent="0.35">
      <c r="A2586" t="s">
        <v>949</v>
      </c>
      <c r="B2586">
        <v>1</v>
      </c>
      <c r="C2586" t="str">
        <f t="shared" si="80"/>
        <v>EMSG:One or more null constraint violations detected for PAVehicleModifierSTRACE:deployment.pc.war//com.guidewire.pl.system.database.entitywriter.DatabaseEntityWriterImpl.checkForNullConstraintViolation(DatabaseEntityWriterImpl.java:XXXSTRACERAW:-</v>
      </c>
      <c r="D2586" s="3">
        <f t="shared" si="81"/>
        <v>1</v>
      </c>
    </row>
    <row r="2587" spans="1:4" x14ac:dyDescent="0.35">
      <c r="A2587" t="s">
        <v>2709</v>
      </c>
      <c r="B2587">
        <v>1</v>
      </c>
      <c r="C2587" t="str">
        <f t="shared" si="80"/>
        <v>EMSG:One or more null constraint violations detected for PolicyAddlNamedInsuredSTRACE:deployment.pc.war//com.guidewire.pl.system.database.entitywriter.DatabaseEntityWriterImpl.checkForNullConstraintViolation(DatabaseEntityWriterImpl.java:XXXSTRACERAW:-</v>
      </c>
      <c r="D2587" s="3">
        <f t="shared" si="81"/>
        <v>1</v>
      </c>
    </row>
    <row r="2588" spans="1:4" x14ac:dyDescent="0.35">
      <c r="A2588" t="s">
        <v>2710</v>
      </c>
      <c r="B2588">
        <v>1</v>
      </c>
      <c r="C2588" t="str">
        <f t="shared" si="80"/>
        <v>EMSG:One or more null constraint violations detected for PolicyAddressSTRACE:deployment.pc.war//com.guidewire.pl.system.database.entitywriter.DatabaseEntityWriterImpl.checkForNullConstraintViolation(DatabaseEntityWriterImpl.java:XXXSTRACERAW:-</v>
      </c>
      <c r="D2588" s="3">
        <f t="shared" si="81"/>
        <v>1</v>
      </c>
    </row>
    <row r="2589" spans="1:4" x14ac:dyDescent="0.35">
      <c r="A2589" t="s">
        <v>1110</v>
      </c>
      <c r="B2589">
        <v>1</v>
      </c>
      <c r="C2589" t="str">
        <f t="shared" si="80"/>
        <v>EMSG:One or more null constraint violations detected for PolicySecNamedInsuredSTRACE:deployment.pc.war//com.guidewire.pl.system.database.entitywriter.DatabaseEntityWriterImpl.checkForNullConstraintViolation(DatabaseEntityWriterImpl.java:XXXSTRACERAW:-</v>
      </c>
      <c r="D2589" s="3">
        <f t="shared" si="81"/>
        <v>1</v>
      </c>
    </row>
    <row r="2590" spans="1:4" x14ac:dyDescent="0.35">
      <c r="A2590" t="s">
        <v>2711</v>
      </c>
      <c r="B2590">
        <v>1</v>
      </c>
      <c r="C2590" t="str">
        <f t="shared" si="80"/>
        <v>EMSG:PARHAM SINAI is already a Household Member.STRACE:deployment.pc.war//com.guidewire.pc.domain.policy.period.impl.PolicyPeriodImpl.checkAccountContactIsNotAlreadyAPolicyContactRoleOfType(PolicyPeriodImpl.java:XXXSTRACERAW:-</v>
      </c>
      <c r="D2590" s="3">
        <f t="shared" si="81"/>
        <v>1</v>
      </c>
    </row>
    <row r="2591" spans="1:4" x14ac:dyDescent="0.35">
      <c r="A2591" t="s">
        <v>2712</v>
      </c>
      <c r="B2591">
        <v>1</v>
      </c>
      <c r="C2591" t="str">
        <f t="shared" si="80"/>
        <v>EMSG:PIA C CROSBY is already a Household Member.STRACE:deployment.pc.war//com.guidewire.pc.domain.policy.period.impl.PolicyPeriodImpl.checkAccountContactIsNotAlreadyAPolicyContactRoleOfType(PolicyPeriodImpl.java:XXXSTRACERAW:-</v>
      </c>
      <c r="D2591" s="3">
        <f t="shared" si="81"/>
        <v>1</v>
      </c>
    </row>
    <row r="2592" spans="1:4" x14ac:dyDescent="0.35">
      <c r="A2592" t="s">
        <v>2713</v>
      </c>
      <c r="B2592">
        <v>1</v>
      </c>
      <c r="C2592" t="str">
        <f t="shared" si="80"/>
        <v>EMSG:Paulo GarciaSTRACE:com.farmers.config.pa.validator.BrightlineValidator.validateQuoteBrightlineRules(BrightlineValidator.gs:XXXSTRACERAW:-</v>
      </c>
      <c r="D2592" s="3">
        <f t="shared" si="81"/>
        <v>1</v>
      </c>
    </row>
    <row r="2593" spans="1:4" x14ac:dyDescent="0.35">
      <c r="A2593" t="s">
        <v>2714</v>
      </c>
      <c r="B2593">
        <v>1</v>
      </c>
      <c r="C2593" t="str">
        <f t="shared" si="80"/>
        <v>EMSG:Paulo GarciaSTRACE:gw.job.QuoteProcess.requestQuote(QuoteProcess.gs:XXXSTRACERAW:-</v>
      </c>
      <c r="D2593" s="3">
        <f t="shared" si="81"/>
        <v>1</v>
      </c>
    </row>
    <row r="2594" spans="1:4" x14ac:dyDescent="0.35">
      <c r="A2594" t="s">
        <v>2715</v>
      </c>
      <c r="B2594">
        <v>1</v>
      </c>
      <c r="C2594" t="str">
        <f t="shared" si="80"/>
        <v>EMSG:PeriodAnswer with FixedID:XXX and window XXXSTRACE:deployment.pc.war//com.guidewire.pl.system.entity.proxy.EffDatedVersionListImpl.lambda$isNonOverlapping$XXX(EffDatedVersionListImpl.java:XXXSTRACERAW:-</v>
      </c>
      <c r="D2594" s="3">
        <f t="shared" si="81"/>
        <v>1</v>
      </c>
    </row>
    <row r="2595" spans="1:4" x14ac:dyDescent="0.35">
      <c r="A2595" t="s">
        <v>2716</v>
      </c>
      <c r="B2595">
        <v>1</v>
      </c>
      <c r="C2595" t="str">
        <f t="shared" si="80"/>
        <v>EMSG:Peter RomeroSTRACE:com.farmers.config.pa.validator.BrightlineValidator.validateQuoteBrightlineRules(BrightlineValidator.gs:XXXSTRACERAW:-</v>
      </c>
      <c r="D2595" s="3">
        <f t="shared" si="81"/>
        <v>1</v>
      </c>
    </row>
    <row r="2596" spans="1:4" x14ac:dyDescent="0.35">
      <c r="A2596" t="s">
        <v>2717</v>
      </c>
      <c r="B2596">
        <v>1</v>
      </c>
      <c r="C2596" t="str">
        <f t="shared" si="80"/>
        <v>EMSG:Peter RomeroSTRACE:gw.job.QuoteProcess.requestQuote(QuoteProcess.gs:XXXSTRACERAW:-</v>
      </c>
      <c r="D2596" s="3">
        <f t="shared" si="81"/>
        <v>1</v>
      </c>
    </row>
    <row r="2597" spans="1:4" x14ac:dyDescent="0.35">
      <c r="A2597" t="s">
        <v>1031</v>
      </c>
      <c r="B2597">
        <v>1</v>
      </c>
      <c r="C2597" t="str">
        <f t="shared" si="80"/>
        <v>EMSG:Policy is not eligible for new Auto Product as driver(s) did not receive a valid Motor Vehicle Record. Drivers without a valid Motor Vehicle Record may be excluded by request in CO.STRACE:gw.job.QuoteProcess.requestQuote(QuoteProcess.gs:XXXSTRACERAW:</v>
      </c>
      <c r="D2597" s="3">
        <f t="shared" si="81"/>
        <v>1</v>
      </c>
    </row>
    <row r="2598" spans="1:4" x14ac:dyDescent="0.35">
      <c r="A2598" t="s">
        <v>2718</v>
      </c>
      <c r="B2598">
        <v>1</v>
      </c>
      <c r="C2598" t="str">
        <f t="shared" si="80"/>
        <v>EMSG:Policy is not eligible for new Auto Product due to driver with a foreign driverâ€™s license. Drivers with a foreign driverâ€™s license may be excluded by request in CO.STRACE:com.farmers.config.pa.validator.BrightlineValidator.validateQuoteBrightline</v>
      </c>
      <c r="D2598" s="3">
        <f t="shared" si="81"/>
        <v>1</v>
      </c>
    </row>
    <row r="2599" spans="1:4" x14ac:dyDescent="0.35">
      <c r="A2599" t="s">
        <v>2719</v>
      </c>
      <c r="B2599">
        <v>1</v>
      </c>
      <c r="C2599" t="str">
        <f t="shared" si="80"/>
        <v>EMSG:Policy not found for STRACE:com.farmers.edge.capabilities.policy.lob.personalauto.eligibility.plugins.PAEligibilityServicePlugin.checkCustomerPolicyChangeEligibility(PAEligibilityServicePlugin.gs:XXXSTRACERAW:-</v>
      </c>
      <c r="D2599" s="3">
        <f t="shared" si="81"/>
        <v>1</v>
      </c>
    </row>
    <row r="2600" spans="1:4" x14ac:dyDescent="0.35">
      <c r="A2600" t="s">
        <v>2720</v>
      </c>
      <c r="B2600">
        <v>1</v>
      </c>
      <c r="C2600" t="str">
        <f t="shared" si="80"/>
        <v>EMSG:RENE GARCIASTRACE:com.farmers.config.pa.validator.BrightlineValidator.validateQuoteBrightlineRules(BrightlineValidator.gs:XXXSTRACERAW:-</v>
      </c>
      <c r="D2600" s="3">
        <f t="shared" si="81"/>
        <v>1</v>
      </c>
    </row>
    <row r="2601" spans="1:4" x14ac:dyDescent="0.35">
      <c r="A2601" t="s">
        <v>2721</v>
      </c>
      <c r="B2601">
        <v>1</v>
      </c>
      <c r="C2601" t="str">
        <f t="shared" si="80"/>
        <v>EMSG:RHONDA WAGONERSTRACE:com.farmers.config.pa.validator.BrightlineValidator.validateQuoteBrightlineRules(BrightlineValidator.gs:XXXSTRACERAW:-</v>
      </c>
      <c r="D2601" s="3">
        <f t="shared" si="81"/>
        <v>1</v>
      </c>
    </row>
    <row r="2602" spans="1:4" x14ac:dyDescent="0.35">
      <c r="A2602" t="s">
        <v>2722</v>
      </c>
      <c r="B2602">
        <v>1</v>
      </c>
      <c r="C2602" t="str">
        <f t="shared" si="80"/>
        <v>EMSG:Rebekah SmettersSTRACE:com.farmers.config.pa.validator.BrightlineValidator.validateQuoteBrightlineRules(BrightlineValidator.gs:XXXSTRACERAW:-</v>
      </c>
      <c r="D2602" s="3">
        <f t="shared" si="81"/>
        <v>1</v>
      </c>
    </row>
    <row r="2603" spans="1:4" x14ac:dyDescent="0.35">
      <c r="A2603" t="s">
        <v>2723</v>
      </c>
      <c r="B2603">
        <v>1</v>
      </c>
      <c r="C2603" t="str">
        <f t="shared" si="80"/>
        <v>EMSG:Rebekah SmettersSTRACE:gw.job.QuoteProcess.requestQuote(QuoteProcess.gs:XXXSTRACERAW:-</v>
      </c>
      <c r="D2603" s="3">
        <f t="shared" si="81"/>
        <v>1</v>
      </c>
    </row>
    <row r="2604" spans="1:4" x14ac:dyDescent="0.35">
      <c r="A2604" t="s">
        <v>2724</v>
      </c>
      <c r="B2604">
        <v>1</v>
      </c>
      <c r="C2604" t="str">
        <f t="shared" si="80"/>
        <v>EMSG:Reiley Ann Collier is already a Household Member.STRACE:deployment.pc.war//com.guidewire.pc.domain.policy.period.impl.PolicyPeriodImpl.checkAccountContactIsNotAlreadyAPolicyContactRoleOfType(PolicyPeriodImpl.java:XXXSTRACERAW:-</v>
      </c>
      <c r="D2604" s="3">
        <f t="shared" si="81"/>
        <v>1</v>
      </c>
    </row>
    <row r="2605" spans="1:4" x14ac:dyDescent="0.35">
      <c r="A2605" t="s">
        <v>2725</v>
      </c>
      <c r="B2605">
        <v>1</v>
      </c>
      <c r="C2605" t="str">
        <f t="shared" si="80"/>
        <v>EMSG:Remove Donovan Hailstone in order to add the contact as a driverSTRACE:edge.capabilities.policychange.lob.personalauto.coverables.DefaultPaCoverablePlugin.updateCoverables(DefaultPaCoverablePlugin.gs:XXXSTRACERAW:-</v>
      </c>
      <c r="D2605" s="3">
        <f t="shared" si="81"/>
        <v>1</v>
      </c>
    </row>
    <row r="2606" spans="1:4" x14ac:dyDescent="0.35">
      <c r="A2606" t="s">
        <v>2726</v>
      </c>
      <c r="B2606">
        <v>1</v>
      </c>
      <c r="C2606" t="str">
        <f t="shared" si="80"/>
        <v>EMSG:Remove Prior Auto Flex  Policy # as prior policy is out of force for more than XXX days.STRACE:com.farmers.config.decliningdeductible.PAFlexDecliningDeductibleHelper.validateErrorMessages(PAFlexDecliningDeductibleHelper.gs:XXXSTRACERAW:-</v>
      </c>
      <c r="D2606" s="3">
        <f t="shared" si="81"/>
        <v>1</v>
      </c>
    </row>
    <row r="2607" spans="1:4" x14ac:dyDescent="0.35">
      <c r="A2607" t="s">
        <v>2727</v>
      </c>
      <c r="B2607">
        <v>1</v>
      </c>
      <c r="C2607" t="str">
        <f t="shared" si="80"/>
        <v>EMSG:Remove William Swett in order to add the contact as a driverSTRACE:edge.capabilities.policychange.lob.personalauto.coverables.DefaultPaCoverablePlugin.updateCoverables(DefaultPaCoverablePlugin.gs:XXXSTRACERAW:-</v>
      </c>
      <c r="D2607" s="3">
        <f t="shared" si="81"/>
        <v>1</v>
      </c>
    </row>
    <row r="2608" spans="1:4" x14ac:dyDescent="0.35">
      <c r="A2608" t="s">
        <v>2728</v>
      </c>
      <c r="B2608">
        <v>1</v>
      </c>
      <c r="C2608" t="str">
        <f t="shared" si="80"/>
        <v>EMSG:Remove duplicate driver Brenda Thomas. Two or more non-drivers with the same information exist.STRACE:edge.capabilities.policychange.lob.personalauto.coverables.DefaultPaCoverablePlugin.updateCoverables(DefaultPaCoverablePlugin.gs:XXXSTRACERAW:-</v>
      </c>
      <c r="D2608" s="3">
        <f t="shared" si="81"/>
        <v>1</v>
      </c>
    </row>
    <row r="2609" spans="1:4" x14ac:dyDescent="0.35">
      <c r="A2609" t="s">
        <v>2729</v>
      </c>
      <c r="B2609">
        <v>1</v>
      </c>
      <c r="C2609" t="str">
        <f t="shared" si="80"/>
        <v>EMSG:Remove duplicate driver Bryan Bright. Two or more non-drivers with the same information exist.STRACE:edge.capabilities.policychange.lob.personalauto.coverables.DefaultPaCoverablePlugin.updateCoverables(DefaultPaCoverablePlugin.gs:XXXSTRACERAW:-</v>
      </c>
      <c r="D2609" s="3">
        <f t="shared" si="81"/>
        <v>1</v>
      </c>
    </row>
    <row r="2610" spans="1:4" x14ac:dyDescent="0.35">
      <c r="A2610" t="s">
        <v>2730</v>
      </c>
      <c r="B2610">
        <v>1</v>
      </c>
      <c r="C2610" t="str">
        <f t="shared" si="80"/>
        <v>EMSG:Remove duplicate driver Charles Zhou. Two or more drivers with the same information exist.STRACE:edge.capabilities.policychange.lob.personalauto.coverables.DefaultPaCoverablePlugin.updateCoverables(DefaultPaCoverablePlugin.gs:XXXSTRACERAW:-</v>
      </c>
      <c r="D2610" s="3">
        <f t="shared" si="81"/>
        <v>1</v>
      </c>
    </row>
    <row r="2611" spans="1:4" x14ac:dyDescent="0.35">
      <c r="A2611" t="s">
        <v>2731</v>
      </c>
      <c r="B2611">
        <v>1</v>
      </c>
      <c r="C2611" t="str">
        <f t="shared" si="80"/>
        <v>EMSG:Remove duplicate driver Cristian Amaya Vasquez. Two or more non-drivers with the same information exist.STRACE:edge.capabilities.policychange.lob.personalauto.coverables.DefaultPaCoverablePlugin.updateCoverables(DefaultPaCoverablePlugin.gs:XXXSTRACER</v>
      </c>
      <c r="D2611" s="3">
        <f t="shared" si="81"/>
        <v>1</v>
      </c>
    </row>
    <row r="2612" spans="1:4" x14ac:dyDescent="0.35">
      <c r="A2612" t="s">
        <v>2732</v>
      </c>
      <c r="B2612">
        <v>1</v>
      </c>
      <c r="C2612" t="str">
        <f t="shared" si="80"/>
        <v>EMSG:Remove duplicate driver Fidel Sedano Grajeda. Two or more non-drivers with the same information exist.STRACE:edge.capabilities.policychange.lob.personalauto.coverables.DefaultPaCoverablePlugin.updateCoverables(DefaultPaCoverablePlugin.gs:XXXSTRACERAW</v>
      </c>
      <c r="D2612" s="3">
        <f t="shared" si="81"/>
        <v>1</v>
      </c>
    </row>
    <row r="2613" spans="1:4" x14ac:dyDescent="0.35">
      <c r="A2613" t="s">
        <v>2733</v>
      </c>
      <c r="B2613">
        <v>1</v>
      </c>
      <c r="C2613" t="str">
        <f t="shared" si="80"/>
        <v>EMSG:Remove duplicate driver Gustavo Tarin Vasquez. Two or more drivers with the same information exist.STRACE:edge.capabilities.policychange.lob.personalauto.coverables.DefaultPaCoverablePlugin.updateCoverables(DefaultPaCoverablePlugin.gs:XXXSTRACERAW:-</v>
      </c>
      <c r="D2613" s="3">
        <f t="shared" si="81"/>
        <v>1</v>
      </c>
    </row>
    <row r="2614" spans="1:4" x14ac:dyDescent="0.35">
      <c r="A2614" t="s">
        <v>2734</v>
      </c>
      <c r="B2614">
        <v>1</v>
      </c>
      <c r="C2614" t="str">
        <f t="shared" si="80"/>
        <v>EMSG:Remove duplicate driver Travis Nelson. Two or more drivers with the same information exist.STRACE:edge.capabilities.policychange.lob.personalauto.coverables.DefaultPaCoverablePlugin.updateCoverables(DefaultPaCoverablePlugin.gs:XXXSTRACERAW:-</v>
      </c>
      <c r="D2614" s="3">
        <f t="shared" si="81"/>
        <v>1</v>
      </c>
    </row>
    <row r="2615" spans="1:4" x14ac:dyDescent="0.35">
      <c r="A2615" t="s">
        <v>2735</v>
      </c>
      <c r="B2615">
        <v>1</v>
      </c>
      <c r="C2615" t="str">
        <f t="shared" si="80"/>
        <v>EMSG:Remove duplicate driver Wesley Ching. Two or more non-drivers with the same information exist.STRACE:edge.capabilities.policychange.lob.personalauto.coverables.DefaultPaCoverablePlugin.updateCoverables(DefaultPaCoverablePlugin.gs:XXXSTRACERAW:-</v>
      </c>
      <c r="D2615" s="3">
        <f t="shared" si="81"/>
        <v>1</v>
      </c>
    </row>
    <row r="2616" spans="1:4" x14ac:dyDescent="0.35">
      <c r="A2616" t="s">
        <v>2736</v>
      </c>
      <c r="B2616">
        <v>1</v>
      </c>
      <c r="C2616" t="str">
        <f t="shared" si="80"/>
        <v>EMSG:Renee EldridgeSTRACE:com.farmers.config.pa.validator.BrightlineValidator.validateQuoteBrightlineRules(BrightlineValidator.gs:XXXSTRACERAW:-</v>
      </c>
      <c r="D2616" s="3">
        <f t="shared" si="81"/>
        <v>1</v>
      </c>
    </row>
    <row r="2617" spans="1:4" x14ac:dyDescent="0.35">
      <c r="A2617" t="s">
        <v>2737</v>
      </c>
      <c r="B2617">
        <v>1</v>
      </c>
      <c r="C2617" t="str">
        <f t="shared" si="80"/>
        <v>EMSG:Renee EldridgeSTRACE:gw.job.QuoteProcess.requestQuote(QuoteProcess.gs:XXXSTRACERAW:-</v>
      </c>
      <c r="D2617" s="3">
        <f t="shared" si="81"/>
        <v>1</v>
      </c>
    </row>
    <row r="2618" spans="1:4" x14ac:dyDescent="0.35">
      <c r="A2618" t="s">
        <v>2738</v>
      </c>
      <c r="B2618">
        <v>1</v>
      </c>
      <c r="C2618" t="str">
        <f t="shared" si="80"/>
        <v>EMSG:Rex DelgadoSTRACE:com.farmers.config.pa.validator.BrightlineValidator.validateQuoteBrightlineRules(BrightlineValidator.gs:XXXSTRACERAW:-</v>
      </c>
      <c r="D2618" s="3">
        <f t="shared" si="81"/>
        <v>1</v>
      </c>
    </row>
    <row r="2619" spans="1:4" x14ac:dyDescent="0.35">
      <c r="A2619" t="s">
        <v>2739</v>
      </c>
      <c r="B2619">
        <v>1</v>
      </c>
      <c r="C2619" t="str">
        <f t="shared" si="80"/>
        <v>EMSG:Rex DelgadoSTRACE:gw.job.QuoteProcess.requestQuote(QuoteProcess.gs:XXXSTRACERAW:-</v>
      </c>
      <c r="D2619" s="3">
        <f t="shared" si="81"/>
        <v>1</v>
      </c>
    </row>
    <row r="2620" spans="1:4" x14ac:dyDescent="0.35">
      <c r="A2620" t="s">
        <v>2740</v>
      </c>
      <c r="B2620">
        <v>1</v>
      </c>
      <c r="C2620" t="str">
        <f t="shared" si="80"/>
        <v>EMSG:Ricky LuceroSTRACE:com.farmers.config.pa.validator.BrightlineValidator.validateQuoteBrightlineRules(BrightlineValidator.gs:XXXSTRACERAW:-</v>
      </c>
      <c r="D2620" s="3">
        <f t="shared" si="81"/>
        <v>1</v>
      </c>
    </row>
    <row r="2621" spans="1:4" x14ac:dyDescent="0.35">
      <c r="A2621" t="s">
        <v>2741</v>
      </c>
      <c r="B2621">
        <v>1</v>
      </c>
      <c r="C2621" t="str">
        <f t="shared" si="80"/>
        <v>EMSG:Ricky LuceroSTRACE:gw.job.QuoteProcess.requestQuote(QuoteProcess.gs:XXXSTRACERAW:-</v>
      </c>
      <c r="D2621" s="3">
        <f t="shared" si="81"/>
        <v>1</v>
      </c>
    </row>
    <row r="2622" spans="1:4" x14ac:dyDescent="0.35">
      <c r="A2622" t="s">
        <v>2742</v>
      </c>
      <c r="B2622">
        <v>1</v>
      </c>
      <c r="C2622" t="str">
        <f t="shared" si="80"/>
        <v>EMSG:Ronald RichardsonSTRACE:com.farmers.config.pa.validator.BrightlineValidator.validateQuoteBrightlineRules(BrightlineValidator.gs:XXXSTRACERAW:-</v>
      </c>
      <c r="D2622" s="3">
        <f t="shared" si="81"/>
        <v>1</v>
      </c>
    </row>
    <row r="2623" spans="1:4" x14ac:dyDescent="0.35">
      <c r="A2623" t="s">
        <v>2743</v>
      </c>
      <c r="B2623">
        <v>1</v>
      </c>
      <c r="C2623" t="str">
        <f t="shared" si="80"/>
        <v>EMSG:Ronald RichardsonSTRACE:gw.job.QuoteProcess.requestQuote(QuoteProcess.gs:XXXSTRACERAW:-</v>
      </c>
      <c r="D2623" s="3">
        <f t="shared" si="81"/>
        <v>1</v>
      </c>
    </row>
    <row r="2624" spans="1:4" x14ac:dyDescent="0.35">
      <c r="A2624" t="s">
        <v>2744</v>
      </c>
      <c r="B2624">
        <v>1</v>
      </c>
      <c r="C2624" t="str">
        <f t="shared" si="80"/>
        <v>EMSG:Ronnie StallworthSTRACE:com.farmers.config.pa.validator.BrightlineValidator.validateQuoteBrightlineRules(BrightlineValidator.gs:XXXSTRACERAW:-</v>
      </c>
      <c r="D2624" s="3">
        <f t="shared" si="81"/>
        <v>1</v>
      </c>
    </row>
    <row r="2625" spans="1:4" x14ac:dyDescent="0.35">
      <c r="A2625" t="s">
        <v>2745</v>
      </c>
      <c r="B2625">
        <v>1</v>
      </c>
      <c r="C2625" t="str">
        <f t="shared" si="80"/>
        <v>EMSG:Ronnie StallworthSTRACE:gw.job.QuoteProcess.requestQuote(QuoteProcess.gs:XXXSTRACERAW:-</v>
      </c>
      <c r="D2625" s="3">
        <f t="shared" si="81"/>
        <v>1</v>
      </c>
    </row>
    <row r="2626" spans="1:4" x14ac:dyDescent="0.35">
      <c r="A2626" t="s">
        <v>2746</v>
      </c>
      <c r="B2626">
        <v>1</v>
      </c>
      <c r="C2626" t="str">
        <f t="shared" si="80"/>
        <v>EMSG:Ruth IrelandSTRACE:com.farmers.config.pa.validator.BrightlineValidator.validateQuoteBrightlineRules(BrightlineValidator.gs:XXXSTRACERAW:-</v>
      </c>
      <c r="D2626" s="3">
        <f t="shared" si="81"/>
        <v>1</v>
      </c>
    </row>
    <row r="2627" spans="1:4" x14ac:dyDescent="0.35">
      <c r="A2627" t="s">
        <v>2747</v>
      </c>
      <c r="B2627">
        <v>1</v>
      </c>
      <c r="C2627" t="str">
        <f t="shared" ref="C2627:C2690" si="82">LEFT(A2627,255)</f>
        <v>EMSG:Ruth IrelandSTRACE:gw.job.QuoteProcess.requestQuote(QuoteProcess.gs:XXXSTRACERAW:-</v>
      </c>
      <c r="D2627" s="3">
        <f t="shared" ref="D2627:D2690" si="83">IF(AND((B2627/10)&lt;1,(B2627/10)&gt;0),1,(B2627/10)*130%)</f>
        <v>1</v>
      </c>
    </row>
    <row r="2628" spans="1:4" x14ac:dyDescent="0.35">
      <c r="A2628" t="s">
        <v>2748</v>
      </c>
      <c r="B2628">
        <v>1</v>
      </c>
      <c r="C2628" t="str">
        <f t="shared" si="82"/>
        <v>EMSG:SCOTT MAGRUDERSTRACE:com.farmers.config.pa.validator.BrightlineValidator.validateQuoteBrightlineRules(BrightlineValidator.gs:XXXSTRACERAW:-</v>
      </c>
      <c r="D2628" s="3">
        <f t="shared" si="83"/>
        <v>1</v>
      </c>
    </row>
    <row r="2629" spans="1:4" x14ac:dyDescent="0.35">
      <c r="A2629" t="s">
        <v>2749</v>
      </c>
      <c r="B2629">
        <v>1</v>
      </c>
      <c r="C2629" t="str">
        <f t="shared" si="82"/>
        <v>EMSG:SCOTT MAGRUDERSTRACE:gw.job.QuoteProcess.requestQuote(QuoteProcess.gs:XXXSTRACERAW:-</v>
      </c>
      <c r="D2629" s="3">
        <f t="shared" si="83"/>
        <v>1</v>
      </c>
    </row>
    <row r="2630" spans="1:4" x14ac:dyDescent="0.35">
      <c r="A2630" t="s">
        <v>2750</v>
      </c>
      <c r="B2630">
        <v>1</v>
      </c>
      <c r="C2630" t="str">
        <f t="shared" si="82"/>
        <v>EMSG:SHERLY HUYNHSTRACE:com.farmers.config.pa.validator.BrightlineValidator.validateQuoteBrightlineRules(BrightlineValidator.gs:XXXSTRACERAW:-</v>
      </c>
      <c r="D2630" s="3">
        <f t="shared" si="83"/>
        <v>1</v>
      </c>
    </row>
    <row r="2631" spans="1:4" x14ac:dyDescent="0.35">
      <c r="A2631" t="s">
        <v>2751</v>
      </c>
      <c r="B2631">
        <v>1</v>
      </c>
      <c r="C2631" t="str">
        <f t="shared" si="82"/>
        <v>EMSG:SHONTARIA RANDLESSTRACE:com.farmers.config.pa.validator.BrightlineValidator.validateQuoteBrightlineRules(BrightlineValidator.gs:XXXSTRACERAW:-</v>
      </c>
      <c r="D2631" s="3">
        <f t="shared" si="83"/>
        <v>1</v>
      </c>
    </row>
    <row r="2632" spans="1:4" x14ac:dyDescent="0.35">
      <c r="A2632" t="s">
        <v>2752</v>
      </c>
      <c r="B2632">
        <v>1</v>
      </c>
      <c r="C2632" t="str">
        <f t="shared" si="82"/>
        <v>EMSG:SUJANA KADIYALASTRACE:com.farmers.config.pa.validator.BrightlineValidator.validateQuoteBrightlineRules(BrightlineValidator.gs:XXXSTRACERAW:-</v>
      </c>
      <c r="D2632" s="3">
        <f t="shared" si="83"/>
        <v>1</v>
      </c>
    </row>
    <row r="2633" spans="1:4" x14ac:dyDescent="0.35">
      <c r="A2633" t="s">
        <v>2753</v>
      </c>
      <c r="B2633">
        <v>1</v>
      </c>
      <c r="C2633" t="str">
        <f t="shared" si="82"/>
        <v>EMSG:SUJANA KADIYALASTRACE:gw.job.QuoteProcess.requestQuote(QuoteProcess.gs:XXXSTRACERAW:-</v>
      </c>
      <c r="D2633" s="3">
        <f t="shared" si="83"/>
        <v>1</v>
      </c>
    </row>
    <row r="2634" spans="1:4" x14ac:dyDescent="0.35">
      <c r="A2634" t="s">
        <v>2754</v>
      </c>
      <c r="B2634">
        <v>1</v>
      </c>
      <c r="C2634" t="str">
        <f t="shared" si="82"/>
        <v>EMSG:SUZANNE BRINKMANNSTRACE:com.farmers.config.pa.validator.BrightlineValidator.validateQuoteBrightlineRules(BrightlineValidator.gs:XXXSTRACERAW:-</v>
      </c>
      <c r="D2634" s="3">
        <f t="shared" si="83"/>
        <v>1</v>
      </c>
    </row>
    <row r="2635" spans="1:4" x14ac:dyDescent="0.35">
      <c r="A2635" t="s">
        <v>2755</v>
      </c>
      <c r="B2635">
        <v>1</v>
      </c>
      <c r="C2635" t="str">
        <f t="shared" si="82"/>
        <v>EMSG:Samantha JaimeSTRACE:com.farmers.config.pa.validator.BrightlineValidator.validateQuoteBrightlineRules(BrightlineValidator.gs:XXXSTRACERAW:-</v>
      </c>
      <c r="D2635" s="3">
        <f t="shared" si="83"/>
        <v>1</v>
      </c>
    </row>
    <row r="2636" spans="1:4" x14ac:dyDescent="0.35">
      <c r="A2636" t="s">
        <v>2756</v>
      </c>
      <c r="B2636">
        <v>1</v>
      </c>
      <c r="C2636" t="str">
        <f t="shared" si="82"/>
        <v>EMSG:Samantha JaimeSTRACE:gw.job.QuoteProcess.requestQuote(QuoteProcess.gs:XXXSTRACERAW:-</v>
      </c>
      <c r="D2636" s="3">
        <f t="shared" si="83"/>
        <v>1</v>
      </c>
    </row>
    <row r="2637" spans="1:4" x14ac:dyDescent="0.35">
      <c r="A2637" t="s">
        <v>2757</v>
      </c>
      <c r="B2637">
        <v>1</v>
      </c>
      <c r="C2637" t="str">
        <f t="shared" si="82"/>
        <v>EMSG:Shamael HarrisSTRACE:com.farmers.config.pa.validator.BrightlineValidator.validateQuoteBrightlineRules(BrightlineValidator.gs:XXXSTRACERAW:-</v>
      </c>
      <c r="D2637" s="3">
        <f t="shared" si="83"/>
        <v>1</v>
      </c>
    </row>
    <row r="2638" spans="1:4" x14ac:dyDescent="0.35">
      <c r="A2638" t="s">
        <v>2758</v>
      </c>
      <c r="B2638">
        <v>1</v>
      </c>
      <c r="C2638" t="str">
        <f t="shared" si="82"/>
        <v>EMSG:Shamael HarrisSTRACE:gw.job.QuoteProcess.requestQuote(QuoteProcess.gs:XXXSTRACERAW:-</v>
      </c>
      <c r="D2638" s="3">
        <f t="shared" si="83"/>
        <v>1</v>
      </c>
    </row>
    <row r="2639" spans="1:4" x14ac:dyDescent="0.35">
      <c r="A2639" t="s">
        <v>2759</v>
      </c>
      <c r="B2639">
        <v>1</v>
      </c>
      <c r="C2639" t="str">
        <f t="shared" si="82"/>
        <v>EMSG:Sidney DaugaardSTRACE:com.farmers.config.pa.validator.BrightlineValidator.validateQuoteBrightlineRules(BrightlineValidator.gs:XXXSTRACERAW:-</v>
      </c>
      <c r="D2639" s="3">
        <f t="shared" si="83"/>
        <v>1</v>
      </c>
    </row>
    <row r="2640" spans="1:4" x14ac:dyDescent="0.35">
      <c r="A2640" t="s">
        <v>2760</v>
      </c>
      <c r="B2640">
        <v>1</v>
      </c>
      <c r="C2640" t="str">
        <f t="shared" si="82"/>
        <v>EMSG:Sidney DaugaardSTRACE:gw.job.QuoteProcess.requestQuote(QuoteProcess.gs:XXXSTRACERAW:-</v>
      </c>
      <c r="D2640" s="3">
        <f t="shared" si="83"/>
        <v>1</v>
      </c>
    </row>
    <row r="2641" spans="1:4" x14ac:dyDescent="0.35">
      <c r="A2641" t="s">
        <v>2761</v>
      </c>
      <c r="B2641">
        <v>1</v>
      </c>
      <c r="C2641" t="str">
        <f t="shared" si="82"/>
        <v>EMSG:Slice date XXX outside of range XXX for XXX XXX bean of type PolicyDriverSTRACE:deployment.pc.war//com.guidewire.pl.system.entity.proxy.EffDatedBaseProxy.getSliceUntyped(EffDatedBaseProxy.java:XXXSTRACERAW:-</v>
      </c>
      <c r="D2641" s="3">
        <f t="shared" si="83"/>
        <v>1</v>
      </c>
    </row>
    <row r="2642" spans="1:4" ht="29" x14ac:dyDescent="0.35">
      <c r="A2642" s="4" t="s">
        <v>2762</v>
      </c>
      <c r="B2642">
        <v>1</v>
      </c>
      <c r="C2642" t="str">
        <f t="shared" si="82"/>
        <v>EMSG:Slice date XXX outside of range XXX for XXX XXX bean of type PolicyPeriodSTRACE:Aug XXX XXX:XXX:XXX PDT XXX - Mon Feb XXX XXX:XXX:XXX PST XXX] for bean of type PolicyPeriod
	at deployment.pc.war//com.guidewire.pl.system.entity.proxy.EffDatedBaseProxy</v>
      </c>
      <c r="D2642" s="3">
        <f t="shared" si="83"/>
        <v>1</v>
      </c>
    </row>
    <row r="2643" spans="1:4" ht="29" x14ac:dyDescent="0.35">
      <c r="A2643" s="4" t="s">
        <v>2763</v>
      </c>
      <c r="B2643">
        <v>1</v>
      </c>
      <c r="C2643" t="str">
        <f t="shared" si="82"/>
        <v>EMSG:Slice date XXX outside of range XXX for XXX XXX bean of type TerritoryCodeSTRACE:Jan XXX XXX:XXX:XXX PST XXX - Sun Jun XXX XXX:XXX:XXX PDT XXX] for bean of type TerritoryCode
	at deployment.pc.war//com.guidewire.pl.system.entity.proxy.EffDatedBasePro</v>
      </c>
      <c r="D2643" s="3">
        <f t="shared" si="83"/>
        <v>1</v>
      </c>
    </row>
    <row r="2644" spans="1:4" x14ac:dyDescent="0.35">
      <c r="A2644" t="s">
        <v>2764</v>
      </c>
      <c r="B2644">
        <v>1</v>
      </c>
      <c r="C2644" t="str">
        <f t="shared" si="82"/>
        <v>EMSG:Stale Days is not defined in the system tables for state - AlbertaSTRACE:com.farmers.config.common.caching.dao.CustomerDAO.getReportStaleDays(CustomerDAO.gs:XXXSTRACERAW:-</v>
      </c>
      <c r="D2644" s="3">
        <f t="shared" si="83"/>
        <v>1</v>
      </c>
    </row>
    <row r="2645" spans="1:4" x14ac:dyDescent="0.35">
      <c r="A2645" t="s">
        <v>2765</v>
      </c>
      <c r="B2645">
        <v>1</v>
      </c>
      <c r="C2645" t="str">
        <f t="shared" si="82"/>
        <v>EMSG:Stale Days is not defined in the system tables for state - DelawareSTRACE:com.farmers.config.common.caching.dao.CustomerDAO.getReportStaleDays(CustomerDAO.gs:XXXSTRACERAW:-</v>
      </c>
      <c r="D2645" s="3">
        <f t="shared" si="83"/>
        <v>1</v>
      </c>
    </row>
    <row r="2646" spans="1:4" x14ac:dyDescent="0.35">
      <c r="A2646" t="s">
        <v>2766</v>
      </c>
      <c r="B2646">
        <v>1</v>
      </c>
      <c r="C2646" t="str">
        <f t="shared" si="82"/>
        <v>EMSG:Stale Days is not defined in the system tables for state - New YorkSTRACE:com.farmers.config.common.caching.dao.CustomerDAO.getReportStaleDays(CustomerDAO.gs:XXXSTRACERAW:-</v>
      </c>
      <c r="D2646" s="3">
        <f t="shared" si="83"/>
        <v>1</v>
      </c>
    </row>
    <row r="2647" spans="1:4" x14ac:dyDescent="0.35">
      <c r="A2647" t="s">
        <v>2767</v>
      </c>
      <c r="B2647">
        <v>1</v>
      </c>
      <c r="C2647" t="str">
        <f t="shared" si="82"/>
        <v>EMSG:Stale Days is not defined in the system tables for state - OntarioSTRACE:com.farmers.config.common.caching.dao.CustomerDAO.getReportStaleDays(CustomerDAO.gs:XXXSTRACERAW:-</v>
      </c>
      <c r="D2647" s="3">
        <f t="shared" si="83"/>
        <v>1</v>
      </c>
    </row>
    <row r="2648" spans="1:4" x14ac:dyDescent="0.35">
      <c r="A2648" t="s">
        <v>2768</v>
      </c>
      <c r="B2648">
        <v>1</v>
      </c>
      <c r="C2648" t="str">
        <f t="shared" si="82"/>
        <v>EMSG:TERRY HORTMANSTRACE:com.farmers.config.pa.validator.BrightlineValidator.validateQuoteBrightlineRules(BrightlineValidator.gs:XXXSTRACERAW:-</v>
      </c>
      <c r="D2648" s="3">
        <f t="shared" si="83"/>
        <v>1</v>
      </c>
    </row>
    <row r="2649" spans="1:4" x14ac:dyDescent="0.35">
      <c r="A2649" t="s">
        <v>2769</v>
      </c>
      <c r="B2649">
        <v>1</v>
      </c>
      <c r="C2649" t="str">
        <f t="shared" si="82"/>
        <v>EMSG:THEODORA DAVIS- WILLIAMSSTRACE:com.farmers.config.pa.validator.BrightlineValidator.validateQuoteBrightlineRules(BrightlineValidator.gs:XXXSTRACERAW:-</v>
      </c>
      <c r="D2649" s="3">
        <f t="shared" si="83"/>
        <v>1</v>
      </c>
    </row>
    <row r="2650" spans="1:4" x14ac:dyDescent="0.35">
      <c r="A2650" t="s">
        <v>2770</v>
      </c>
      <c r="B2650">
        <v>1</v>
      </c>
      <c r="C2650" t="str">
        <f t="shared" si="82"/>
        <v>EMSG:THEODORA DAVIS- WILLIAMSSTRACE:gw.job.QuoteProcess.requestQuote(QuoteProcess.gs:XXXSTRACERAW:-</v>
      </c>
      <c r="D2650" s="3">
        <f t="shared" si="83"/>
        <v>1</v>
      </c>
    </row>
    <row r="2651" spans="1:4" x14ac:dyDescent="0.35">
      <c r="A2651" t="s">
        <v>2771</v>
      </c>
      <c r="B2651">
        <v>1</v>
      </c>
      <c r="C2651" t="str">
        <f t="shared" si="82"/>
        <v>EMSG:TRIP BREAUXSTRACE:com.farmers.config.pa.validator.BrightlineValidator.validateQuoteBrightlineRules(BrightlineValidator.gs:XXXSTRACERAW:-</v>
      </c>
      <c r="D2651" s="3">
        <f t="shared" si="83"/>
        <v>1</v>
      </c>
    </row>
    <row r="2652" spans="1:4" x14ac:dyDescent="0.35">
      <c r="A2652" t="s">
        <v>2772</v>
      </c>
      <c r="B2652">
        <v>1</v>
      </c>
      <c r="C2652" t="str">
        <f t="shared" si="82"/>
        <v>EMSG:Teresa AldereteSTRACE:com.farmers.config.pa.validator.BrightlineValidator.validateQuoteBrightlineRules(BrightlineValidator.gs:XXXSTRACERAW:-</v>
      </c>
      <c r="D2652" s="3">
        <f t="shared" si="83"/>
        <v>1</v>
      </c>
    </row>
    <row r="2653" spans="1:4" x14ac:dyDescent="0.35">
      <c r="A2653" t="s">
        <v>2773</v>
      </c>
      <c r="B2653">
        <v>1</v>
      </c>
      <c r="C2653" t="str">
        <f t="shared" si="82"/>
        <v>EMSG:Teresa AldereteSTRACE:gw.job.QuoteProcess.requestQuote(QuoteProcess.gs:XXXSTRACERAW:-</v>
      </c>
      <c r="D2653" s="3">
        <f t="shared" si="83"/>
        <v>1</v>
      </c>
    </row>
    <row r="2654" spans="1:4" x14ac:dyDescent="0.35">
      <c r="A2654" t="s">
        <v>2774</v>
      </c>
      <c r="B2654">
        <v>1</v>
      </c>
      <c r="C2654" t="str">
        <f t="shared" si="82"/>
        <v>EMSG:The effective date of this transaction exceeds the maximum number of retroactive days permitted. Please edit the effective date to proceed with this quote.;STRACE:edge.capabilities.quote.submission.quoting.util.SubmissionUnderwritingIssuesUtil.checkV</v>
      </c>
      <c r="D2654" s="3">
        <f t="shared" si="83"/>
        <v>1</v>
      </c>
    </row>
    <row r="2655" spans="1:4" ht="29" x14ac:dyDescent="0.35">
      <c r="A2655" s="4" t="s">
        <v>2775</v>
      </c>
      <c r="B2655">
        <v>1</v>
      </c>
      <c r="C2655" t="str">
        <f t="shared" si="82"/>
        <v>EMSG:The object you are trying to update was XXXSTRACE:at XXX/XXX/XXX XXX:XXX PM. Please cancel and retry your change.
	at edge.capabilities.quote.submission.GatewayQuoteHandler.handleOrThrowException(GatewayQuoteHandler.gs:XXXSTRACERAW:-</v>
      </c>
      <c r="D2655" s="3">
        <f t="shared" si="83"/>
        <v>1</v>
      </c>
    </row>
    <row r="2656" spans="1:4" x14ac:dyDescent="0.35">
      <c r="A2656" t="s">
        <v>2776</v>
      </c>
      <c r="B2656">
        <v>1</v>
      </c>
      <c r="C2656" t="str">
        <f t="shared" si="82"/>
        <v>EMSG:The value "AMIR SHALOM &amp; KIMBERLY SHALOMSTRACE:deployment.pc.war//gw.datatype.impl.StringConstraintsHandlerBase.validateStringLength(StringConstraintsHandlerBase.java:XXXSTRACERAW:-</v>
      </c>
      <c r="D2656" s="3">
        <f t="shared" si="83"/>
        <v>1</v>
      </c>
    </row>
    <row r="2657" spans="1:4" x14ac:dyDescent="0.35">
      <c r="A2657" t="s">
        <v>2777</v>
      </c>
      <c r="B2657">
        <v>1</v>
      </c>
      <c r="C2657" t="str">
        <f t="shared" si="82"/>
        <v>EMSG:The value "IRADJ NAZARIANSTRACE:deployment.pc.war//gw.datatype.impl.StringConstraintsHandlerBase.validateStringLength(StringConstraintsHandlerBase.java:XXXSTRACERAW:-</v>
      </c>
      <c r="D2657" s="3">
        <f t="shared" si="83"/>
        <v>1</v>
      </c>
    </row>
    <row r="2658" spans="1:4" x14ac:dyDescent="0.35">
      <c r="A2658" t="s">
        <v>2778</v>
      </c>
      <c r="B2658">
        <v>1</v>
      </c>
      <c r="C2658" t="str">
        <f t="shared" si="82"/>
        <v>EMSG:The value "JASON ANDREW SOKOL AND NICOLE DOVE SOKOL TRUSTEESSTRACE:deployment.pc.war//gw.datatype.impl.StringConstraintsHandlerBase.validateStringLength(StringConstraintsHandlerBase.java:XXXSTRACERAW:-</v>
      </c>
      <c r="D2658" s="3">
        <f t="shared" si="83"/>
        <v>1</v>
      </c>
    </row>
    <row r="2659" spans="1:4" x14ac:dyDescent="0.35">
      <c r="A2659" t="s">
        <v>2779</v>
      </c>
      <c r="B2659">
        <v>1</v>
      </c>
      <c r="C2659" t="str">
        <f t="shared" si="82"/>
        <v>EMSG:The value "JOHN K. GRENFELL AND CAROL GRENFELLSTRACE:deployment.pc.war//gw.datatype.impl.StringConstraintsHandlerBase.validateStringLength(StringConstraintsHandlerBase.java:XXXSTRACERAW:-</v>
      </c>
      <c r="D2659" s="3">
        <f t="shared" si="83"/>
        <v>1</v>
      </c>
    </row>
    <row r="2660" spans="1:4" x14ac:dyDescent="0.35">
      <c r="A2660" t="s">
        <v>2780</v>
      </c>
      <c r="B2660">
        <v>1</v>
      </c>
      <c r="C2660" t="str">
        <f t="shared" si="82"/>
        <v>EMSG:The value "LORETTA EICK FAMILY TRUSTSTRACE:deployment.pc.war//gw.datatype.impl.StringConstraintsHandlerBase.validateStringLength(StringConstraintsHandlerBase.java:XXXSTRACERAW:-</v>
      </c>
      <c r="D2660" s="3">
        <f t="shared" si="83"/>
        <v>1</v>
      </c>
    </row>
    <row r="2661" spans="1:4" ht="43.5" x14ac:dyDescent="0.35">
      <c r="A2661" s="4" t="s">
        <v>2781</v>
      </c>
      <c r="B2661">
        <v>1</v>
      </c>
      <c r="C2661" t="str">
        <f t="shared" si="82"/>
        <v>EMSG:The value "LUW Policy Change Job XXX: The object you are trying to update was XXXSTRACE:XXX/XXX/XXX XXX:XXX PM. Please cancel and retry your change.
The object you are trying to update was 'Policy:CN:0969905962009XXX - CN:0969905962009XXX', and it wa</v>
      </c>
      <c r="D2661" s="3">
        <f t="shared" si="83"/>
        <v>1</v>
      </c>
    </row>
    <row r="2662" spans="1:4" ht="43.5" x14ac:dyDescent="0.35">
      <c r="A2662" s="4" t="s">
        <v>2782</v>
      </c>
      <c r="B2662">
        <v>1</v>
      </c>
      <c r="C2662" t="str">
        <f t="shared" si="82"/>
        <v>EMSG:The value "LUW Policy Change Job XXX: The object you are trying to update was XXXSTRACE:XXX/XXX/XXX XXX:XXX PM. Please cancel and retry your change.
The object you are trying to update was 'Policy:pc:XXX - pc:XXX', and it was changed by System at XXX</v>
      </c>
      <c r="D2662" s="3">
        <f t="shared" si="83"/>
        <v>1</v>
      </c>
    </row>
    <row r="2663" spans="1:4" x14ac:dyDescent="0.35">
      <c r="A2663" t="s">
        <v>2783</v>
      </c>
      <c r="B2663">
        <v>1</v>
      </c>
      <c r="C2663" t="str">
        <f t="shared" si="82"/>
        <v>EMSG:The value "MICHAEL L. MCKOYSTRACE:deployment.pc.war//gw.datatype.impl.StringConstraintsHandlerBase.validateStringLength(StringConstraintsHandlerBase.java:XXXSTRACERAW:-</v>
      </c>
      <c r="D2663" s="3">
        <f t="shared" si="83"/>
        <v>1</v>
      </c>
    </row>
    <row r="2664" spans="1:4" x14ac:dyDescent="0.35">
      <c r="A2664" t="s">
        <v>2784</v>
      </c>
      <c r="B2664">
        <v>1</v>
      </c>
      <c r="C2664" t="str">
        <f t="shared" si="82"/>
        <v>EMSG:The value "MOIRA ZUCKERSTRACE:deployment.pc.war//gw.datatype.impl.StringConstraintsHandlerBase.validateStringLength(StringConstraintsHandlerBase.java:XXXSTRACERAW:-</v>
      </c>
      <c r="D2664" s="3">
        <f t="shared" si="83"/>
        <v>1</v>
      </c>
    </row>
    <row r="2665" spans="1:4" x14ac:dyDescent="0.35">
      <c r="A2665" t="s">
        <v>2785</v>
      </c>
      <c r="B2665">
        <v>1</v>
      </c>
      <c r="C2665" t="str">
        <f t="shared" si="82"/>
        <v>EMSG:The value "PAUL FRANK RAGO  AND LINA RAGOSTRACE:deployment.pc.war//gw.datatype.impl.StringConstraintsHandlerBase.validateStringLength(StringConstraintsHandlerBase.java:XXXSTRACERAW:-</v>
      </c>
      <c r="D2665" s="3">
        <f t="shared" si="83"/>
        <v>1</v>
      </c>
    </row>
    <row r="2666" spans="1:4" x14ac:dyDescent="0.35">
      <c r="A2666" t="s">
        <v>2786</v>
      </c>
      <c r="B2666">
        <v>1</v>
      </c>
      <c r="C2666" t="str">
        <f t="shared" si="82"/>
        <v>EMSG:The value "PAWAN K GARG &amp; KRISHNA GARGSTRACE:deployment.pc.war//gw.datatype.impl.StringConstraintsHandlerBase.validateStringLength(StringConstraintsHandlerBase.java:XXXSTRACERAW:-</v>
      </c>
      <c r="D2666" s="3">
        <f t="shared" si="83"/>
        <v>1</v>
      </c>
    </row>
    <row r="2667" spans="1:4" x14ac:dyDescent="0.35">
      <c r="A2667" t="s">
        <v>2787</v>
      </c>
      <c r="B2667">
        <v>1</v>
      </c>
      <c r="C2667" t="str">
        <f t="shared" si="82"/>
        <v>EMSG:The value "ROBERT &amp; NELLY HOFFMAN XXXSTRACE:deployment.pc.war//gw.datatype.impl.StringConstraintsHandlerBase.validateStringLength(StringConstraintsHandlerBase.java:XXXSTRACERAW:-</v>
      </c>
      <c r="D2667" s="3">
        <f t="shared" si="83"/>
        <v>1</v>
      </c>
    </row>
    <row r="2668" spans="1:4" x14ac:dyDescent="0.35">
      <c r="A2668" t="s">
        <v>2788</v>
      </c>
      <c r="B2668">
        <v>1</v>
      </c>
      <c r="C2668" t="str">
        <f t="shared" si="82"/>
        <v>EMSG:The value "ROBERT AND NELLY HOFFMAN XXXSTRACE:deployment.pc.war//gw.datatype.impl.StringConstraintsHandlerBase.validateStringLength(StringConstraintsHandlerBase.java:XXXSTRACERAW:-</v>
      </c>
      <c r="D2668" s="3">
        <f t="shared" si="83"/>
        <v>1</v>
      </c>
    </row>
    <row r="2669" spans="1:4" x14ac:dyDescent="0.35">
      <c r="A2669" t="s">
        <v>2789</v>
      </c>
      <c r="B2669">
        <v>1</v>
      </c>
      <c r="C2669" t="str">
        <f t="shared" si="82"/>
        <v>EMSG:The value "ROBERTA J ROBINSON &amp; DANIEL J. WILSONSTRACE:deployment.pc.war//gw.datatype.impl.StringConstraintsHandlerBase.validateStringLength(StringConstraintsHandlerBase.java:XXXSTRACERAW:-</v>
      </c>
      <c r="D2669" s="3">
        <f t="shared" si="83"/>
        <v>1</v>
      </c>
    </row>
    <row r="2670" spans="1:4" x14ac:dyDescent="0.35">
      <c r="A2670" t="s">
        <v>2790</v>
      </c>
      <c r="B2670">
        <v>1</v>
      </c>
      <c r="C2670" t="str">
        <f t="shared" si="82"/>
        <v>EMSG:The value "ROD A. RENTERIASTRACE:deployment.pc.war//gw.datatype.impl.StringConstraintsHandlerBase.validateStringLength(StringConstraintsHandlerBase.java:XXXSTRACERAW:-</v>
      </c>
      <c r="D2670" s="3">
        <f t="shared" si="83"/>
        <v>1</v>
      </c>
    </row>
    <row r="2671" spans="1:4" x14ac:dyDescent="0.35">
      <c r="A2671" t="s">
        <v>2791</v>
      </c>
      <c r="B2671">
        <v>1</v>
      </c>
      <c r="C2671" t="str">
        <f t="shared" si="82"/>
        <v>EMSG:The value "RODGER L. EMBURY AND CAROLYN EMBURYSTRACE:deployment.pc.war//gw.datatype.impl.StringConstraintsHandlerBase.validateStringLength(StringConstraintsHandlerBase.java:XXXSTRACERAW:-</v>
      </c>
      <c r="D2671" s="3">
        <f t="shared" si="83"/>
        <v>1</v>
      </c>
    </row>
    <row r="2672" spans="1:4" x14ac:dyDescent="0.35">
      <c r="A2672" t="s">
        <v>2792</v>
      </c>
      <c r="B2672">
        <v>1</v>
      </c>
      <c r="C2672" t="str">
        <f t="shared" si="82"/>
        <v>EMSG:The value "SAM C.QIAN &amp; YEN A.LAMSTRACE:deployment.pc.war//gw.datatype.impl.StringConstraintsHandlerBase.validateStringLength(StringConstraintsHandlerBase.java:XXXSTRACERAW:-</v>
      </c>
      <c r="D2672" s="3">
        <f t="shared" si="83"/>
        <v>1</v>
      </c>
    </row>
    <row r="2673" spans="1:4" x14ac:dyDescent="0.35">
      <c r="A2673" t="s">
        <v>2793</v>
      </c>
      <c r="B2673">
        <v>1</v>
      </c>
      <c r="C2673" t="str">
        <f t="shared" si="82"/>
        <v>EMSG:The value "STEVEN O SABIN AND KATYRYN LEE SABIN TRUSTEESSTRACE:deployment.pc.war//gw.datatype.impl.StringConstraintsHandlerBase.validateStringLength(StringConstraintsHandlerBase.java:XXXSTRACERAW:-</v>
      </c>
      <c r="D2673" s="3">
        <f t="shared" si="83"/>
        <v>1</v>
      </c>
    </row>
    <row r="2674" spans="1:4" x14ac:dyDescent="0.35">
      <c r="A2674" t="s">
        <v>2794</v>
      </c>
      <c r="B2674">
        <v>1</v>
      </c>
      <c r="C2674" t="str">
        <f t="shared" si="82"/>
        <v>EMSG:The value "THE PING LI AND MINGLEI YANG REVOCABLE TRUST DATED AUGUST XXXSTRACE:deployment.pc.war//gw.datatype.impl.StringConstraintsHandlerBase.validateStringLength(StringConstraintsHandlerBase.java:XXXSTRACERAW:-</v>
      </c>
      <c r="D2674" s="3">
        <f t="shared" si="83"/>
        <v>1</v>
      </c>
    </row>
    <row r="2675" spans="1:4" x14ac:dyDescent="0.35">
      <c r="A2675" t="s">
        <v>2795</v>
      </c>
      <c r="B2675">
        <v>1</v>
      </c>
      <c r="C2675" t="str">
        <f t="shared" si="82"/>
        <v>EMSG:The value "WIL &amp; ANNE WHEATONSTRACE:deployment.pc.war//gw.datatype.impl.StringConstraintsHandlerBase.validateStringLength(StringConstraintsHandlerBase.java:XXXSTRACERAW:-</v>
      </c>
      <c r="D2675" s="3">
        <f t="shared" si="83"/>
        <v>1</v>
      </c>
    </row>
    <row r="2676" spans="1:4" x14ac:dyDescent="0.35">
      <c r="A2676" t="s">
        <v>2796</v>
      </c>
      <c r="B2676">
        <v>1</v>
      </c>
      <c r="C2676" t="str">
        <f t="shared" si="82"/>
        <v>EMSG:The value XXX is not formatted correctly for the field "Comments": Exceeds the maximum length of XXX characters (XXX)STRACE:deployment.pc.war//gw.datatype.impl.StringConstraintsHandlerBase.validateStringLength(StringConstraintsHandlerBase.java:XXXSTR</v>
      </c>
      <c r="D2676" s="3">
        <f t="shared" si="83"/>
        <v>1</v>
      </c>
    </row>
    <row r="2677" spans="1:4" x14ac:dyDescent="0.35">
      <c r="A2677" t="s">
        <v>649</v>
      </c>
      <c r="B2677">
        <v>1</v>
      </c>
      <c r="C2677" t="str">
        <f t="shared" si="82"/>
        <v>EMSG:The value XXX is not formatted correctly for the field "EsmtdCostBDLbrMtrlSup": Exceeds the precision of XXXSTRACE:deployment.pc.war//gw.datatype.impl.DecimalConstraintsHandlerBase.checkPrecision(DecimalConstraintsHandlerBase.java:XXXSTRACERAW:-</v>
      </c>
      <c r="D2677" s="3">
        <f t="shared" si="83"/>
        <v>1</v>
      </c>
    </row>
    <row r="2678" spans="1:4" x14ac:dyDescent="0.35">
      <c r="A2678" t="s">
        <v>2797</v>
      </c>
      <c r="B2678">
        <v>1</v>
      </c>
      <c r="C2678" t="str">
        <f t="shared" si="82"/>
        <v>EMSG:The value XXX is not formatted correctly for the field "FutureUMInelgLimit": Exceeds the maximum length of XXX characters (XXX)STRACE:deployment.pc.war//gw.datatype.impl.StringConstraintsHandlerBase.validateStringLength(StringConstraintsHandlerBase.j</v>
      </c>
      <c r="D2678" s="3">
        <f t="shared" si="83"/>
        <v>1</v>
      </c>
    </row>
    <row r="2679" spans="1:4" x14ac:dyDescent="0.35">
      <c r="A2679" t="s">
        <v>2798</v>
      </c>
      <c r="B2679">
        <v>1</v>
      </c>
      <c r="C2679" t="str">
        <f t="shared" si="82"/>
        <v>EMSG:The value XXX is not formatted correctly for the field "InteriorAvgHeight": Exceeds the scale of XXXSTRACE:deployment.pc.war//gw.datatype.impl.DecimalConstraintsHandlerBase.failCheckScale(DecimalConstraintsHandlerBase.java:XXXSTRACERAW:-</v>
      </c>
      <c r="D2679" s="3">
        <f t="shared" si="83"/>
        <v>1</v>
      </c>
    </row>
    <row r="2680" spans="1:4" x14ac:dyDescent="0.35">
      <c r="A2680" t="s">
        <v>2799</v>
      </c>
      <c r="B2680">
        <v>1</v>
      </c>
      <c r="C2680" t="str">
        <f t="shared" si="82"/>
        <v>EMSG:There is no tier for credit model 'PAM'STRACE:com.farmers.rating.pa.param.PAParameterAdapter.fetchCreditTier(PAParameterAdapter.gs:XXXSTRACERAW:-</v>
      </c>
      <c r="D2680" s="3">
        <f t="shared" si="83"/>
        <v>1</v>
      </c>
    </row>
    <row r="2681" spans="1:4" x14ac:dyDescent="0.35">
      <c r="A2681" t="s">
        <v>2800</v>
      </c>
      <c r="B2681">
        <v>1</v>
      </c>
      <c r="C2681" t="str">
        <f t="shared" si="82"/>
        <v>EMSG:Thomas FloresSTRACE:com.farmers.config.pa.validator.BrightlineValidator.validateQuoteBrightlineRules(BrightlineValidator.gs:XXXSTRACERAW:-</v>
      </c>
      <c r="D2681" s="3">
        <f t="shared" si="83"/>
        <v>1</v>
      </c>
    </row>
    <row r="2682" spans="1:4" x14ac:dyDescent="0.35">
      <c r="A2682" t="s">
        <v>2801</v>
      </c>
      <c r="B2682">
        <v>1</v>
      </c>
      <c r="C2682" t="str">
        <f t="shared" si="82"/>
        <v>EMSG:Thomas FloresSTRACE:gw.job.QuoteProcess.requestQuote(QuoteProcess.gs:XXXSTRACERAW:-</v>
      </c>
      <c r="D2682" s="3">
        <f t="shared" si="83"/>
        <v>1</v>
      </c>
    </row>
    <row r="2683" spans="1:4" x14ac:dyDescent="0.35">
      <c r="A2683" t="s">
        <v>2802</v>
      </c>
      <c r="B2683">
        <v>1</v>
      </c>
      <c r="C2683" t="str">
        <f t="shared" si="82"/>
        <v>EMSG:Troy GraySTRACE:com.farmers.config.pa.validator.BrightlineValidator.validateQuoteBrightlineRules(BrightlineValidator.gs:XXXSTRACERAW:-</v>
      </c>
      <c r="D2683" s="3">
        <f t="shared" si="83"/>
        <v>1</v>
      </c>
    </row>
    <row r="2684" spans="1:4" x14ac:dyDescent="0.35">
      <c r="A2684" t="s">
        <v>2803</v>
      </c>
      <c r="B2684">
        <v>1</v>
      </c>
      <c r="C2684" t="str">
        <f t="shared" si="82"/>
        <v>EMSG:Troy GraySTRACE:gw.job.QuoteProcess.requestQuote(QuoteProcess.gs:XXXSTRACERAW:-</v>
      </c>
      <c r="D2684" s="3">
        <f t="shared" si="83"/>
        <v>1</v>
      </c>
    </row>
    <row r="2685" spans="1:4" x14ac:dyDescent="0.35">
      <c r="A2685" t="s">
        <v>2804</v>
      </c>
      <c r="B2685">
        <v>1</v>
      </c>
      <c r="C2685" t="str">
        <f t="shared" si="82"/>
        <v>EMSG:Try again later. Equifax credit reporting is unavailable.STRACE:com.farmers.config.common.credit.pa.PACreditScoreProcess.createCreditReportData(PACreditScoreProcess.gs:XXXSTRACERAW:-</v>
      </c>
      <c r="D2685" s="3">
        <f t="shared" si="83"/>
        <v>1</v>
      </c>
    </row>
    <row r="2686" spans="1:4" x14ac:dyDescent="0.35">
      <c r="A2686" t="s">
        <v>1118</v>
      </c>
      <c r="B2686">
        <v>1</v>
      </c>
      <c r="C2686" t="str">
        <f t="shared" si="82"/>
        <v>EMSG:TypeCode Not Found in PC for [AccidentShortCodeXXX]STRACE:com.farmers.integ.claims.cltf.validator.ClaimValidator.checkForPolicyData(ClaimValidator.gs:XXXSTRACERAW:-</v>
      </c>
      <c r="D2686" s="3">
        <f t="shared" si="83"/>
        <v>1</v>
      </c>
    </row>
    <row r="2687" spans="1:4" x14ac:dyDescent="0.35">
      <c r="A2687" t="s">
        <v>1233</v>
      </c>
      <c r="B2687">
        <v>1</v>
      </c>
      <c r="C2687" t="str">
        <f t="shared" si="82"/>
        <v>EMSG:UWIssue: UW.XXXaXXX null: Prior loss threshold exceeded UW.XXXaXXXSTRACE:com.farmers.integ.framework.job.automatejob.AutomatedJob.executeJob(AutomatedJob.gs:XXXSTRACERAW:-</v>
      </c>
      <c r="D2687" s="3">
        <f t="shared" si="83"/>
        <v>1</v>
      </c>
    </row>
    <row r="2688" spans="1:4" x14ac:dyDescent="0.35">
      <c r="A2688" t="s">
        <v>1002</v>
      </c>
      <c r="B2688">
        <v>1</v>
      </c>
      <c r="C2688" t="str">
        <f t="shared" si="82"/>
        <v>EMSG:Unable to process Policy Detail Inquiry Service ResponseSTRACE:com.farmers.integ.fwsConversion.prefill.FWSConversionHelper.prefillPolicyFromFWS(FWSConversionHelper.gs:XXXSTRACERAW:-</v>
      </c>
      <c r="D2688" s="3">
        <f t="shared" si="83"/>
        <v>1</v>
      </c>
    </row>
    <row r="2689" spans="1:4" x14ac:dyDescent="0.35">
      <c r="A2689" t="s">
        <v>2805</v>
      </c>
      <c r="B2689">
        <v>1</v>
      </c>
      <c r="C2689" t="str">
        <f t="shared" si="82"/>
        <v>EMSG:Unparseable date: "Fix UPN"STRACE:java.base/java.text.DateFormat.parse(DateFormat.java:XXXSTRACERAW:-</v>
      </c>
      <c r="D2689" s="3">
        <f t="shared" si="83"/>
        <v>1</v>
      </c>
    </row>
    <row r="2690" spans="1:4" x14ac:dyDescent="0.35">
      <c r="A2690" t="s">
        <v>2806</v>
      </c>
      <c r="B2690">
        <v>1</v>
      </c>
      <c r="C2690" t="str">
        <f t="shared" si="82"/>
        <v>EMSG:Update Signal Phone number for Pablo Del Rio. Each driver enrolled in the Signal program needs a unique cell phone number.;Update Signal Phone number for Mary Del Rio. Each driver enrolled in the Signal program needs a unique cell phone number.;STRAC</v>
      </c>
      <c r="D2690" s="3">
        <f t="shared" si="83"/>
        <v>1</v>
      </c>
    </row>
    <row r="2691" spans="1:4" x14ac:dyDescent="0.35">
      <c r="A2691" t="s">
        <v>2807</v>
      </c>
      <c r="B2691">
        <v>1</v>
      </c>
      <c r="C2691" t="str">
        <f t="shared" ref="C2691:C2754" si="84">LEFT(A2691,255)</f>
        <v>EMSG:VY HOSTRACE:com.farmers.config.pa.validator.BrightlineValidator.validateQuoteBrightlineRules(BrightlineValidator.gs:XXXSTRACERAW:-</v>
      </c>
      <c r="D2691" s="3">
        <f t="shared" ref="D2691:D2754" si="85">IF(AND((B2691/10)&lt;1,(B2691/10)&gt;0),1,(B2691/10)*130%)</f>
        <v>1</v>
      </c>
    </row>
    <row r="2692" spans="1:4" x14ac:dyDescent="0.35">
      <c r="A2692" t="s">
        <v>2808</v>
      </c>
      <c r="B2692">
        <v>1</v>
      </c>
      <c r="C2692" t="str">
        <f t="shared" si="84"/>
        <v>EMSG:WENDY KAMMERSTRACE:com.farmers.config.pa.validator.BrightlineValidator.validateQuoteBrightlineRules(BrightlineValidator.gs:XXXSTRACERAW:-</v>
      </c>
      <c r="D2692" s="3">
        <f t="shared" si="85"/>
        <v>1</v>
      </c>
    </row>
    <row r="2693" spans="1:4" x14ac:dyDescent="0.35">
      <c r="A2693" t="s">
        <v>2809</v>
      </c>
      <c r="B2693">
        <v>1</v>
      </c>
      <c r="C2693" t="str">
        <f t="shared" si="84"/>
        <v>EMSG:WENDY KAMMERSTRACE:gw.job.QuoteProcess.requestQuote(QuoteProcess.gs:XXXSTRACERAW:-</v>
      </c>
      <c r="D2693" s="3">
        <f t="shared" si="85"/>
        <v>1</v>
      </c>
    </row>
    <row r="2694" spans="1:4" x14ac:dyDescent="0.35">
      <c r="A2694" t="s">
        <v>2810</v>
      </c>
      <c r="B2694">
        <v>1</v>
      </c>
      <c r="C2694" t="str">
        <f t="shared" si="84"/>
        <v>EMSG:William BurkhalterSTRACE:com.farmers.config.pa.validator.BrightlineValidator.validateQuoteBrightlineRules(BrightlineValidator.gs:XXXSTRACERAW:-</v>
      </c>
      <c r="D2694" s="3">
        <f t="shared" si="85"/>
        <v>1</v>
      </c>
    </row>
    <row r="2695" spans="1:4" x14ac:dyDescent="0.35">
      <c r="A2695" t="s">
        <v>2811</v>
      </c>
      <c r="B2695">
        <v>1</v>
      </c>
      <c r="C2695" t="str">
        <f t="shared" si="84"/>
        <v>EMSG:William BurkhalterSTRACE:gw.job.QuoteProcess.requestQuote(QuoteProcess.gs:XXXSTRACERAW:-</v>
      </c>
      <c r="D2695" s="3">
        <f t="shared" si="85"/>
        <v>1</v>
      </c>
    </row>
    <row r="2696" spans="1:4" x14ac:dyDescent="0.35">
      <c r="A2696" t="s">
        <v>2812</v>
      </c>
      <c r="B2696">
        <v>1</v>
      </c>
      <c r="C2696" t="str">
        <f t="shared" si="84"/>
        <v>EMSG:William PerkinsSTRACE:com.farmers.config.pa.validator.BrightlineValidator.validateQuoteBrightlineRules(BrightlineValidator.gs:XXXSTRACERAW:-</v>
      </c>
      <c r="D2696" s="3">
        <f t="shared" si="85"/>
        <v>1</v>
      </c>
    </row>
    <row r="2697" spans="1:4" x14ac:dyDescent="0.35">
      <c r="A2697" t="s">
        <v>2813</v>
      </c>
      <c r="B2697">
        <v>1</v>
      </c>
      <c r="C2697" t="str">
        <f t="shared" si="84"/>
        <v>EMSG:Willie NelsonSTRACE:com.farmers.config.pa.validator.BrightlineValidator.validateQuoteBrightlineRules(BrightlineValidator.gs:XXXSTRACERAW:-</v>
      </c>
      <c r="D2697" s="3">
        <f t="shared" si="85"/>
        <v>1</v>
      </c>
    </row>
    <row r="2698" spans="1:4" x14ac:dyDescent="0.35">
      <c r="A2698" t="s">
        <v>2814</v>
      </c>
      <c r="B2698">
        <v>1</v>
      </c>
      <c r="C2698" t="str">
        <f t="shared" si="84"/>
        <v>EMSG:Willie NelsonSTRACE:gw.job.QuoteProcess.requestQuote(QuoteProcess.gs:XXXSTRACERAW:-</v>
      </c>
      <c r="D2698" s="3">
        <f t="shared" si="85"/>
        <v>1</v>
      </c>
    </row>
    <row r="2699" spans="1:4" x14ac:dyDescent="0.35">
      <c r="A2699" t="s">
        <v>2815</v>
      </c>
      <c r="B2699">
        <v>1</v>
      </c>
      <c r="C2699" t="str">
        <f t="shared" si="84"/>
        <v xml:space="preserve">EMSG:XXX BMW XXXX XXXD XXXWD XDRIVE XXXI in Colorado: Coverage is on Comprehensive is now available and its value must be verified by the user.; XXX BMW XXXX XXXD XXXWD XDRIVE XXXI in Colorado: Coverage is on Collision is now available and its value must </v>
      </c>
      <c r="D2699" s="3">
        <f t="shared" si="85"/>
        <v>1</v>
      </c>
    </row>
    <row r="2700" spans="1:4" x14ac:dyDescent="0.35">
      <c r="A2700" t="s">
        <v>2816</v>
      </c>
      <c r="B2700">
        <v>1</v>
      </c>
      <c r="C2700" t="str">
        <f t="shared" si="84"/>
        <v xml:space="preserve">EMSG:XXX BMW XXXX XXXD XXXWD XDRIVE XXXI in Colorado: Coverage is on Comprehensive is now available and its value must be verified by the user.; XXX BMW XXXX XXXD XXXWD XDRIVE XXXI in Colorado: Coverage is on Collision is now available and its value must </v>
      </c>
      <c r="D2700" s="3">
        <f t="shared" si="85"/>
        <v>1</v>
      </c>
    </row>
    <row r="2701" spans="1:4" x14ac:dyDescent="0.35">
      <c r="A2701" t="s">
        <v>2817</v>
      </c>
      <c r="B2701">
        <v>1</v>
      </c>
      <c r="C2701" t="str">
        <f t="shared" si="84"/>
        <v>EMSG:XXX BUICK ENCORE GX XXXD XXXWD PREFERRED in Colorado: Coverage is on Comprehensive is now available and its value must be verified by the user.; XXX BUICK ENCORE GX XXXD XXXWD PREFERRED in Colorado: Coverage is on Collision is now available and its v</v>
      </c>
      <c r="D2701" s="3">
        <f t="shared" si="85"/>
        <v>1</v>
      </c>
    </row>
    <row r="2702" spans="1:4" x14ac:dyDescent="0.35">
      <c r="A2702" t="s">
        <v>2818</v>
      </c>
      <c r="B2702">
        <v>1</v>
      </c>
      <c r="C2702" t="str">
        <f t="shared" si="84"/>
        <v>EMSG:XXX CADILLAC CTS XXXD XXXWD/XXXWD in Texas: Comprehensive is required and must be added. XXXSTRACE:gw.api.extension.PCExtensionInterfacesMapper$block_XXX_.invoke(PCExtensionInterfacesMapper.gs:XXXSTRACERAW:-</v>
      </c>
      <c r="D2702" s="3">
        <f t="shared" si="85"/>
        <v>1</v>
      </c>
    </row>
    <row r="2703" spans="1:4" x14ac:dyDescent="0.35">
      <c r="A2703" t="s">
        <v>2819</v>
      </c>
      <c r="B2703">
        <v>1</v>
      </c>
      <c r="C2703" t="str">
        <f t="shared" si="84"/>
        <v>EMSG:XXX CHEVROLET TAHOE XXXDOOR XXXXXXX in Colorado: Comprehensive is required and must be added. XXXSTRACE:gw.api.extension.PCExtensionInterfacesMapper$block_XXX_.invoke(PCExtensionInterfacesMapper.gs:XXXSTRACERAW:-</v>
      </c>
      <c r="D2703" s="3">
        <f t="shared" si="85"/>
        <v>1</v>
      </c>
    </row>
    <row r="2704" spans="1:4" x14ac:dyDescent="0.35">
      <c r="A2704" t="s">
        <v>2820</v>
      </c>
      <c r="B2704">
        <v>1</v>
      </c>
      <c r="C2704" t="str">
        <f t="shared" si="84"/>
        <v>EMSG:XXX CHEVROLET TRUCK SLVRDO XXX CR XXXXXXX HIGH CNTRY in Colorado: Coverage is on Comprehensive is now available and its value must be verified by the user.; XXX CHEVROLET TRUCK SLVRDO XXX CR XXXXXXX HIGH CNTRY in Colorado: Coverage is on Collision is</v>
      </c>
      <c r="D2704" s="3">
        <f t="shared" si="85"/>
        <v>1</v>
      </c>
    </row>
    <row r="2705" spans="1:4" x14ac:dyDescent="0.35">
      <c r="A2705" t="s">
        <v>2821</v>
      </c>
      <c r="B2705">
        <v>1</v>
      </c>
      <c r="C2705" t="str">
        <f t="shared" si="84"/>
        <v>EMSG:XXX DODGE TRUCK RAM XXX CREW SH XXXXXXX LGHORN in Colorado: Coverage is on Comprehensive is now available and its value must be verified by the user.; XXX DODGE TRUCK RAM XXX CREW SH XXXXXXX LGHORN in Colorado: Coverage is on Collision is now availab</v>
      </c>
      <c r="D2705" s="3">
        <f t="shared" si="85"/>
        <v>1</v>
      </c>
    </row>
    <row r="2706" spans="1:4" x14ac:dyDescent="0.35">
      <c r="A2706" t="s">
        <v>2822</v>
      </c>
      <c r="B2706">
        <v>1</v>
      </c>
      <c r="C2706" t="str">
        <f t="shared" si="84"/>
        <v>EMSG:XXX FORD FXXX SUPER PU XXXXXXX in Michigan: Comprehensive is required and must be added. XXXSTRACE:gw.api.extension.PCExtensionInterfacesMapper$block_XXX_.invoke(PCExtensionInterfacesMapper.gs:XXXSTRACERAW:-</v>
      </c>
      <c r="D2706" s="3">
        <f t="shared" si="85"/>
        <v>1</v>
      </c>
    </row>
    <row r="2707" spans="1:4" x14ac:dyDescent="0.35">
      <c r="A2707" t="s">
        <v>2823</v>
      </c>
      <c r="B2707">
        <v>1</v>
      </c>
      <c r="C2707" t="str">
        <f t="shared" si="84"/>
        <v>EMSG:XXX FORD MUSTANG XXXD in Oregon: Comprehensive is required and must be added. XXXSTRACE:gw.api.extension.PCExtensionInterfacesMapper$block_XXX_.invoke(PCExtensionInterfacesMapper.gs:XXXSTRACERAW:-</v>
      </c>
      <c r="D2707" s="3">
        <f t="shared" si="85"/>
        <v>1</v>
      </c>
    </row>
    <row r="2708" spans="1:4" x14ac:dyDescent="0.35">
      <c r="A2708" t="s">
        <v>2824</v>
      </c>
      <c r="B2708">
        <v>1</v>
      </c>
      <c r="C2708" t="str">
        <f t="shared" si="84"/>
        <v>EMSG:XXX FORD TRUCK EXPLORER XXXD XXXXXXX XLT in Colorado: Coverage is on Comprehensive is now available and its value must be verified by the user.; XXX FORD TRUCK EXPLORER XXXD XXXXXXX XLT in Colorado: Coverage is on Collision is now available and its v</v>
      </c>
      <c r="D2708" s="3">
        <f t="shared" si="85"/>
        <v>1</v>
      </c>
    </row>
    <row r="2709" spans="1:4" x14ac:dyDescent="0.35">
      <c r="A2709" t="s">
        <v>2825</v>
      </c>
      <c r="B2709">
        <v>1</v>
      </c>
      <c r="C2709" t="str">
        <f t="shared" si="84"/>
        <v>EMSG:XXX FORD TRUCK FLEX XXXD XXXWD SE in Colorado: Comprehensive is required and must be added. XXXSTRACE:gw.api.extension.PCExtensionInterfacesMapper$block_XXX_.invoke(PCExtensionInterfacesMapper.gs:XXXSTRACERAW:-</v>
      </c>
      <c r="D2709" s="3">
        <f t="shared" si="85"/>
        <v>1</v>
      </c>
    </row>
    <row r="2710" spans="1:4" x14ac:dyDescent="0.35">
      <c r="A2710" t="s">
        <v>2826</v>
      </c>
      <c r="B2710">
        <v>1</v>
      </c>
      <c r="C2710" t="str">
        <f t="shared" si="84"/>
        <v>EMSG:XXX FORD TRUCK FXXX CREW C PU XXXXXXX CREW CAB in Michigan: Comprehensive is required and must be added. XXXSTRACE:gw.api.extension.PCExtensionInterfacesMapper$block_XXX_.invoke(PCExtensionInterfacesMapper.gs:XXXSTRACERAW:-</v>
      </c>
      <c r="D2710" s="3">
        <f t="shared" si="85"/>
        <v>1</v>
      </c>
    </row>
    <row r="2711" spans="1:4" x14ac:dyDescent="0.35">
      <c r="A2711" t="s">
        <v>2827</v>
      </c>
      <c r="B2711">
        <v>1</v>
      </c>
      <c r="C2711" t="str">
        <f t="shared" si="84"/>
        <v>EMSG:XXX FORD TRUCK FXXX CREW C PU XXXXXXX DRW in Oregon: Uninsured Motorist - Property Damage is no longer available and has been removed.; XXX FORD TRUCK FXXX CREW C PU XXXXXXX DRW in Oregon: Comprehensive is required and must be added. XXXSTRACE:gw.api</v>
      </c>
      <c r="D2711" s="3">
        <f t="shared" si="85"/>
        <v>1</v>
      </c>
    </row>
    <row r="2712" spans="1:4" x14ac:dyDescent="0.35">
      <c r="A2712" t="s">
        <v>2828</v>
      </c>
      <c r="B2712">
        <v>1</v>
      </c>
      <c r="C2712" t="str">
        <f t="shared" si="84"/>
        <v>EMSG:XXX HONDA FIT SW in Colorado: Comprehensive is required and must be added. XXXSTRACE:gw.api.extension.PCExtensionInterfacesMapper$block_XXX_.invoke(PCExtensionInterfacesMapper.gs:XXXSTRACERAW:-</v>
      </c>
      <c r="D2712" s="3">
        <f t="shared" si="85"/>
        <v>1</v>
      </c>
    </row>
    <row r="2713" spans="1:4" x14ac:dyDescent="0.35">
      <c r="A2713" t="s">
        <v>2829</v>
      </c>
      <c r="B2713">
        <v>1</v>
      </c>
      <c r="C2713" t="str">
        <f t="shared" si="84"/>
        <v>EMSG:XXX LEXUS NX XXXH HYBRID XXXD XXXWD F SPORT in Colorado: Coverage is on Comprehensive is now available and its value must be verified by the user.; XXX LEXUS NX XXXH HYBRID XXXD XXXWD F SPORT in Colorado: Coverage is on Collision is now available and</v>
      </c>
      <c r="D2713" s="3">
        <f t="shared" si="85"/>
        <v>1</v>
      </c>
    </row>
    <row r="2714" spans="1:4" x14ac:dyDescent="0.35">
      <c r="A2714" t="s">
        <v>2830</v>
      </c>
      <c r="B2714">
        <v>1</v>
      </c>
      <c r="C2714" t="str">
        <f t="shared" si="84"/>
        <v xml:space="preserve">EMSG:XXX LEXUS RX XXXH HYBRID XXXD XXXWD in Colorado: Coverage is on Comprehensive is now available and its value must be verified by the user.; XXX LEXUS RX XXXH HYBRID XXXD XXXWD in Colorado: Coverage is on Collision is now available and its value must </v>
      </c>
      <c r="D2714" s="3">
        <f t="shared" si="85"/>
        <v>1</v>
      </c>
    </row>
    <row r="2715" spans="1:4" x14ac:dyDescent="0.35">
      <c r="A2715" t="s">
        <v>2831</v>
      </c>
      <c r="B2715">
        <v>1</v>
      </c>
      <c r="C2715" t="str">
        <f t="shared" si="84"/>
        <v>EMSG:XXX MAZDA CXXXX XXXD XXXWD SELECT in Colorado: Coverage is on Comprehensive is now available and its value must be verified by the user.; XXX MAZDA CXXXX XXXD XXXWD SELECT in Colorado: Coverage is on Collision is now available and its value must be v</v>
      </c>
      <c r="D2715" s="3">
        <f t="shared" si="85"/>
        <v>1</v>
      </c>
    </row>
    <row r="2716" spans="1:4" x14ac:dyDescent="0.35">
      <c r="A2716" t="s">
        <v>2832</v>
      </c>
      <c r="B2716">
        <v>1</v>
      </c>
      <c r="C2716" t="str">
        <f t="shared" si="84"/>
        <v>EMSG:XXX MAZDA CXXXX XXXD XXXWD TURBO SIGNATURE in Colorado: Coverage is on Comprehensive is now available and its value must be verified by the user.; XXX MAZDA CXXXX XXXD XXXWD TURBO SIGNATURE in Colorado: Coverage is on Collision is now available and i</v>
      </c>
      <c r="D2716" s="3">
        <f t="shared" si="85"/>
        <v>1</v>
      </c>
    </row>
    <row r="2717" spans="1:4" x14ac:dyDescent="0.35">
      <c r="A2717" t="s">
        <v>2833</v>
      </c>
      <c r="B2717">
        <v>1</v>
      </c>
      <c r="C2717" t="str">
        <f t="shared" si="84"/>
        <v>EMSG:XXX MERCURY GRAND MARQUIS LS XXXD in California: Collision is no longer available and has been removed.; XXX MERCURY GRAND MARQUIS LS XXXD in California: Rental Reimbursement Coverage is no longer available and has been removed.; XXX MERCURY GRAND MA</v>
      </c>
      <c r="D2717" s="3">
        <f t="shared" si="85"/>
        <v>1</v>
      </c>
    </row>
    <row r="2718" spans="1:4" x14ac:dyDescent="0.35">
      <c r="A2718" t="s">
        <v>2834</v>
      </c>
      <c r="B2718">
        <v>1</v>
      </c>
      <c r="C2718" t="str">
        <f t="shared" si="84"/>
        <v>EMSG:XXX SCION FR-S XXXD in New Mexico: UM/UIM - Bodily Injury is required and must be added. XXXSTRACE:gw.api.extension.PCExtensionInterfacesMapper$block_XXX_.invoke(PCExtensionInterfacesMapper.gs:XXXSTRACERAW:-</v>
      </c>
      <c r="D2718" s="3">
        <f t="shared" si="85"/>
        <v>1</v>
      </c>
    </row>
    <row r="2719" spans="1:4" x14ac:dyDescent="0.35">
      <c r="A2719" t="s">
        <v>2835</v>
      </c>
      <c r="B2719">
        <v>1</v>
      </c>
      <c r="C2719" t="str">
        <f t="shared" si="84"/>
        <v>EMSG:XXX SUBARU CROSSTREK W/EYESGHT XXX.XXXI VDC in Colorado: Coverage is on Comprehensive is now available and its value must be verified by the user.; XXX SUBARU CROSSTREK W/EYESGHT XXX.XXXI VDC in Colorado: Coverage is on Collision is now available and</v>
      </c>
      <c r="D2719" s="3">
        <f t="shared" si="85"/>
        <v>1</v>
      </c>
    </row>
    <row r="2720" spans="1:4" x14ac:dyDescent="0.35">
      <c r="A2720" t="s">
        <v>2836</v>
      </c>
      <c r="B2720">
        <v>1</v>
      </c>
      <c r="C2720" t="str">
        <f t="shared" si="84"/>
        <v>EMSG:XXX SUBARU FORSTR XXXD XXXWD W/EYE XXX.XXXI PREM in Colorado: Coverage is on Comprehensive is now available and its value must be verified by the user.; XXX SUBARU FORSTR XXXD XXXWD W/EYE XXX.XXXI PREM in Colorado: Coverage is on Collision is now ava</v>
      </c>
      <c r="D2720" s="3">
        <f t="shared" si="85"/>
        <v>1</v>
      </c>
    </row>
    <row r="2721" spans="1:4" x14ac:dyDescent="0.35">
      <c r="A2721" t="s">
        <v>2837</v>
      </c>
      <c r="B2721">
        <v>1</v>
      </c>
      <c r="C2721" t="str">
        <f t="shared" si="84"/>
        <v>EMSG:XXX SUBARU FORSTR XXXD XXXWD W/EYE XXX.XXXI PREM in Colorado: Coverage is on Comprehensive is now available and its value must be verified by the user.; XXX SUBARU FORSTR XXXD XXXWD W/EYE XXX.XXXI PREM in Colorado: Coverage is on Collision is now ava</v>
      </c>
      <c r="D2721" s="3">
        <f t="shared" si="85"/>
        <v>1</v>
      </c>
    </row>
    <row r="2722" spans="1:4" x14ac:dyDescent="0.35">
      <c r="A2722" t="s">
        <v>2838</v>
      </c>
      <c r="B2722">
        <v>1</v>
      </c>
      <c r="C2722" t="str">
        <f t="shared" si="84"/>
        <v>EMSG:XXX TOYOTA AVALON XXXD XLE/PREM/TOURING/LTD in Colorado: Coverage is on Comprehensive is now available and its value must be verified by the user.; XXX TOYOTA AVALON XXXD XLE/PREM/TOURING/LTD in Colorado: Coverage is on Collision is now available and</v>
      </c>
      <c r="D2722" s="3">
        <f t="shared" si="85"/>
        <v>1</v>
      </c>
    </row>
    <row r="2723" spans="1:4" x14ac:dyDescent="0.35">
      <c r="A2723" t="s">
        <v>2839</v>
      </c>
      <c r="B2723">
        <v>1</v>
      </c>
      <c r="C2723" t="str">
        <f t="shared" si="84"/>
        <v>EMSG:XXX TOYOTA HIGHLANDER XXXD XXXWD SE VXXX in Colorado: Coverage is on Comprehensive is now available and its value must be verified by the user.; XXX TOYOTA HIGHLANDER XXXD XXXWD SE VXXX in Colorado: Coverage is on Collision is now available and its v</v>
      </c>
      <c r="D2723" s="3">
        <f t="shared" si="85"/>
        <v>1</v>
      </c>
    </row>
    <row r="2724" spans="1:4" x14ac:dyDescent="0.35">
      <c r="A2724" t="s">
        <v>2840</v>
      </c>
      <c r="B2724">
        <v>1</v>
      </c>
      <c r="C2724" t="str">
        <f t="shared" si="84"/>
        <v>EMSG:XXX TOYOTA RAVXXX XXXD XXXWD XLE PREMIUM in Massachusetts: Acquisition Expense is required and must be added. XXXSTRACE:gw.api.extension.PCExtensionInterfacesMapper$block_XXX_.invoke(PCExtensionInterfacesMapper.gs:XXXSTRACERAW:-</v>
      </c>
      <c r="D2724" s="3">
        <f t="shared" si="85"/>
        <v>1</v>
      </c>
    </row>
    <row r="2725" spans="1:4" x14ac:dyDescent="0.35">
      <c r="A2725" t="s">
        <v>2841</v>
      </c>
      <c r="B2725">
        <v>1</v>
      </c>
      <c r="C2725" t="str">
        <f t="shared" si="84"/>
        <v>EMSG:XXX TOYOTA XXXRUNNER XXXD XXXXXXX SRXXX PREMIUM in Colorado: Coverage is on Comprehensive is now available and its value must be verified by the user.; XXX TOYOTA XXXRUNNER XXXD XXXXXXX SRXXX PREMIUM in Colorado: Coverage is on Collision is now avail</v>
      </c>
      <c r="D2725" s="3">
        <f t="shared" si="85"/>
        <v>1</v>
      </c>
    </row>
    <row r="2726" spans="1:4" x14ac:dyDescent="0.35">
      <c r="A2726" t="s">
        <v>2842</v>
      </c>
      <c r="B2726">
        <v>1</v>
      </c>
      <c r="C2726" t="str">
        <f t="shared" si="84"/>
        <v>EMSG:XXX TOYOTA XXXRUNNER XXXD XXXXXXX TRD OFFRD PREM in Colorado: Coverage is on Comprehensive is now available and its value must be verified by the user.; XXX TOYOTA XXXRUNNER XXXD XXXXXXX TRD OFFRD PREM in Colorado: Coverage is on Collision is now ava</v>
      </c>
      <c r="D2726" s="3">
        <f t="shared" si="85"/>
        <v>1</v>
      </c>
    </row>
    <row r="2727" spans="1:4" ht="43.5" x14ac:dyDescent="0.35">
      <c r="A2727" s="4" t="s">
        <v>2843</v>
      </c>
      <c r="B2727">
        <v>1</v>
      </c>
      <c r="C2727" t="str">
        <f t="shared" si="84"/>
        <v>EMSG:XXX has exceeded the accident and/or violation threshold for eligibility in this program.STRACE:Dominguez Lozano has exceeded the accident and/or violation threshold for eligibility in this program.
	at com.farmers.config.pa.validator.BrightlineValid</v>
      </c>
      <c r="D2727" s="3">
        <f t="shared" si="85"/>
        <v>1</v>
      </c>
    </row>
    <row r="2728" spans="1:4" ht="43.5" x14ac:dyDescent="0.35">
      <c r="A2728" s="4" t="s">
        <v>2844</v>
      </c>
      <c r="B2728">
        <v>1</v>
      </c>
      <c r="C2728" t="str">
        <f t="shared" si="84"/>
        <v>EMSG:XXX has exceeded the accident and/or violation threshold for eligibility in this program.STRACE:Dominguez Lozano has exceeded the accident and/or violation threshold for eligibility in this program.
	at gw.job.QuoteProcess.requestQuote(QuoteProcess.g</v>
      </c>
      <c r="D2728" s="3">
        <f t="shared" si="85"/>
        <v>1</v>
      </c>
    </row>
    <row r="2729" spans="1:4" ht="43.5" x14ac:dyDescent="0.35">
      <c r="A2729" s="4" t="s">
        <v>1004</v>
      </c>
      <c r="B2729">
        <v>1</v>
      </c>
      <c r="C2729" t="str">
        <f t="shared" si="84"/>
        <v>EMSG:XXX has exceeded the accident and/or violation threshold for eligibility in this program.STRACE:Ledezma has exceeded the accident and/or violation threshold for eligibility in this program.
	at com.farmers.config.pa.validator.BrightlineValidator.vali</v>
      </c>
      <c r="D2729" s="3">
        <f t="shared" si="85"/>
        <v>1</v>
      </c>
    </row>
    <row r="2730" spans="1:4" ht="43.5" x14ac:dyDescent="0.35">
      <c r="A2730" s="4" t="s">
        <v>1005</v>
      </c>
      <c r="B2730">
        <v>1</v>
      </c>
      <c r="C2730" t="str">
        <f t="shared" si="84"/>
        <v>EMSG:XXX has exceeded the accident and/or violation threshold for eligibility in this program.STRACE:Ledezma has exceeded the accident and/or violation threshold for eligibility in this program.
	at gw.job.QuoteProcess.requestQuote(QuoteProcess.gs:XXXSTRA</v>
      </c>
      <c r="D2730" s="3">
        <f t="shared" si="85"/>
        <v>1</v>
      </c>
    </row>
    <row r="2731" spans="1:4" ht="43.5" x14ac:dyDescent="0.35">
      <c r="A2731" s="4" t="s">
        <v>2845</v>
      </c>
      <c r="B2731">
        <v>1</v>
      </c>
      <c r="C2731" t="str">
        <f t="shared" si="84"/>
        <v>EMSG:XXX has exceeded the accident and/or violation threshold for eligibility in this program.STRACE:Nguyen has exceeded the accident and/or violation threshold for eligibility in this program.
	at com.farmers.config.pa.validator.BrightlineValidator.valid</v>
      </c>
      <c r="D2731" s="3">
        <f t="shared" si="85"/>
        <v>1</v>
      </c>
    </row>
    <row r="2732" spans="1:4" ht="43.5" x14ac:dyDescent="0.35">
      <c r="A2732" s="4" t="s">
        <v>2846</v>
      </c>
      <c r="B2732">
        <v>1</v>
      </c>
      <c r="C2732" t="str">
        <f t="shared" si="84"/>
        <v>EMSG:XXX has exceeded the accident and/or violation threshold for eligibility in this program.STRACE:Nguyen has exceeded the accident and/or violation threshold for eligibility in this program.
	at gw.job.QuoteProcess.requestQuote(QuoteProcess.gs:XXXSTRAC</v>
      </c>
      <c r="D2732" s="3">
        <f t="shared" si="85"/>
        <v>1</v>
      </c>
    </row>
    <row r="2733" spans="1:4" ht="43.5" x14ac:dyDescent="0.35">
      <c r="A2733" s="4" t="s">
        <v>2847</v>
      </c>
      <c r="B2733">
        <v>1</v>
      </c>
      <c r="C2733" t="str">
        <f t="shared" si="84"/>
        <v>EMSG:XXX has exceeded the accident and/or violation threshold for eligibility in this program.STRACE:Nolan has exceeded the accident and/or violation threshold for eligibility in this program.
	at com.farmers.config.pa.validator.BrightlineValidator.valida</v>
      </c>
      <c r="D2733" s="3">
        <f t="shared" si="85"/>
        <v>1</v>
      </c>
    </row>
    <row r="2734" spans="1:4" x14ac:dyDescent="0.35">
      <c r="A2734" t="s">
        <v>2848</v>
      </c>
      <c r="B2734">
        <v>1</v>
      </c>
      <c r="C2734" t="str">
        <f t="shared" si="84"/>
        <v>EMSG:YASMINE BRADLEYSTRACE:com.farmers.config.pa.validator.BrightlineValidator.validateQuoteBrightlineRules(BrightlineValidator.gs:XXXSTRACERAW:-</v>
      </c>
      <c r="D2734" s="3">
        <f t="shared" si="85"/>
        <v>1</v>
      </c>
    </row>
    <row r="2735" spans="1:4" x14ac:dyDescent="0.35">
      <c r="A2735" t="s">
        <v>2849</v>
      </c>
      <c r="B2735">
        <v>1</v>
      </c>
      <c r="C2735" t="str">
        <f t="shared" si="84"/>
        <v>EMSG:YASMINE BRADLEYSTRACE:gw.job.QuoteProcess.requestQuote(QuoteProcess.gs:XXXSTRACERAW:-</v>
      </c>
      <c r="D2735" s="3">
        <f t="shared" si="85"/>
        <v>1</v>
      </c>
    </row>
    <row r="2736" spans="1:4" x14ac:dyDescent="0.35">
      <c r="A2736" t="s">
        <v>2850</v>
      </c>
      <c r="B2736">
        <v>1</v>
      </c>
      <c r="C2736" t="str">
        <f t="shared" si="84"/>
        <v>EMSG:YURIMEL DE LA TORRE SANCHEZSTRACE:com.farmers.config.pa.validator.BrightlineValidator.validateQuoteBrightlineRules(BrightlineValidator.gs:XXXSTRACERAW:-</v>
      </c>
      <c r="D2736" s="3">
        <f t="shared" si="85"/>
        <v>1</v>
      </c>
    </row>
    <row r="2737" spans="1:4" x14ac:dyDescent="0.35">
      <c r="A2737" t="s">
        <v>2851</v>
      </c>
      <c r="B2737">
        <v>1</v>
      </c>
      <c r="C2737" t="str">
        <f t="shared" si="84"/>
        <v>EMSG:YURIMEL DE LA TORRE SANCHEZSTRACE:gw.job.QuoteProcess.requestQuote(QuoteProcess.gs:XXXSTRACERAW:-</v>
      </c>
      <c r="D2737" s="3">
        <f t="shared" si="85"/>
        <v>1</v>
      </c>
    </row>
    <row r="2738" spans="1:4" x14ac:dyDescent="0.35">
      <c r="A2738" t="s">
        <v>2852</v>
      </c>
      <c r="B2738">
        <v>1</v>
      </c>
      <c r="C2738" t="str">
        <f t="shared" si="84"/>
        <v>EMSG:Yolanda EspinozaSTRACE:com.farmers.config.pa.validator.BrightlineValidator.validateQuoteBrightlineRules(BrightlineValidator.gs:XXXSTRACERAW:-</v>
      </c>
      <c r="D2738" s="3">
        <f t="shared" si="85"/>
        <v>1</v>
      </c>
    </row>
    <row r="2739" spans="1:4" x14ac:dyDescent="0.35">
      <c r="A2739" t="s">
        <v>1070</v>
      </c>
      <c r="B2739">
        <v>1</v>
      </c>
      <c r="C2739" t="str">
        <f t="shared" si="84"/>
        <v>EMSG:Your acknowledgment that you provided the credit disclosure (where applicable) and the applicantâ€™s response to the consent questions are required to proceed with the submission processSTRACE:you provided the credit disclosure (where applicableSTRAC</v>
      </c>
      <c r="D2739" s="3">
        <f t="shared" si="85"/>
        <v>1</v>
      </c>
    </row>
    <row r="2740" spans="1:4" x14ac:dyDescent="0.35">
      <c r="A2740" t="s">
        <v>2853</v>
      </c>
      <c r="B2740">
        <v>1</v>
      </c>
      <c r="C2740" t="str">
        <f t="shared" si="84"/>
        <v>EMSG:Yuesum ToSTRACE:com.farmers.config.pa.validator.BrightlineValidator.validateQuoteBrightlineRules(BrightlineValidator.gs:XXXSTRACERAW:-</v>
      </c>
      <c r="D2740" s="3">
        <f t="shared" si="85"/>
        <v>1</v>
      </c>
    </row>
    <row r="2741" spans="1:4" x14ac:dyDescent="0.35">
      <c r="A2741" t="s">
        <v>2854</v>
      </c>
      <c r="B2741">
        <v>1</v>
      </c>
      <c r="C2741" t="str">
        <f t="shared" si="84"/>
        <v>EMSG:Yuesum ToSTRACE:gw.job.QuoteProcess.requestQuote(QuoteProcess.gs:XXXSTRACERAW:-</v>
      </c>
      <c r="D2741" s="3">
        <f t="shared" si="85"/>
        <v>1</v>
      </c>
    </row>
    <row r="2742" spans="1:4" x14ac:dyDescent="0.35">
      <c r="A2742" t="s">
        <v>2855</v>
      </c>
      <c r="B2742">
        <v>1</v>
      </c>
      <c r="C2742" t="str">
        <f t="shared" si="84"/>
        <v>EMSG:[BUSINESS_ERROR::Agent not available haugXXXw]STRACE:com.farmers.edge.capabilities.communitymodel.checkgrantaccess.processor.CheckGrantAccessProcessor.processGrantAccess(CheckGrantAccessProcessor.gs:XXXSTRACERAW:-</v>
      </c>
      <c r="D2742" s="3">
        <f t="shared" si="85"/>
        <v>1</v>
      </c>
    </row>
    <row r="2743" spans="1:4" x14ac:dyDescent="0.35">
      <c r="A2743" t="s">
        <v>1257</v>
      </c>
      <c r="B2743">
        <v>1</v>
      </c>
      <c r="C2743" t="str">
        <f t="shared" si="84"/>
        <v>EMSG:[BUSINESS_ERROR::Agent not available lewiXXXq]STRACE:com.farmers.edge.capabilities.communitymodel.checkgrantaccess.processor.CheckGrantAccessProcessor.processGrantAccess(CheckGrantAccessProcessor.gs:XXXSTRACERAW:-</v>
      </c>
      <c r="D2743" s="3">
        <f t="shared" si="85"/>
        <v>1</v>
      </c>
    </row>
    <row r="2744" spans="1:4" x14ac:dyDescent="0.35">
      <c r="A2744" t="s">
        <v>2856</v>
      </c>
      <c r="B2744">
        <v>1</v>
      </c>
      <c r="C2744" t="str">
        <f t="shared" si="84"/>
        <v>EMSG:class com.guidewire.pl.system.entity.proxy.EffDatedVersionListOverlapException cannot be cast to class edge.validation.EdgeValidationException (com.guidewire.pl.system.entity.proxy.EffDatedVersionListOverlapException is in unnamed module of loader 'd</v>
      </c>
      <c r="D2744" s="3">
        <f t="shared" si="85"/>
        <v>1</v>
      </c>
    </row>
    <row r="2745" spans="1:4" x14ac:dyDescent="0.35">
      <c r="A2745" t="s">
        <v>2857</v>
      </c>
      <c r="B2745">
        <v>1</v>
      </c>
      <c r="C2745" t="str">
        <f t="shared" si="84"/>
        <v>EMSG:class com.guidewire.pl.system.entity.proxy.EffDatedVersionListOverlapException cannot be cast to class edge.validation.EdgeValidationException (com.guidewire.pl.system.entity.proxy.EffDatedVersionListOverlapException is in unnamed module of loader 'd</v>
      </c>
      <c r="D2745" s="3">
        <f t="shared" si="85"/>
        <v>1</v>
      </c>
    </row>
    <row r="2746" spans="1:4" x14ac:dyDescent="0.35">
      <c r="A2746" t="s">
        <v>2858</v>
      </c>
      <c r="B2746">
        <v>1</v>
      </c>
      <c r="C2746" t="str">
        <f t="shared" si="84"/>
        <v>EMSG:class com.guidewire.pl.system.entity.proxy.EffDatedVersionListOverlapException cannot be cast to class edge.validation.EdgeValidationException (com.guidewire.pl.system.entity.proxy.EffDatedVersionListOverlapException is in unnamed module of loader 'd</v>
      </c>
      <c r="D2746" s="3">
        <f t="shared" si="85"/>
        <v>1</v>
      </c>
    </row>
    <row r="2747" spans="1:4" x14ac:dyDescent="0.35">
      <c r="A2747" t="s">
        <v>2859</v>
      </c>
      <c r="B2747">
        <v>1</v>
      </c>
      <c r="C2747" t="str">
        <f t="shared" si="84"/>
        <v>EMSG:class com.guidewire.pl.system.exception.DBException cannot be cast to class edge.validation.EdgeValidationException (com.guidewire.pl.system.exception.DBException is in unnamed module of loader 'deployment.pc.war' @XXXcXXX; edge.validation.EdgeValida</v>
      </c>
      <c r="D2747" s="3">
        <f t="shared" si="85"/>
        <v>1</v>
      </c>
    </row>
    <row r="2748" spans="1:4" x14ac:dyDescent="0.35">
      <c r="A2748" t="s">
        <v>2860</v>
      </c>
      <c r="B2748">
        <v>1</v>
      </c>
      <c r="C2748" t="str">
        <f t="shared" si="84"/>
        <v>EMSG:class com.guidewire.pl.system.exception.DBNullConstraintException cannot be cast to class edge.validation.EdgeValidationException (com.guidewire.pl.system.exception.DBNullConstraintException is in unnamed module of loader 'deployment.pc.war' @XXXaebX</v>
      </c>
      <c r="D2748" s="3">
        <f t="shared" si="85"/>
        <v>1</v>
      </c>
    </row>
    <row r="2749" spans="1:4" x14ac:dyDescent="0.35">
      <c r="A2749" t="s">
        <v>2861</v>
      </c>
      <c r="B2749">
        <v>1</v>
      </c>
      <c r="C2749" t="str">
        <f t="shared" si="84"/>
        <v xml:space="preserve">EMSG:class gw.lang.parser.EvaluationException cannot be cast to class edge.validation.EdgeValidationException (gw.lang.parser.EvaluationException is in unnamed module of loader 'deployment.pc.war' @XXXbeXXXcXXX; edge.validation.EdgeValidationException is </v>
      </c>
      <c r="D2749" s="3">
        <f t="shared" si="85"/>
        <v>1</v>
      </c>
    </row>
    <row r="2750" spans="1:4" x14ac:dyDescent="0.35">
      <c r="A2750" t="s">
        <v>2862</v>
      </c>
      <c r="B2750">
        <v>1</v>
      </c>
      <c r="C2750" t="str">
        <f t="shared" si="84"/>
        <v>EMSG:class gw.lang.parser.EvaluationException cannot be cast to class edge.validation.EdgeValidationException (gw.lang.parser.EvaluationException is in unnamed module of loader 'deployment.pc.war' @XXXcXXXeXXX; edge.validation.EdgeValidationException is i</v>
      </c>
      <c r="D2750" s="3">
        <f t="shared" si="85"/>
        <v>1</v>
      </c>
    </row>
    <row r="2751" spans="1:4" x14ac:dyDescent="0.35">
      <c r="A2751" t="s">
        <v>2863</v>
      </c>
      <c r="B2751">
        <v>1</v>
      </c>
      <c r="C2751" t="str">
        <f t="shared" si="84"/>
        <v>EMSG:class gw.lang.parser.EvaluationException cannot be cast to class edge.validation.EdgeValidationException (gw.lang.parser.EvaluationException is in unnamed module of loader 'deployment.pc.war' @XXXfXXXf; edge.validation.EdgeValidationException is in u</v>
      </c>
      <c r="D2751" s="3">
        <f t="shared" si="85"/>
        <v>1</v>
      </c>
    </row>
    <row r="2752" spans="1:4" x14ac:dyDescent="0.35">
      <c r="A2752" t="s">
        <v>2864</v>
      </c>
      <c r="B2752">
        <v>1</v>
      </c>
      <c r="C2752" t="str">
        <f t="shared" si="84"/>
        <v>EMSG:com.guidewire.pl.system.exception.TransactionException: Transaction aborted by exception:Failed to execute an updateSTRACE:com.farmers.integ.framework.job.automatejob.AutomatedJob.executeJob(AutomatedJob.gs:XXXSTRACERAW:-</v>
      </c>
      <c r="D2752" s="3">
        <f t="shared" si="85"/>
        <v>1</v>
      </c>
    </row>
    <row r="2753" spans="1:4" x14ac:dyDescent="0.35">
      <c r="A2753" t="s">
        <v>2865</v>
      </c>
      <c r="B2753">
        <v>1</v>
      </c>
      <c r="C2753" t="str">
        <f t="shared" si="84"/>
        <v>EMSG:error trying to execute query of type entity.Dwelling_HOESTRACE:deployment.pc.war//com.guidewire.pl.system.database.entitysource.DatabaseEntitySource.executeQueryAndPopulateBeans(DatabaseEntitySource.java:XXXSTRACERAW:-</v>
      </c>
      <c r="D2753" s="3">
        <f t="shared" si="85"/>
        <v>1</v>
      </c>
    </row>
    <row r="2754" spans="1:4" x14ac:dyDescent="0.35">
      <c r="A2754" t="s">
        <v>2866</v>
      </c>
      <c r="B2754">
        <v>1</v>
      </c>
      <c r="C2754" t="str">
        <f t="shared" si="84"/>
        <v>EMSG:warning:entity.xxxUI-ValidationWARNMessagexxxSTRACE:-STRACERAW:may be the applicant. Please review the address at the end of this message with the applicant and, if it is the accurate address, please select the Click to Update Address/Click to Update</v>
      </c>
      <c r="D2754" s="3">
        <f t="shared" si="85"/>
        <v>1</v>
      </c>
    </row>
    <row r="2755" spans="1:4" x14ac:dyDescent="0.35">
      <c r="A2755" t="s">
        <v>2867</v>
      </c>
      <c r="B2755" s="8">
        <v>11729</v>
      </c>
      <c r="C2755" t="str">
        <f t="shared" ref="C2755:C2818" si="86">LEFT(A2755,255)</f>
        <v>EMSG:MQJCAXXX: Failed to allocate a JMS connection.STRACE:deployment.wmq.jmsra.rar//com.ibm.mq.connector.services.JCAExceptionBuilder.buildException(JCAExceptionBuilder.java:XXXSTRACERAW:-</v>
      </c>
      <c r="D2755" s="3">
        <f t="shared" ref="D2755:D2818" si="87">IF(AND((B2755/10)&lt;1,(B2755/10)&gt;0),1,(B2755/10)*130%)</f>
        <v>1524.7700000000002</v>
      </c>
    </row>
    <row r="2756" spans="1:4" x14ac:dyDescent="0.35">
      <c r="A2756" t="s">
        <v>2868</v>
      </c>
      <c r="B2756" s="8">
        <v>7591</v>
      </c>
      <c r="C2756" t="str">
        <f t="shared" si="86"/>
        <v>EMSG:, AOR=XXXSTRACE:deployment.wmq.jmsra.rar//com.ibm.mq.connector.services.JCAExceptionBuilder.buildException(JCAExceptionBuilder.java:XXXSTRACERAW:-</v>
      </c>
      <c r="D2756" s="3">
        <f t="shared" si="87"/>
        <v>986.83</v>
      </c>
    </row>
    <row r="2757" spans="1:4" x14ac:dyDescent="0.35">
      <c r="A2757" t="s">
        <v>2869</v>
      </c>
      <c r="B2757" s="8">
        <v>3563</v>
      </c>
      <c r="C2757" t="str">
        <f t="shared" si="86"/>
        <v>EMSG:-STRACE:deployment.wmq.jmsra.rar//com.ibm.mq.connector.services.JCAExceptionBuilder.buildException(JCAExceptionBuilder.java:XXXSTRACERAW:-</v>
      </c>
      <c r="D2757" s="3">
        <f t="shared" si="87"/>
        <v>463.19000000000005</v>
      </c>
    </row>
    <row r="2758" spans="1:4" x14ac:dyDescent="0.35">
      <c r="A2758" t="s">
        <v>563</v>
      </c>
      <c r="B2758">
        <v>796</v>
      </c>
      <c r="C2758" t="str">
        <f t="shared" si="86"/>
        <v>EMSG:com.guidewire.pl.system.exception.TransactionException: commitBundle must not be called in a transaction.STRACE:deployment.pc.war//com.guidewire.pl.system.bundle.EntityBundleImpl.commitAndGetBeans(EntityBundleImpl.java:XXXSTRACERAW:-</v>
      </c>
      <c r="D2758" s="3">
        <f t="shared" si="87"/>
        <v>103.47999999999999</v>
      </c>
    </row>
    <row r="2759" spans="1:4" x14ac:dyDescent="0.35">
      <c r="A2759" t="s">
        <v>2870</v>
      </c>
      <c r="B2759">
        <v>793</v>
      </c>
      <c r="C2759" t="str">
        <f t="shared" si="86"/>
        <v>EMSG:-STRACE:com.farmers.integ.distribution.opra.batch.helper.OpraRecordHandler$block_XXX_.invoke(OpraRecordHandler.gs:XXXSTRACERAW:-</v>
      </c>
      <c r="D2759" s="3">
        <f t="shared" si="87"/>
        <v>103.09</v>
      </c>
    </row>
    <row r="2760" spans="1:4" x14ac:dyDescent="0.35">
      <c r="A2760" t="s">
        <v>2871</v>
      </c>
      <c r="B2760">
        <v>649</v>
      </c>
      <c r="C2760" t="str">
        <f t="shared" si="86"/>
        <v>EMSG:Missing/Invalid Mandatory Fields - DATEOFAPPROVALSTRACE:com.farmers.integ.distribution.opra.batch.validator.OpraValidator.validate(OpraValidator.gs:XXXSTRACERAW:-</v>
      </c>
      <c r="D2760" s="3">
        <f t="shared" si="87"/>
        <v>84.37</v>
      </c>
    </row>
    <row r="2761" spans="1:4" x14ac:dyDescent="0.35">
      <c r="A2761" t="s">
        <v>931</v>
      </c>
      <c r="B2761">
        <v>469</v>
      </c>
      <c r="C2761" t="str">
        <f t="shared" si="86"/>
        <v>EMSG:, AOR=XXXSTRACE:deployment.pc.war//gw.pl.util.ExceptionUtil.convertToRuntimeException(ExceptionUtil.java:XXXSTRACERAW:-</v>
      </c>
      <c r="D2761" s="3">
        <f t="shared" si="87"/>
        <v>60.97</v>
      </c>
    </row>
    <row r="2762" spans="1:4" x14ac:dyDescent="0.35">
      <c r="A2762" t="s">
        <v>932</v>
      </c>
      <c r="B2762">
        <v>469</v>
      </c>
      <c r="C2762" t="str">
        <f t="shared" si="86"/>
        <v>EMSG:-STRACE:deployment.pc.war//gw.pl.util.ExceptionUtil.convertToRuntimeException(ExceptionUtil.java:XXXSTRACERAW:-</v>
      </c>
      <c r="D2762" s="3">
        <f t="shared" si="87"/>
        <v>60.97</v>
      </c>
    </row>
    <row r="2763" spans="1:4" x14ac:dyDescent="0.35">
      <c r="A2763" t="s">
        <v>565</v>
      </c>
      <c r="B2763">
        <v>52</v>
      </c>
      <c r="C2763" t="str">
        <f t="shared" si="86"/>
        <v>EMSG:-STRACE:-STRACERAW:com.farmers.integ.batch.recon.helper.DownstreamReconciliationProcessor.processPolicyPeriod(DownstreamReconciliationProcessor.gs:XXX</v>
      </c>
      <c r="D2763" s="3">
        <f t="shared" si="87"/>
        <v>6.7600000000000007</v>
      </c>
    </row>
    <row r="2764" spans="1:4" x14ac:dyDescent="0.35">
      <c r="A2764" t="s">
        <v>2872</v>
      </c>
      <c r="B2764">
        <v>52</v>
      </c>
      <c r="C2764" t="str">
        <f t="shared" si="86"/>
        <v>EMSG:There is no credit tier for credit peril 'waterbackupandsump' and model 'HOS'STRACE:com.farmers.rating.ho.param.HOParameterAdapter.selectCreditTier(HOParameterAdapter.gs:XXXSTRACERAW:-</v>
      </c>
      <c r="D2764" s="3">
        <f t="shared" si="87"/>
        <v>6.7600000000000007</v>
      </c>
    </row>
    <row r="2765" spans="1:4" x14ac:dyDescent="0.35">
      <c r="A2765" t="s">
        <v>2873</v>
      </c>
      <c r="B2765">
        <v>51</v>
      </c>
      <c r="C2765" t="str">
        <f t="shared" si="86"/>
        <v>EMSG:-STRACE:-STRACERAW:com.ibm.mq.connector.services.JCAExceptionBuilder.buildException(JCAExceptionBuilder.java:XXX</v>
      </c>
      <c r="D2765" s="3">
        <f t="shared" si="87"/>
        <v>6.63</v>
      </c>
    </row>
    <row r="2766" spans="1:4" x14ac:dyDescent="0.35">
      <c r="A2766" t="s">
        <v>2874</v>
      </c>
      <c r="B2766">
        <v>32</v>
      </c>
      <c r="C2766" t="str">
        <f t="shared" si="86"/>
        <v>EMSG:The value "XXX Four Oâ€™clock RdSTRACE:deployment.pc.war//com.guidewire.pl.metadata.datatypeXXX.fieldvalidator.FieldValidatorInfo.validateFormat(FieldValidatorInfo.java:XXXSTRACERAW:-</v>
      </c>
      <c r="D2766" s="3">
        <f t="shared" si="87"/>
        <v>4.16</v>
      </c>
    </row>
    <row r="2767" spans="1:4" x14ac:dyDescent="0.35">
      <c r="A2767" t="s">
        <v>463</v>
      </c>
      <c r="B2767">
        <v>24</v>
      </c>
      <c r="C2767" t="str">
        <f t="shared" si="86"/>
        <v>EMSG:-STRACE:-STRACERAW:deployment.pc.war//com.guidewire.pl.system.entity.proxy.EffDatedBaseProxy.getSliceUntyped(EffDatedBaseProxy.java:XXX</v>
      </c>
      <c r="D2767" s="3">
        <f t="shared" si="87"/>
        <v>3.12</v>
      </c>
    </row>
    <row r="2768" spans="1:4" x14ac:dyDescent="0.35">
      <c r="A2768" t="s">
        <v>2875</v>
      </c>
      <c r="B2768">
        <v>24</v>
      </c>
      <c r="C2768" t="str">
        <f t="shared" si="86"/>
        <v>EMSG:Unrecognized token 'Server': was expecting (JSON StringSTRACE:[Source: (StringSTRACERAW:-</v>
      </c>
      <c r="D2768" s="3">
        <f t="shared" si="87"/>
        <v>3.12</v>
      </c>
    </row>
    <row r="2769" spans="1:4" x14ac:dyDescent="0.35">
      <c r="A2769" t="s">
        <v>494</v>
      </c>
      <c r="B2769">
        <v>20</v>
      </c>
      <c r="C2769" t="str">
        <f t="shared" si="86"/>
        <v>EMSG:UWIssue: UW.XXXa null: Ineligible Condition - Loss Threshold Exceeded UW.XXXaSTRACE:com.farmers.integ.framework.job.automatejob.AutomatedJob.executeJob(AutomatedJob.gs:XXXSTRACERAW:-</v>
      </c>
      <c r="D2769" s="3">
        <f t="shared" si="87"/>
        <v>2.6</v>
      </c>
    </row>
    <row r="2770" spans="1:4" x14ac:dyDescent="0.35">
      <c r="A2770" t="s">
        <v>999</v>
      </c>
      <c r="B2770">
        <v>18</v>
      </c>
      <c r="C2770" t="str">
        <f t="shared" si="86"/>
        <v>EMSG:-STRACE:-STRACERAW:most one result.  Select statement causing error: Values=[Michigan (typekey</v>
      </c>
      <c r="D2770" s="3">
        <f t="shared" si="87"/>
        <v>2.3400000000000003</v>
      </c>
    </row>
    <row r="2771" spans="1:4" x14ac:dyDescent="0.35">
      <c r="A2771" t="s">
        <v>1132</v>
      </c>
      <c r="B2771">
        <v>16</v>
      </c>
      <c r="C2771" t="str">
        <f t="shared" si="86"/>
        <v>EMSG:Could not map property (entity-PolicyDriver).DriverSignal_Ext.SendUpdateToSignalVendorSTRACE:deployment.pc.war//gw.internal.xml.gx.GxRuntime.createElement(GxRuntime.java:XXXSTRACERAW:-</v>
      </c>
      <c r="D2771" s="3">
        <f t="shared" si="87"/>
        <v>2.08</v>
      </c>
    </row>
    <row r="2772" spans="1:4" x14ac:dyDescent="0.35">
      <c r="A2772" t="s">
        <v>2876</v>
      </c>
      <c r="B2772">
        <v>16</v>
      </c>
      <c r="C2772" t="str">
        <f t="shared" si="86"/>
        <v>EMSG:Re-enter "License #". Duplicate License Number entered for the following Drivers William StovallSTRACE:edge.capabilities.quote.submission.quoting.util.SubmissionUnderwritingIssuesUtil.checkVerifyRateExceptions(SubmissionUnderwritingIssuesUtil.gs:XXXS</v>
      </c>
      <c r="D2772" s="3">
        <f t="shared" si="87"/>
        <v>2.08</v>
      </c>
    </row>
    <row r="2773" spans="1:4" x14ac:dyDescent="0.35">
      <c r="A2773" t="s">
        <v>669</v>
      </c>
      <c r="B2773">
        <v>15</v>
      </c>
      <c r="C2773" t="str">
        <f t="shared" si="86"/>
        <v>EMSG:-STRACE:-STRACERAW:deployment.pc.war//com.guidewire.pc.domain.product.impl.ProductSelectionImpl.createSubmission(ProductSelectionImpl.java:XXX</v>
      </c>
      <c r="D2773" s="3">
        <f t="shared" si="87"/>
        <v>1.9500000000000002</v>
      </c>
    </row>
    <row r="2774" spans="1:4" x14ac:dyDescent="0.35">
      <c r="A2774" t="s">
        <v>2877</v>
      </c>
      <c r="B2774">
        <v>13</v>
      </c>
      <c r="C2774" t="str">
        <f t="shared" si="86"/>
        <v>EMSG:Enter Signal Phone number for Reed C Rosneck. A cell phone number is required for Signal enrollment.;STRACE:edge.capabilities.quote.submission.quoting.util.SubmissionUnderwritingIssuesUtil.checkVerifyRateExceptions(SubmissionUnderwritingIssuesUtil.gs</v>
      </c>
      <c r="D2774" s="3">
        <f t="shared" si="87"/>
        <v>1.6900000000000002</v>
      </c>
    </row>
    <row r="2775" spans="1:4" x14ac:dyDescent="0.35">
      <c r="A2775" t="s">
        <v>1044</v>
      </c>
      <c r="B2775">
        <v>12</v>
      </c>
      <c r="C2775" t="str">
        <f t="shared" si="86"/>
        <v>EMSG:-STRACE:-STRACERAW:Dec XXX XXX:XXX:XXX PST XXX (attempted merging values Homeowners Line and Homeowners Line</v>
      </c>
      <c r="D2775" s="3">
        <f t="shared" si="87"/>
        <v>1.56</v>
      </c>
    </row>
    <row r="2776" spans="1:4" ht="43.5" x14ac:dyDescent="0.35">
      <c r="A2776" s="4" t="s">
        <v>2878</v>
      </c>
      <c r="B2776">
        <v>12</v>
      </c>
      <c r="C2776" t="str">
        <f t="shared" si="86"/>
        <v>EMSG:Dwelling at XXXSTRACE:XXX Wycliff Ave, Dallas, TX: Replacement Cost Value Valuation Method on Personal Property is no longer available and has been removed. Please enter a new value.; Dwelling at XXX Wycliff Ave, Dallas, TX: No message configured
	at</v>
      </c>
      <c r="D2776" s="3">
        <f t="shared" si="87"/>
        <v>1.56</v>
      </c>
    </row>
    <row r="2777" spans="1:4" x14ac:dyDescent="0.35">
      <c r="A2777" t="s">
        <v>2879</v>
      </c>
      <c r="B2777">
        <v>12</v>
      </c>
      <c r="C2777" t="str">
        <f t="shared" si="86"/>
        <v>EMSG:Re-enter "License #". Duplicate License Number entered for the following Drivers Mary MugnierSTRACE:edge.capabilities.quote.submission.quoting.util.SubmissionUnderwritingIssuesUtil.checkVerifyRateExceptions(SubmissionUnderwritingIssuesUtil.gs:XXXSTRA</v>
      </c>
      <c r="D2777" s="3">
        <f t="shared" si="87"/>
        <v>1.56</v>
      </c>
    </row>
    <row r="2778" spans="1:4" ht="72.5" x14ac:dyDescent="0.35">
      <c r="A2778" s="4" t="s">
        <v>2880</v>
      </c>
      <c r="B2778">
        <v>12</v>
      </c>
      <c r="C2778" t="str">
        <f t="shared" si="86"/>
        <v>EMSG:Select XXX as the Primary Driver on at least one vehicle. Since the number of vehicles is greater than the number of driversSTRACE:least one vehicle. Since the number of vehicles is greater than the number of drivers, each driver must be a Primary Dr</v>
      </c>
      <c r="D2778" s="3">
        <f t="shared" si="87"/>
        <v>1.56</v>
      </c>
    </row>
    <row r="2779" spans="1:4" x14ac:dyDescent="0.35">
      <c r="A2779" t="s">
        <v>2881</v>
      </c>
      <c r="B2779">
        <v>12</v>
      </c>
      <c r="C2779" t="str">
        <f t="shared" si="86"/>
        <v>EMSG:Unrecognized token 'No': was expecting (JSON StringSTRACE:[Source: (StringSTRACERAW:-</v>
      </c>
      <c r="D2779" s="3">
        <f t="shared" si="87"/>
        <v>1.56</v>
      </c>
    </row>
    <row r="2780" spans="1:4" x14ac:dyDescent="0.35">
      <c r="A2780" t="s">
        <v>2882</v>
      </c>
      <c r="B2780">
        <v>11</v>
      </c>
      <c r="C2780" t="str">
        <f t="shared" si="86"/>
        <v>EMSG:, AOR=XXXSTRACE:-STRACERAW:Feb XXX XXX:XXX:XXX PST XXX, MSG=Unable to Add Mortgagee.(EXXX</v>
      </c>
      <c r="D2780" s="3">
        <f t="shared" si="87"/>
        <v>1.4300000000000002</v>
      </c>
    </row>
    <row r="2781" spans="1:4" x14ac:dyDescent="0.35">
      <c r="A2781" t="s">
        <v>2883</v>
      </c>
      <c r="B2781">
        <v>11</v>
      </c>
      <c r="C2781" t="str">
        <f t="shared" si="86"/>
        <v>EMSG:-STRACE:-STRACERAW:pcfc.expressions.RatingCumulDetailsPanelSet_PersonalAutoLineExpressions$RatingCumulDetailsPanelSetExpressionsImpl.coverageDisplayName(RatingCumulDetailsPanelSet_PersonalAutoLineExpressions.gs:XXX</v>
      </c>
      <c r="D2781" s="3">
        <f t="shared" si="87"/>
        <v>1.4300000000000002</v>
      </c>
    </row>
    <row r="2782" spans="1:4" x14ac:dyDescent="0.35">
      <c r="A2782" t="s">
        <v>2884</v>
      </c>
      <c r="B2782">
        <v>11</v>
      </c>
      <c r="C2782" t="str">
        <f t="shared" si="86"/>
        <v>EMSG:For eligible contact Nicholas Bartman credit score is null. Please make sure credit is orderedSTRACE:com.farmers.config.common.credit.CreditScoreHelper.populateRatingCreditDTO(CreditScoreHelper.gs:XXXSTRACERAW:-</v>
      </c>
      <c r="D2782" s="3">
        <f t="shared" si="87"/>
        <v>1.4300000000000002</v>
      </c>
    </row>
    <row r="2783" spans="1:4" x14ac:dyDescent="0.35">
      <c r="A2783" t="s">
        <v>2885</v>
      </c>
      <c r="B2783">
        <v>10</v>
      </c>
      <c r="C2783" t="str">
        <f t="shared" si="86"/>
        <v>EMSG:, AOR=XXXSTRACE:com.farmers.rating.capping.factor.impl.CappingFactorCalculatorBaseImpl.calculateRateStabilityFactor(CappingFactorCalculatorBaseImpl.gs:XXXSTRACERAW:-</v>
      </c>
      <c r="D2783" s="3">
        <f t="shared" si="87"/>
        <v>1.3</v>
      </c>
    </row>
    <row r="2784" spans="1:4" x14ac:dyDescent="0.35">
      <c r="A2784" t="s">
        <v>2886</v>
      </c>
      <c r="B2784">
        <v>10</v>
      </c>
      <c r="C2784" t="str">
        <f t="shared" si="86"/>
        <v>EMSG:-STRACE:-STRACERAW:com.farmers.rating.capping.factor.impl.CappingFactorCalculatorBaseImpl.calculateRateStabilityFactor(CappingFactorCalculatorBaseImpl.gs:XXX</v>
      </c>
      <c r="D2784" s="3">
        <f t="shared" si="87"/>
        <v>1.3</v>
      </c>
    </row>
    <row r="2785" spans="1:4" x14ac:dyDescent="0.35">
      <c r="A2785" t="s">
        <v>2887</v>
      </c>
      <c r="B2785">
        <v>9</v>
      </c>
      <c r="C2785" t="str">
        <f t="shared" si="86"/>
        <v>EMSG:, AOR=XXXSTRACE:-STRACERAW:Feb XXX XXX:XXX:XXX PST XXX, MSG=Contact Service Operations for assistance at (XXX</v>
      </c>
      <c r="D2785" s="3">
        <f t="shared" si="87"/>
        <v>1</v>
      </c>
    </row>
    <row r="2786" spans="1:4" x14ac:dyDescent="0.35">
      <c r="A2786" t="s">
        <v>581</v>
      </c>
      <c r="B2786">
        <v>9</v>
      </c>
      <c r="C2786" t="str">
        <f t="shared" si="86"/>
        <v>EMSG:Could not map property TransactionAmount_ExtSTRACE:deployment.pc.war//gw.internal.xml.gx.GxRuntime.createElement(GxRuntime.java:XXXSTRACERAW:-</v>
      </c>
      <c r="D2786" s="3">
        <f t="shared" si="87"/>
        <v>1</v>
      </c>
    </row>
    <row r="2787" spans="1:4" x14ac:dyDescent="0.35">
      <c r="A2787" t="s">
        <v>2888</v>
      </c>
      <c r="B2787">
        <v>8</v>
      </c>
      <c r="C2787" t="str">
        <f t="shared" si="86"/>
        <v>EMSG:Could not map property DeriveImapactsEligibilitySTRACE:deployment.pc.war//gw.internal.xml.gx.GxRuntime.createElement(GxRuntime.java:XXXSTRACERAW:-</v>
      </c>
      <c r="D2787" s="3">
        <f t="shared" si="87"/>
        <v>1</v>
      </c>
    </row>
    <row r="2788" spans="1:4" ht="29" x14ac:dyDescent="0.35">
      <c r="A2788" s="4" t="s">
        <v>2889</v>
      </c>
      <c r="B2788">
        <v>8</v>
      </c>
      <c r="C2788" t="str">
        <f t="shared" si="86"/>
        <v>EMSG:Dwelling at XXXSTRACE:XXX F St, Staunton, VA: Standard Limit on Special Limits on Personal Property is no longer available and has been removed. Please enter a new value.
	at gw.api.extension.PCExtensionInterfacesMapper$block_XXX_.invoke(PCExtensionI</v>
      </c>
      <c r="D2788" s="3">
        <f t="shared" si="87"/>
        <v>1</v>
      </c>
    </row>
    <row r="2789" spans="1:4" x14ac:dyDescent="0.35">
      <c r="A2789" t="s">
        <v>2890</v>
      </c>
      <c r="B2789">
        <v>8</v>
      </c>
      <c r="C2789" t="str">
        <f t="shared" si="86"/>
        <v>EMSG:PersonalVehFeeCost_Ext with FixedID:XXX and window XXXSTRACE:deployment.pc.war//com.guidewire.pl.system.entity.proxy.EffDatedVersionListImpl.lambda$isNonOverlapping$XXX(EffDatedVersionListImpl.java:XXXSTRACERAW:-</v>
      </c>
      <c r="D2789" s="3">
        <f t="shared" si="87"/>
        <v>1</v>
      </c>
    </row>
    <row r="2790" spans="1:4" x14ac:dyDescent="0.35">
      <c r="A2790" t="s">
        <v>2891</v>
      </c>
      <c r="B2790">
        <v>8</v>
      </c>
      <c r="C2790" t="str">
        <f t="shared" si="86"/>
        <v>EMSG:Re-enter "License #". Duplicate License Number entered for the following Drivers WILLIAM B STOVALLSTRACE:edge.capabilities.quote.submission.quoting.util.SubmissionUnderwritingIssuesUtil.checkVerifyRateExceptions(SubmissionUnderwritingIssuesUtil.gs:XX</v>
      </c>
      <c r="D2790" s="3">
        <f t="shared" si="87"/>
        <v>1</v>
      </c>
    </row>
    <row r="2791" spans="1:4" x14ac:dyDescent="0.35">
      <c r="A2791" t="s">
        <v>2892</v>
      </c>
      <c r="B2791">
        <v>8</v>
      </c>
      <c r="C2791" t="str">
        <f t="shared" si="86"/>
        <v>EMSG:java.sql.SQLRecoverableException: Closed ConnectionSTRACE:deployment.pc.war//gw.pl.util.ExceptionUtil.convertToRuntimeException(ExceptionUtil.java:XXXSTRACERAW:-</v>
      </c>
      <c r="D2791" s="3">
        <f t="shared" si="87"/>
        <v>1</v>
      </c>
    </row>
    <row r="2792" spans="1:4" x14ac:dyDescent="0.35">
      <c r="A2792" t="s">
        <v>681</v>
      </c>
      <c r="B2792">
        <v>7</v>
      </c>
      <c r="C2792" t="str">
        <f t="shared" si="86"/>
        <v>EMSG:-STRACE:-STRACERAW:gw.contact.PolicyContactRoleEnhancement.AgeAtEffDate(PolicyContactRoleEnhancement.gsx:XXX</v>
      </c>
      <c r="D2792" s="3">
        <f t="shared" si="87"/>
        <v>1</v>
      </c>
    </row>
    <row r="2793" spans="1:4" x14ac:dyDescent="0.35">
      <c r="A2793" t="s">
        <v>2893</v>
      </c>
      <c r="B2793">
        <v>6</v>
      </c>
      <c r="C2793" t="str">
        <f t="shared" si="86"/>
        <v>EMSG:-STRACE:-STRACERAW:com.farmers.integ.erti.iso.location.impl.PPCISOLocationFinder.checkDistanceToFireStation(PPCISOLocationFinder.gs:XXX</v>
      </c>
      <c r="D2793" s="3">
        <f t="shared" si="87"/>
        <v>1</v>
      </c>
    </row>
    <row r="2794" spans="1:4" x14ac:dyDescent="0.35">
      <c r="A2794" t="s">
        <v>213</v>
      </c>
      <c r="B2794">
        <v>6</v>
      </c>
      <c r="C2794" t="str">
        <f t="shared" si="86"/>
        <v>EMSG:-STRACE:deployment.pc.war//gw.lang.enhancements.OrderedList$XXX.compare(OrderedList.java:XXXSTRACERAW:-</v>
      </c>
      <c r="D2794" s="3">
        <f t="shared" si="87"/>
        <v>1</v>
      </c>
    </row>
    <row r="2795" spans="1:4" ht="29" x14ac:dyDescent="0.35">
      <c r="A2795" s="4" t="s">
        <v>2894</v>
      </c>
      <c r="B2795">
        <v>6</v>
      </c>
      <c r="C2795" t="str">
        <f t="shared" si="86"/>
        <v>EMSG:Dwelling at XXXSTRACE:XXX Essex St # A, Berkeley, CA: XXX% Limit on Loss of Use is no longer available and has been removed. Please enter a new value.
	at gw.api.extension.PCExtensionInterfacesMapper$block_XXX_.invoke(PCExtensionInterfacesMapper.gs:X</v>
      </c>
      <c r="D2795" s="3">
        <f t="shared" si="87"/>
        <v>1</v>
      </c>
    </row>
    <row r="2796" spans="1:4" x14ac:dyDescent="0.35">
      <c r="A2796" t="s">
        <v>2895</v>
      </c>
      <c r="B2796">
        <v>6</v>
      </c>
      <c r="C2796" t="str">
        <f t="shared" si="86"/>
        <v>EMSG:For eligible contact Micah Eastman credit score is null. Please make sure credit is orderedSTRACE:com.farmers.config.common.credit.CreditScoreHelper.populateRatingCreditDTO(CreditScoreHelper.gs:XXXSTRACERAW:-</v>
      </c>
      <c r="D2796" s="3">
        <f t="shared" si="87"/>
        <v>1</v>
      </c>
    </row>
    <row r="2797" spans="1:4" x14ac:dyDescent="0.35">
      <c r="A2797" t="s">
        <v>2896</v>
      </c>
      <c r="B2797">
        <v>6</v>
      </c>
      <c r="C2797" t="str">
        <f t="shared" si="86"/>
        <v>EMSG:For eligible contact Takesha Coleman credit score is null. Please make sure credit is orderedSTRACE:com.farmers.config.common.credit.CreditScoreHelper.populateRatingCreditDTO(CreditScoreHelper.gs:XXXSTRACERAW:-</v>
      </c>
      <c r="D2797" s="3">
        <f t="shared" si="87"/>
        <v>1</v>
      </c>
    </row>
    <row r="2798" spans="1:4" x14ac:dyDescent="0.35">
      <c r="A2798" t="s">
        <v>2897</v>
      </c>
      <c r="B2798" t="s">
        <v>2898</v>
      </c>
      <c r="C2798" t="str">
        <f t="shared" si="86"/>
        <v>EMSG:HO Desirability Logger</v>
      </c>
      <c r="D2798" s="3" t="e">
        <f t="shared" si="87"/>
        <v>#VALUE!</v>
      </c>
    </row>
    <row r="2799" spans="1:4" x14ac:dyDescent="0.35">
      <c r="A2799" t="s">
        <v>2899</v>
      </c>
      <c r="B2799">
        <v>6</v>
      </c>
      <c r="C2799" t="str">
        <f t="shared" si="86"/>
        <v>EMSG:Homeowners Loss Of Use: The coverage term 'ALE Term' is required. Enter a value.STRACE:edge.capabilities.quote.submission.quoting.util.SubmissionUnderwritingIssuesUtil.checkSideBySideProcessExceptions(SubmissionUnderwritingIssuesUtil.gs:XXXSTRACERAW:</v>
      </c>
      <c r="D2799" s="3">
        <f t="shared" si="87"/>
        <v>1</v>
      </c>
    </row>
    <row r="2800" spans="1:4" x14ac:dyDescent="0.35">
      <c r="A2800" t="s">
        <v>2900</v>
      </c>
      <c r="B2800">
        <v>6</v>
      </c>
      <c r="C2800" t="str">
        <f t="shared" si="86"/>
        <v>EMSG:Jeremy LopezSTRACE:com.farmers.config.pa.validator.BrightlineValidator.validateQuoteBrightlineRules(BrightlineValidator.gs:XXXSTRACERAW:-</v>
      </c>
      <c r="D2800" s="3">
        <f t="shared" si="87"/>
        <v>1</v>
      </c>
    </row>
    <row r="2801" spans="1:4" x14ac:dyDescent="0.35">
      <c r="A2801" t="s">
        <v>2901</v>
      </c>
      <c r="B2801">
        <v>6</v>
      </c>
      <c r="C2801" t="str">
        <f t="shared" si="86"/>
        <v>EMSG:Rideshare and Food Delivery Coverage: The coverage term 'Coverage is' is required. Enter a value.;STRACE:edge.capabilities.quote.submission.quoting.util.SubmissionUnderwritingIssuesUtil.checkVerifyRateExceptions(SubmissionUnderwritingIssuesUtil.gs:XX</v>
      </c>
      <c r="D2801" s="3">
        <f t="shared" si="87"/>
        <v>1</v>
      </c>
    </row>
    <row r="2802" spans="1:4" ht="72.5" x14ac:dyDescent="0.35">
      <c r="A2802" s="4" t="s">
        <v>2902</v>
      </c>
      <c r="B2802">
        <v>6</v>
      </c>
      <c r="C2802" t="str">
        <f t="shared" si="86"/>
        <v>EMSG:Select XXX as the Primary Driver on at least one vehicle. Since the number of vehicles is greater than the number of driversSTRACE:least one vehicle. Since the number of vehicles is greater than the number of drivers, each driver must be a Primary Dr</v>
      </c>
      <c r="D2802" s="3">
        <f t="shared" si="87"/>
        <v>1</v>
      </c>
    </row>
    <row r="2803" spans="1:4" x14ac:dyDescent="0.35">
      <c r="A2803" t="s">
        <v>1232</v>
      </c>
      <c r="B2803">
        <v>6</v>
      </c>
      <c r="C2803" t="str">
        <f t="shared" si="86"/>
        <v>EMSG:There are no assigned drivers for vehicle(s) # XXXSTRACE:edge.capabilities.quote.submission.quoting.util.SubmissionUnderwritingIssuesUtil.checkSideBySideProcessExceptions(SubmissionUnderwritingIssuesUtil.gs:XXXSTRACERAW:-</v>
      </c>
      <c r="D2803" s="3">
        <f t="shared" si="87"/>
        <v>1</v>
      </c>
    </row>
    <row r="2804" spans="1:4" x14ac:dyDescent="0.35">
      <c r="A2804" t="s">
        <v>2903</v>
      </c>
      <c r="B2804">
        <v>6</v>
      </c>
      <c r="C2804" t="str">
        <f t="shared" si="86"/>
        <v>EMSG:Update the missing required field. Garaged ZIP Town for vehicle XXX HONDA ACCORD XXXD SPORT needs to be selected when Garaging location ZIP code is associated with multiple town names.;STRACE:edge.capabilities.quote.submission.quoting.util.Submission</v>
      </c>
      <c r="D2804" s="3">
        <f t="shared" si="87"/>
        <v>1</v>
      </c>
    </row>
    <row r="2805" spans="1:4" ht="43.5" x14ac:dyDescent="0.35">
      <c r="A2805" s="4" t="s">
        <v>2904</v>
      </c>
      <c r="B2805">
        <v>6</v>
      </c>
      <c r="C2805" t="str">
        <f t="shared" si="86"/>
        <v>EMSG:error:entity.xxxUI-ValidationERRORMessagexxxSTRACE:of XXX-XXX-XXXX;error:entity.Person.HomePhone/Correct the Phone Number. Phone Number should be a ten digit numerical value in the format of XXX-XXX-XXXX
	at deployment.pc.war//gw.api.validation.Valid</v>
      </c>
      <c r="D2805" s="3">
        <f t="shared" si="87"/>
        <v>1</v>
      </c>
    </row>
    <row r="2806" spans="1:4" ht="43.5" x14ac:dyDescent="0.35">
      <c r="A2806" s="4" t="s">
        <v>2905</v>
      </c>
      <c r="B2806">
        <v>6</v>
      </c>
      <c r="C2806" t="str">
        <f t="shared" si="86"/>
        <v>EMSG:error:entity.xxxUI-ValidationERRORMessagexxxSTRACE:of XXX-XXX-XXXX;error:entity.PolicyPriNamedInsured.HomePhoneInternal/Correct the Phone Number. Phone Number should be a ten digit numerical value in the format of XXX-XXX-XXXX
	at deployment.pc.war//</v>
      </c>
      <c r="D2806" s="3">
        <f t="shared" si="87"/>
        <v>1</v>
      </c>
    </row>
    <row r="2807" spans="1:4" x14ac:dyDescent="0.35">
      <c r="A2807" t="s">
        <v>2906</v>
      </c>
      <c r="B2807">
        <v>5</v>
      </c>
      <c r="C2807" t="str">
        <f t="shared" si="86"/>
        <v>EMSG:, AOR=XXXSTRACE:gw.acc.luw.rules.LUWCascadeToFutureTermsProcessor.actOnChild(LUWCascadeToFutureTermsProcessor.gs:XXXSTRACERAW:-</v>
      </c>
      <c r="D2807" s="3">
        <f t="shared" si="87"/>
        <v>1</v>
      </c>
    </row>
    <row r="2808" spans="1:4" x14ac:dyDescent="0.35">
      <c r="A2808" t="s">
        <v>2907</v>
      </c>
      <c r="B2808">
        <v>5</v>
      </c>
      <c r="C2808" t="str">
        <f t="shared" si="86"/>
        <v>EMSG:DERECK DIAZSTRACE:com.farmers.config.pa.validator.BrightlineValidator.validateQuoteBrightlineRules(BrightlineValidator.gs:XXXSTRACERAW:-</v>
      </c>
      <c r="D2808" s="3">
        <f t="shared" si="87"/>
        <v>1</v>
      </c>
    </row>
    <row r="2809" spans="1:4" x14ac:dyDescent="0.35">
      <c r="A2809" t="s">
        <v>2908</v>
      </c>
      <c r="B2809">
        <v>5</v>
      </c>
      <c r="C2809" t="str">
        <f t="shared" si="86"/>
        <v>EMSG:Ineligible Condition - XXX% ITV required for monoline policies in this county;STRACE:edge.capabilities.quote.submission.quoting.util.SubmissionUnderwritingIssuesUtil.checkVerifyRateExceptions(SubmissionUnderwritingIssuesUtil.gs:XXXSTRACERAW:-</v>
      </c>
      <c r="D2809" s="3">
        <f t="shared" si="87"/>
        <v>1</v>
      </c>
    </row>
    <row r="2810" spans="1:4" ht="29" x14ac:dyDescent="0.35">
      <c r="A2810" s="4" t="s">
        <v>2909</v>
      </c>
      <c r="B2810">
        <v>4</v>
      </c>
      <c r="C2810" t="str">
        <f t="shared" si="86"/>
        <v>EMSG:A report shows that the XXXSTRACE:the  XXX CHEVROLET CRUZE XXXD LT has been flagged as having Vehicle History activity.
	at edge.capabilities.quote.submission.quoting.util.SubmissionUnderwritingIssuesUtil.checkSideBySideProcessExceptions(SubmissionUn</v>
      </c>
      <c r="D2810" s="3">
        <f t="shared" si="87"/>
        <v>1</v>
      </c>
    </row>
    <row r="2811" spans="1:4" ht="43.5" x14ac:dyDescent="0.35">
      <c r="A2811" s="4" t="s">
        <v>2910</v>
      </c>
      <c r="B2811">
        <v>4</v>
      </c>
      <c r="C2811" t="str">
        <f t="shared" si="86"/>
        <v>EMSG:A report shows that the XXXSTRACE:the  XXX GMC TRUCK SIERRA XXX CR XXXXXXX DENALI, XXX BENTLEY CONTINENTAL GTC CONV XXXWD has been flagged as having Vehicle History activity.
	at edge.capabilities.quote.submission.quoting.util.SubmissionUnderwritingI</v>
      </c>
      <c r="D2811" s="3">
        <f t="shared" si="87"/>
        <v>1</v>
      </c>
    </row>
    <row r="2812" spans="1:4" ht="29" x14ac:dyDescent="0.35">
      <c r="A2812" s="4" t="s">
        <v>2911</v>
      </c>
      <c r="B2812">
        <v>4</v>
      </c>
      <c r="C2812" t="str">
        <f t="shared" si="86"/>
        <v>EMSG:A report shows that the XXXSTRACE:the  XXX HONDA ELEMENT XXXD XXXWD EX-P has been flagged as having Vehicle History activity.
	at edge.capabilities.quote.submission.quoting.util.SubmissionUnderwritingIssuesUtil.checkSideBySideProcessExceptions(Submis</v>
      </c>
      <c r="D2812" s="3">
        <f t="shared" si="87"/>
        <v>1</v>
      </c>
    </row>
    <row r="2813" spans="1:4" ht="29" x14ac:dyDescent="0.35">
      <c r="A2813" s="4" t="s">
        <v>2912</v>
      </c>
      <c r="B2813">
        <v>4</v>
      </c>
      <c r="C2813" t="str">
        <f t="shared" si="86"/>
        <v>EMSG:Dwelling at XXXSTRACE:XXX Delmar Ter, Pueblo, CO: XXX% Limit on Extended Replacement Cost is no longer available and has been removed. Please enter a new value.
	at gw.api.extension.PCExtensionInterfacesMapper$block_XXX_.invoke(PCExtensionInterfacesM</v>
      </c>
      <c r="D2813" s="3">
        <f t="shared" si="87"/>
        <v>1</v>
      </c>
    </row>
    <row r="2814" spans="1:4" x14ac:dyDescent="0.35">
      <c r="A2814" t="s">
        <v>2913</v>
      </c>
      <c r="B2814">
        <v>4</v>
      </c>
      <c r="C2814" t="str">
        <f t="shared" si="86"/>
        <v>EMSG:Failed to execute a querySTRACE:com.farmers.integ.framework.service.rest.RestServiceAdapter.invokeService(RestServiceAdapter.gs:XXXSTRACERAW:-</v>
      </c>
      <c r="D2814" s="3">
        <f t="shared" si="87"/>
        <v>1</v>
      </c>
    </row>
    <row r="2815" spans="1:4" x14ac:dyDescent="0.35">
      <c r="A2815" t="s">
        <v>2914</v>
      </c>
      <c r="B2815">
        <v>4</v>
      </c>
      <c r="C2815" t="str">
        <f t="shared" si="86"/>
        <v>EMSG:For eligible contact David Ritter credit score is null. Please make sure credit is orderedSTRACE:com.farmers.config.common.credit.CreditScoreHelper.populateRatingCreditDTO(CreditScoreHelper.gs:XXXSTRACERAW:-</v>
      </c>
      <c r="D2815" s="3">
        <f t="shared" si="87"/>
        <v>1</v>
      </c>
    </row>
    <row r="2816" spans="1:4" x14ac:dyDescent="0.35">
      <c r="A2816" t="s">
        <v>2915</v>
      </c>
      <c r="B2816">
        <v>4</v>
      </c>
      <c r="C2816" t="str">
        <f t="shared" si="86"/>
        <v>EMSG:For eligible contact Jillian Marcucci credit score is null. Please make sure credit is orderedSTRACE:com.farmers.config.common.credit.CreditScoreHelper.populateRatingCreditDTO(CreditScoreHelper.gs:XXXSTRACERAW:-</v>
      </c>
      <c r="D2816" s="3">
        <f t="shared" si="87"/>
        <v>1</v>
      </c>
    </row>
    <row r="2817" spans="1:4" ht="43.5" x14ac:dyDescent="0.35">
      <c r="A2817" s="4" t="s">
        <v>2916</v>
      </c>
      <c r="B2817">
        <v>4</v>
      </c>
      <c r="C2817" t="str">
        <f t="shared" si="86"/>
        <v>EMSG:Found more than one target of the property XXXSTRACE:XXX Keswick Ave, Los Angeles, CA': ['HOConstructionDetails_Ext:pc:XXX - Dwelling Construction Details', 'HOConstructionDetails_Ext:pc:XXX - Dwelling Construction Details']. This could be due to a c</v>
      </c>
      <c r="D2817" s="3">
        <f t="shared" si="87"/>
        <v>1</v>
      </c>
    </row>
    <row r="2818" spans="1:4" ht="43.5" x14ac:dyDescent="0.35">
      <c r="A2818" s="4" t="s">
        <v>2917</v>
      </c>
      <c r="B2818">
        <v>4</v>
      </c>
      <c r="C2818" t="str">
        <f t="shared" si="86"/>
        <v>EMSG:Found more than one target of the property XXXSTRACE:XXX Latham Ct, Brentwood, CA': ['HOConstructionDetails_Ext:pc:XXX - Dwelling Construction Details', 'HOConstructionDetails_Ext:pc:XXX - Dwelling Construction Details']. This could be due to a concu</v>
      </c>
      <c r="D2818" s="3">
        <f t="shared" si="87"/>
        <v>1</v>
      </c>
    </row>
    <row r="2819" spans="1:4" ht="43.5" x14ac:dyDescent="0.35">
      <c r="A2819" s="4" t="s">
        <v>2918</v>
      </c>
      <c r="B2819">
        <v>4</v>
      </c>
      <c r="C2819" t="str">
        <f t="shared" ref="C2819:C2882" si="88">LEFT(A2819,255)</f>
        <v>EMSG:Found more than one target of the property XXXSTRACE:XXX Lemming St, Lakewood, CA': ['HOConstructionDetails_Ext:pc:XXX - Dwelling Construction Details', 'HOConstructionDetails_Ext:pc:XXX - Dwelling Construction Details']. This could be due to a concu</v>
      </c>
      <c r="D2819" s="3">
        <f t="shared" ref="D2819:D2882" si="89">IF(AND((B2819/10)&lt;1,(B2819/10)&gt;0),1,(B2819/10)*130%)</f>
        <v>1</v>
      </c>
    </row>
    <row r="2820" spans="1:4" ht="43.5" x14ac:dyDescent="0.35">
      <c r="A2820" s="4" t="s">
        <v>2919</v>
      </c>
      <c r="B2820">
        <v>4</v>
      </c>
      <c r="C2820" t="str">
        <f t="shared" si="88"/>
        <v xml:space="preserve">EMSG:Found more than one target of the property XXXSTRACE:XXX MURRELL RD, SANTA BARBARA, CA': ['HOConstructionDetails_Ext:pc:XXX - Dwelling Construction Details', 'HOConstructionDetails_Ext:pc:XXX - Dwelling Construction Details']. This could be due to a </v>
      </c>
      <c r="D2820" s="3">
        <f t="shared" si="89"/>
        <v>1</v>
      </c>
    </row>
    <row r="2821" spans="1:4" ht="43.5" x14ac:dyDescent="0.35">
      <c r="A2821" s="4" t="s">
        <v>2920</v>
      </c>
      <c r="B2821">
        <v>4</v>
      </c>
      <c r="C2821" t="str">
        <f t="shared" si="88"/>
        <v>EMSG:Found more than one target of the property XXXSTRACE:XXX Sienna Ct, Hollister, CA': ['HOConstructionDetails_Ext:pc:XXX - Dwelling Construction Details', 'HOConstructionDetails_Ext:pc:XXX - Dwelling Construction Details']. This could be due to a concu</v>
      </c>
      <c r="D2821" s="3">
        <f t="shared" si="89"/>
        <v>1</v>
      </c>
    </row>
    <row r="2822" spans="1:4" ht="43.5" x14ac:dyDescent="0.35">
      <c r="A2822" s="4" t="s">
        <v>2921</v>
      </c>
      <c r="B2822">
        <v>4</v>
      </c>
      <c r="C2822" t="str">
        <f t="shared" si="88"/>
        <v>EMSG:Found more than one target of the property XXXSTRACE:XXX W Almond St, Compton, CA': ['HOConstructionDetails_Ext:pc:XXX - Dwelling Construction Details', 'HOConstructionDetails_Ext:pc:XXX - Dwelling Construction Details']. This could be due to a concu</v>
      </c>
      <c r="D2822" s="3">
        <f t="shared" si="89"/>
        <v>1</v>
      </c>
    </row>
    <row r="2823" spans="1:4" x14ac:dyDescent="0.35">
      <c r="A2823" t="s">
        <v>2922</v>
      </c>
      <c r="B2823">
        <v>4</v>
      </c>
      <c r="C2823" t="str">
        <f t="shared" si="88"/>
        <v>EMSG:MARY FOWLERNORMANSTRACE:com.farmers.config.pa.validator.BrightlineValidator.validateQuoteBrightlineRules(BrightlineValidator.gs:XXXSTRACERAW:-</v>
      </c>
      <c r="D2823" s="3">
        <f t="shared" si="89"/>
        <v>1</v>
      </c>
    </row>
    <row r="2824" spans="1:4" x14ac:dyDescent="0.35">
      <c r="A2824" t="s">
        <v>2923</v>
      </c>
      <c r="B2824">
        <v>4</v>
      </c>
      <c r="C2824" t="str">
        <f t="shared" si="88"/>
        <v>EMSG:MARY FOWLERNORMANSTRACE:gw.job.QuoteProcess.requestQuote(QuoteProcess.gs:XXXSTRACERAW:-</v>
      </c>
      <c r="D2824" s="3">
        <f t="shared" si="89"/>
        <v>1</v>
      </c>
    </row>
    <row r="2825" spans="1:4" x14ac:dyDescent="0.35">
      <c r="A2825" t="s">
        <v>2924</v>
      </c>
      <c r="B2825">
        <v>4</v>
      </c>
      <c r="C2825" t="str">
        <f t="shared" si="88"/>
        <v>EMSG:No more data to read from socketSTRACE:deployment.ojdbcXXXXXX.XXX.XXX.XXX.XXX.jar//oracle.jdbc.driver.TXXXCMAREngineNIO.prepareForUnmarshall(TXXXCMAREngineNIO.java:XXXSTRACERAW:-</v>
      </c>
      <c r="D2825" s="3">
        <f t="shared" si="89"/>
        <v>1</v>
      </c>
    </row>
    <row r="2826" spans="1:4" x14ac:dyDescent="0.35">
      <c r="A2826" t="s">
        <v>2925</v>
      </c>
      <c r="B2826">
        <v>4</v>
      </c>
      <c r="C2826" t="str">
        <f t="shared" si="88"/>
        <v>EMSG:One or more null constraint violations detected for PAPolicyClaim_ExtSTRACE:deployment.pc.war//com.guidewire.pl.system.database.entitywriter.DatabaseEntityWriterImpl.checkForNullConstraintViolation(DatabaseEntityWriterImpl.java:XXXSTRACERAW:-</v>
      </c>
      <c r="D2826" s="3">
        <f t="shared" si="89"/>
        <v>1</v>
      </c>
    </row>
    <row r="2827" spans="1:4" x14ac:dyDescent="0.35">
      <c r="A2827" t="s">
        <v>995</v>
      </c>
      <c r="B2827">
        <v>4</v>
      </c>
      <c r="C2827" t="str">
        <f t="shared" si="88"/>
        <v>EMSG:Rate book code: fsph_co_ratebookSTRACE:deployment.pc.war//com.guidewire.pc.domain.rating.impl.RateBookImpl.getTable(RateBookImpl.java:XXXSTRACERAW:-</v>
      </c>
      <c r="D2827" s="3">
        <f t="shared" si="89"/>
        <v>1</v>
      </c>
    </row>
    <row r="2828" spans="1:4" x14ac:dyDescent="0.35">
      <c r="A2828" t="s">
        <v>2926</v>
      </c>
      <c r="B2828">
        <v>4</v>
      </c>
      <c r="C2828" t="str">
        <f t="shared" si="88"/>
        <v>EMSG:Re-enter "License #". Duplicate License Number entered for the following Drivers James WoodSTRACE:edge.capabilities.quote.submission.quoting.util.SubmissionUnderwritingIssuesUtil.checkVerifyRateExceptions(SubmissionUnderwritingIssuesUtil.gs:XXXSTRACE</v>
      </c>
      <c r="D2828" s="3">
        <f t="shared" si="89"/>
        <v>1</v>
      </c>
    </row>
    <row r="2829" spans="1:4" x14ac:dyDescent="0.35">
      <c r="A2829" t="s">
        <v>2927</v>
      </c>
      <c r="B2829">
        <v>4</v>
      </c>
      <c r="C2829" t="str">
        <f t="shared" si="88"/>
        <v>EMSG:Re-enter "License #". Duplicate License Number entered for the following Drivers MICHAEL MUGNIERSTRACE:edge.capabilities.quote.submission.quoting.util.SubmissionUnderwritingIssuesUtil.checkVerifyRateExceptions(SubmissionUnderwritingIssuesUtil.gs:XXXS</v>
      </c>
      <c r="D2829" s="3">
        <f t="shared" si="89"/>
        <v>1</v>
      </c>
    </row>
    <row r="2830" spans="1:4" x14ac:dyDescent="0.35">
      <c r="A2830" t="s">
        <v>2928</v>
      </c>
      <c r="B2830">
        <v>4</v>
      </c>
      <c r="C2830" t="str">
        <f t="shared" si="88"/>
        <v>EMSG:Re-enter "License #". Duplicate License Number entered for the following Drivers Wilny NevelusSTRACE:edge.capabilities.quote.submission.quoting.util.SubmissionUnderwritingIssuesUtil.checkVerifyRateExceptions(SubmissionUnderwritingIssuesUtil.gs:XXXSTR</v>
      </c>
      <c r="D2830" s="3">
        <f t="shared" si="89"/>
        <v>1</v>
      </c>
    </row>
    <row r="2831" spans="1:4" x14ac:dyDescent="0.35">
      <c r="A2831" t="s">
        <v>2929</v>
      </c>
      <c r="B2831">
        <v>4</v>
      </c>
      <c r="C2831" t="str">
        <f t="shared" si="88"/>
        <v>EMSG:Remove Extended Replacement Cost coverage. Extended Replacement Cost cannot be selected when Dwelling Coverage is less than Reconstruction Cost Estimate.STRACE:edge.capabilities.quote.submission.quoting.util.SubmissionUnderwritingIssuesUtil.checkSide</v>
      </c>
      <c r="D2831" s="3">
        <f t="shared" si="89"/>
        <v>1</v>
      </c>
    </row>
    <row r="2832" spans="1:4" x14ac:dyDescent="0.35">
      <c r="A2832" t="s">
        <v>2930</v>
      </c>
      <c r="B2832">
        <v>4</v>
      </c>
      <c r="C2832" t="str">
        <f t="shared" si="88"/>
        <v>EMSG:The value "THOMAS H. JEWETT AND ELINOR S. JEWETTSTRACE:deployment.pc.war//gw.datatype.impl.StringConstraintsHandlerBase.validateStringLength(StringConstraintsHandlerBase.java:XXXSTRACERAW:-</v>
      </c>
      <c r="D2832" s="3">
        <f t="shared" si="89"/>
        <v>1</v>
      </c>
    </row>
    <row r="2833" spans="1:4" x14ac:dyDescent="0.35">
      <c r="A2833" t="s">
        <v>2931</v>
      </c>
      <c r="B2833">
        <v>4</v>
      </c>
      <c r="C2833" t="str">
        <f t="shared" si="88"/>
        <v>EMSG:Unable to set property '_EffectiveDt' of 'com.farmers.integ.distribution.lms.wsc.uploadcustomerwsc.ecms_quote_xsd.types.complex.DURATION instance'STRACE:deployment.pc.war//gw.internal.xml.XmlSchemaProperty.setValue(XmlSchemaProperty.java:XXXSTRACERAW</v>
      </c>
      <c r="D2833" s="3">
        <f t="shared" si="89"/>
        <v>1</v>
      </c>
    </row>
    <row r="2834" spans="1:4" x14ac:dyDescent="0.35">
      <c r="A2834" t="s">
        <v>2932</v>
      </c>
      <c r="B2834">
        <v>4</v>
      </c>
      <c r="C2834" t="str">
        <f t="shared" si="88"/>
        <v>EMSG:\ i : entity.windowed.UWIssueVersionList -&gt; i.AllVersions.first().IssueKey does not define a unique value across all elements of this Collection :  Element com.guidewire._generated.entity.UWIssueVersionListImpl XXX have the value BackdatedPolicyWithE</v>
      </c>
      <c r="D2834" s="3">
        <f t="shared" si="89"/>
        <v>1</v>
      </c>
    </row>
    <row r="2835" spans="1:4" x14ac:dyDescent="0.35">
      <c r="A2835" t="s">
        <v>2933</v>
      </c>
      <c r="B2835">
        <v>4</v>
      </c>
      <c r="C2835" t="str">
        <f t="shared" si="88"/>
        <v>EMSG:\ i : entity.windowed.UWIssueVersionList -&gt; i.AllVersions.first().IssueKey does not define a unique value across all elements of this Collection :  Element com.guidewire._generated.entity.UWIssueVersionListImpl XXX have the value ValidatePrimaryPolic</v>
      </c>
      <c r="D2835" s="3">
        <f t="shared" si="89"/>
        <v>1</v>
      </c>
    </row>
    <row r="2836" spans="1:4" x14ac:dyDescent="0.35">
      <c r="A2836" t="s">
        <v>691</v>
      </c>
      <c r="B2836">
        <v>4</v>
      </c>
      <c r="C2836" t="str">
        <f t="shared" si="88"/>
        <v>EMSG:apis-bheisg.farmersinsurance.com:XXX failed to respondSTRACE:deployment.pc.war//org.apache.http.impl.conn.DefaultHttpResponseParser.parseHead(DefaultHttpResponseParser.java:XXXSTRACERAW:-</v>
      </c>
      <c r="D2836" s="3">
        <f t="shared" si="89"/>
        <v>1</v>
      </c>
    </row>
    <row r="2837" spans="1:4" x14ac:dyDescent="0.35">
      <c r="A2837" t="s">
        <v>2934</v>
      </c>
      <c r="B2837">
        <v>4</v>
      </c>
      <c r="C2837" t="str">
        <f t="shared" si="88"/>
        <v>EMSG:com.guidewire.pl.system.entity.proxy.EffDatedVersionListOverlapException: PersonalAutoLine with FixedID:XXX and window XXXSTRACE:com.farmers.integ.framework.service.rest.RestServiceAdapter.invokeService(RestServiceAdapter.gs:XXXSTRACERAW:-</v>
      </c>
      <c r="D2837" s="3">
        <f t="shared" si="89"/>
        <v>1</v>
      </c>
    </row>
    <row r="2838" spans="1:4" x14ac:dyDescent="0.35">
      <c r="A2838" t="s">
        <v>2935</v>
      </c>
      <c r="B2838">
        <v>3</v>
      </c>
      <c r="C2838" t="str">
        <f t="shared" si="88"/>
        <v>EMSG:, AOR=XXXSTRACE:com.farmers.config.common.mdm.MDMProcess$block_XXX_$block_XXX_.invoke(MDMProcess.gs:XXXSTRACERAW:-</v>
      </c>
      <c r="D2838" s="3">
        <f t="shared" si="89"/>
        <v>1</v>
      </c>
    </row>
    <row r="2839" spans="1:4" x14ac:dyDescent="0.35">
      <c r="A2839" t="s">
        <v>2936</v>
      </c>
      <c r="B2839">
        <v>3</v>
      </c>
      <c r="C2839" t="str">
        <f t="shared" si="88"/>
        <v>EMSG:-STRACE:-STRACERAW:Feb XXX XXX:XXX:XXX PST XXX, MSG=Transaction Failed. Failed to parse response : Unexpected character ('&lt;' (code XXX</v>
      </c>
      <c r="D2839" s="3">
        <f t="shared" si="89"/>
        <v>1</v>
      </c>
    </row>
    <row r="2840" spans="1:4" x14ac:dyDescent="0.35">
      <c r="A2840" t="s">
        <v>2937</v>
      </c>
      <c r="B2840">
        <v>3</v>
      </c>
      <c r="C2840" t="str">
        <f t="shared" si="88"/>
        <v>EMSG:-STRACE:-STRACERAW:com.guidewire.pl.system.cluster.impl.ClusterChannelImpl.doCall(ClusterChannelImpl.java:XXX</v>
      </c>
      <c r="D2840" s="3">
        <f t="shared" si="89"/>
        <v>1</v>
      </c>
    </row>
    <row r="2841" spans="1:4" x14ac:dyDescent="0.35">
      <c r="A2841" t="s">
        <v>2938</v>
      </c>
      <c r="B2841">
        <v>3</v>
      </c>
      <c r="C2841" t="str">
        <f t="shared" si="88"/>
        <v>EMSG:-STRACE:-STRACERAW:com.guidewire.pl.system.entity.proxy.EffDatedBranchProxy.handleEffDatedBranchChanges(EffDatedBranchProxy.java:XXX</v>
      </c>
      <c r="D2841" s="3">
        <f t="shared" si="89"/>
        <v>1</v>
      </c>
    </row>
    <row r="2842" spans="1:4" x14ac:dyDescent="0.35">
      <c r="A2842" t="s">
        <v>920</v>
      </c>
      <c r="B2842">
        <v>3</v>
      </c>
      <c r="C2842" t="str">
        <f t="shared" si="88"/>
        <v>EMSG:-STRACE:-STRACERAW:gw.api.web.job.JobWizardHelper.isInPicker(JobWizardHelper.java:XXX</v>
      </c>
      <c r="D2842" s="3">
        <f t="shared" si="89"/>
        <v>1</v>
      </c>
    </row>
    <row r="2843" spans="1:4" ht="29" x14ac:dyDescent="0.35">
      <c r="A2843" s="4" t="s">
        <v>2939</v>
      </c>
      <c r="B2843">
        <v>3</v>
      </c>
      <c r="C2843" t="str">
        <f t="shared" si="88"/>
        <v>EMSG:-STRACE:XXX/XXX/XXX XXX:XXX PM. Please cancel and retry your change.
	at gw.acc.luw.LUWExceptionHelper.processUserDisplayableException(LUWExceptionHelper.gs:XXXSTRACERAW:-</v>
      </c>
      <c r="D2843" s="3">
        <f t="shared" si="89"/>
        <v>1</v>
      </c>
    </row>
    <row r="2844" spans="1:4" x14ac:dyDescent="0.35">
      <c r="A2844" t="s">
        <v>2940</v>
      </c>
      <c r="B2844">
        <v>3</v>
      </c>
      <c r="C2844" t="str">
        <f t="shared" si="88"/>
        <v>EMSG:-STRACE:com.farmers.integ.security.community.ace.agent.profile.utils.AgentProfileBatchHelper.assignProducerCodeToUser(AgentProfileBatchHelper.gs:XXXSTRACERAW:-</v>
      </c>
      <c r="D2844" s="3">
        <f t="shared" si="89"/>
        <v>1</v>
      </c>
    </row>
    <row r="2845" spans="1:4" x14ac:dyDescent="0.35">
      <c r="A2845" t="s">
        <v>2941</v>
      </c>
      <c r="B2845">
        <v>3</v>
      </c>
      <c r="C2845" t="str">
        <f t="shared" si="88"/>
        <v>EMSG:-STRACE:gw.acc.luw.rules.LUWCascadeToFutureTermsProcessor.actOnChild(LUWCascadeToFutureTermsProcessor.gs:XXXSTRACERAW:-</v>
      </c>
      <c r="D2845" s="3">
        <f t="shared" si="89"/>
        <v>1</v>
      </c>
    </row>
    <row r="2846" spans="1:4" ht="43.5" x14ac:dyDescent="0.35">
      <c r="A2846" s="4" t="s">
        <v>2942</v>
      </c>
      <c r="B2846">
        <v>3</v>
      </c>
      <c r="C2846" t="str">
        <f t="shared" si="88"/>
        <v>EMSG:-STRACE:least one vehicle. Since the number of vehicles is greater than the number of drivers, each driver must be a Primary Driver on at least one vehicle.
Change Primary Driver on the Vehicle XXX MERCEDES BENZ E CLASS XXXD XXXWD XXX. Primary Driver</v>
      </c>
      <c r="D2846" s="3">
        <f t="shared" si="89"/>
        <v>1</v>
      </c>
    </row>
    <row r="2847" spans="1:4" ht="43.5" x14ac:dyDescent="0.35">
      <c r="A2847" s="4" t="s">
        <v>2943</v>
      </c>
      <c r="B2847">
        <v>3</v>
      </c>
      <c r="C2847" t="str">
        <f t="shared" si="88"/>
        <v>EMSG:-STRACE:least one vehicle. Since the number of vehicles is greater than the number of drivers, each driver must be a Primary Driver on at least one vehicle.
Update Primary Driver on the Vehicle XXX TOYOTA AVALON HYBRID XXXD XLE/XSE/LTD. Primary Drive</v>
      </c>
      <c r="D2847" s="3">
        <f t="shared" si="89"/>
        <v>1</v>
      </c>
    </row>
    <row r="2848" spans="1:4" ht="43.5" x14ac:dyDescent="0.35">
      <c r="A2848" s="4" t="s">
        <v>2944</v>
      </c>
      <c r="B2848">
        <v>3</v>
      </c>
      <c r="C2848" t="str">
        <f t="shared" si="88"/>
        <v>EMSG:-STRACE:least one vehicle. Since the number of vehicles is greater than the number of drivers, each driver must be a Primary Driver on at least one vehicle.
Update Primary Driver on the Vehicle XXX TOYOTA FJ CRUISER XXXD XXXXXXX. Primary Driver not f</v>
      </c>
      <c r="D2848" s="3">
        <f t="shared" si="89"/>
        <v>1</v>
      </c>
    </row>
    <row r="2849" spans="1:4" ht="43.5" x14ac:dyDescent="0.35">
      <c r="A2849" s="4" t="s">
        <v>2945</v>
      </c>
      <c r="B2849">
        <v>3</v>
      </c>
      <c r="C2849" t="str">
        <f t="shared" si="88"/>
        <v>EMSG:-STRACE:least one vehicle. Since the number of vehicles is greater than the number of drivers, each driver must be a Primary Driver on at least one vehicle.
Update Primary Driver on the Vehicle XXX TOYOTA PRIUS HYBRID XXXD. Primary Driver not found o</v>
      </c>
      <c r="D2849" s="3">
        <f t="shared" si="89"/>
        <v>1</v>
      </c>
    </row>
    <row r="2850" spans="1:4" ht="29" x14ac:dyDescent="0.35">
      <c r="A2850" s="4" t="s">
        <v>2946</v>
      </c>
      <c r="B2850">
        <v>3</v>
      </c>
      <c r="C2850" t="str">
        <f t="shared" si="88"/>
        <v>EMSG:A report shows that the XXXSTRACE:the  XXX HONDA ACCORD XXXD LX-VXXX has been flagged as having Vehicle History activity.;
	at edge.capabilities.quote.submission.quoting.util.SubmissionUnderwritingIssuesUtil.checkVerifyRateExceptions(SubmissionUnderw</v>
      </c>
      <c r="D2850" s="3">
        <f t="shared" si="89"/>
        <v>1</v>
      </c>
    </row>
    <row r="2851" spans="1:4" x14ac:dyDescent="0.35">
      <c r="A2851" t="s">
        <v>1212</v>
      </c>
      <c r="B2851">
        <v>3</v>
      </c>
      <c r="C2851" t="str">
        <f t="shared" si="88"/>
        <v>EMSG:Additional Interests for Personal Auto Vehicles must be of type PAVhcleAddlInterestSTRACE:com.farmers.integ.framework.job.automatejob.AutomatedJob.executeJob(AutomatedJob.gs:XXXSTRACERAW:-</v>
      </c>
      <c r="D2851" s="3">
        <f t="shared" si="89"/>
        <v>1</v>
      </c>
    </row>
    <row r="2852" spans="1:4" x14ac:dyDescent="0.35">
      <c r="A2852" t="s">
        <v>1213</v>
      </c>
      <c r="B2852">
        <v>3</v>
      </c>
      <c r="C2852" t="str">
        <f t="shared" si="88"/>
        <v>EMSG:Additional Interests for Personal Auto Vehicles must be of type PAVhcleAddlInterestSTRACE:gw.lob.pa.contact.PAVehicleAdditionalInterestContainer.removeFromAdditionalInterestDetails(PAVehicleAdditionalInterestContainer.gs:XXXSTRACERAW:-</v>
      </c>
      <c r="D2852" s="3">
        <f t="shared" si="89"/>
        <v>1</v>
      </c>
    </row>
    <row r="2853" spans="1:4" x14ac:dyDescent="0.35">
      <c r="A2853" t="s">
        <v>2947</v>
      </c>
      <c r="B2853">
        <v>3</v>
      </c>
      <c r="C2853" t="str">
        <f t="shared" si="88"/>
        <v>EMSG:Cheryl JohnsonSTRACE:com.farmers.config.pa.validator.BrightlineValidator.validateQuoteBrightlineRules(BrightlineValidator.gs:XXXSTRACERAW:-</v>
      </c>
      <c r="D2853" s="3">
        <f t="shared" si="89"/>
        <v>1</v>
      </c>
    </row>
    <row r="2854" spans="1:4" x14ac:dyDescent="0.35">
      <c r="A2854" t="s">
        <v>2948</v>
      </c>
      <c r="B2854">
        <v>3</v>
      </c>
      <c r="C2854" t="str">
        <f t="shared" si="88"/>
        <v>EMSG:Cheryl JohnsonSTRACE:gw.job.QuoteProcess.requestQuote(QuoteProcess.gs:XXXSTRACERAW:-</v>
      </c>
      <c r="D2854" s="3">
        <f t="shared" si="89"/>
        <v>1</v>
      </c>
    </row>
    <row r="2855" spans="1:4" ht="29" x14ac:dyDescent="0.35">
      <c r="A2855" s="4" t="s">
        <v>2949</v>
      </c>
      <c r="B2855">
        <v>3</v>
      </c>
      <c r="C2855" t="str">
        <f t="shared" si="88"/>
        <v>EMSG:Dwelling at XXXSTRACE:XXX Acton Ave, Poway, CA: XXX% Limit on Loss of Use is no longer available and has been removed. Please enter a new value.
	at gw.api.extension.PCExtensionInterfacesMapper$block_XXX_.invoke(PCExtensionInterfacesMapper.gs:XXXSTRA</v>
      </c>
      <c r="D2855" s="3">
        <f t="shared" si="89"/>
        <v>1</v>
      </c>
    </row>
    <row r="2856" spans="1:4" ht="29" x14ac:dyDescent="0.35">
      <c r="A2856" s="4" t="s">
        <v>2950</v>
      </c>
      <c r="B2856">
        <v>3</v>
      </c>
      <c r="C2856" t="str">
        <f t="shared" si="88"/>
        <v>EMSG:Dwelling at XXXSTRACE:XXX Caminito Pasadero, San Diego, CA: XXX% Limit on Loss of Use is no longer available and has been removed. Please enter a new value.
	at gw.api.extension.PCExtensionInterfacesMapper$block_XXX_.invoke(PCExtensionInterfacesMappe</v>
      </c>
      <c r="D2856" s="3">
        <f t="shared" si="89"/>
        <v>1</v>
      </c>
    </row>
    <row r="2857" spans="1:4" ht="29" x14ac:dyDescent="0.35">
      <c r="A2857" s="4" t="s">
        <v>2951</v>
      </c>
      <c r="B2857">
        <v>3</v>
      </c>
      <c r="C2857" t="str">
        <f t="shared" si="88"/>
        <v>EMSG:Dwelling at XXXSTRACE:XXX Cherrywood St, Poway, CA: XXX% Limit on Loss of Use is no longer available and has been removed. Please enter a new value.
	at gw.api.extension.PCExtensionInterfacesMapper$block_XXX_.invoke(PCExtensionInterfacesMapper.gs:XXX</v>
      </c>
      <c r="D2857" s="3">
        <f t="shared" si="89"/>
        <v>1</v>
      </c>
    </row>
    <row r="2858" spans="1:4" ht="29" x14ac:dyDescent="0.35">
      <c r="A2858" s="4" t="s">
        <v>2952</v>
      </c>
      <c r="B2858">
        <v>3</v>
      </c>
      <c r="C2858" t="str">
        <f t="shared" si="88"/>
        <v>EMSG:Dwelling at XXXSTRACE:XXX E Main Ave, Morgan Hill, CA: XXX% Limit on Loss of Use is no longer available and has been removed. Please enter a new value.
	at gw.api.extension.PCExtensionInterfacesMapper$block_XXX_.invoke(PCExtensionInterfacesMapper.gs:</v>
      </c>
      <c r="D2858" s="3">
        <f t="shared" si="89"/>
        <v>1</v>
      </c>
    </row>
    <row r="2859" spans="1:4" ht="43.5" x14ac:dyDescent="0.35">
      <c r="A2859" s="4" t="s">
        <v>2953</v>
      </c>
      <c r="B2859">
        <v>3</v>
      </c>
      <c r="C2859" t="str">
        <f t="shared" si="88"/>
        <v>EMSG:Dwelling at XXXSTRACE:XXX Eaton Ave, Meriden, CT: Perils on Personal Property is now available and its value must be verified by the user.; Dwelling at XXX Eaton Ave, Meriden, CT: No message configured
	at gw.api.extension.PCExtensionInterfacesMapper</v>
      </c>
      <c r="D2859" s="3">
        <f t="shared" si="89"/>
        <v>1</v>
      </c>
    </row>
    <row r="2860" spans="1:4" ht="29" x14ac:dyDescent="0.35">
      <c r="A2860" s="4" t="s">
        <v>2954</v>
      </c>
      <c r="B2860">
        <v>3</v>
      </c>
      <c r="C2860" t="str">
        <f t="shared" si="88"/>
        <v>EMSG:Dwelling at XXXSTRACE:XXX Joaquin Ave, Clovis, CA: XXX% Limit on Loss of Use is no longer available and has been removed. Please enter a new value.
	at gw.api.extension.PCExtensionInterfacesMapper$block_XXX_.invoke(PCExtensionInterfacesMapper.gs:XXXS</v>
      </c>
      <c r="D2860" s="3">
        <f t="shared" si="89"/>
        <v>1</v>
      </c>
    </row>
    <row r="2861" spans="1:4" ht="29" x14ac:dyDescent="0.35">
      <c r="A2861" s="4" t="s">
        <v>2955</v>
      </c>
      <c r="B2861">
        <v>3</v>
      </c>
      <c r="C2861" t="str">
        <f t="shared" si="88"/>
        <v>EMSG:Dwelling at XXXSTRACE:XXX N Burgan Ave, Clovis, CA: XXX% Limit on Loss of Use is no longer available and has been removed. Please enter a new value.
	at gw.api.extension.PCExtensionInterfacesMapper$block_XXX_.invoke(PCExtensionInterfacesMapper.gs:XXX</v>
      </c>
      <c r="D2861" s="3">
        <f t="shared" si="89"/>
        <v>1</v>
      </c>
    </row>
    <row r="2862" spans="1:4" ht="29" x14ac:dyDescent="0.35">
      <c r="A2862" s="4" t="s">
        <v>2956</v>
      </c>
      <c r="B2862">
        <v>3</v>
      </c>
      <c r="C2862" t="str">
        <f t="shared" si="88"/>
        <v>EMSG:Dwelling at XXXSTRACE:XXX Quail Run Way, Danville, CA: XXX% Limit on Loss of Use is no longer available and has been removed. Please enter a new value.
	at gw.api.extension.PCExtensionInterfacesMapper$block_XXX_.invoke(PCExtensionInterfacesMapper.gs:</v>
      </c>
      <c r="D2862" s="3">
        <f t="shared" si="89"/>
        <v>1</v>
      </c>
    </row>
    <row r="2863" spans="1:4" ht="43.5" x14ac:dyDescent="0.35">
      <c r="A2863" s="4" t="s">
        <v>2957</v>
      </c>
      <c r="B2863">
        <v>3</v>
      </c>
      <c r="C2863" t="str">
        <f t="shared" si="88"/>
        <v>EMSG:Dwelling at XXXSTRACE:XXX Ray Dr, Attalla, AL: Perils on Personal Property is now available and its value must be verified by the user.; Dwelling at XXX Ray Dr, Attalla, AL: No message configured
	at gw.api.extension.PCExtensionInterfacesMapper$block</v>
      </c>
      <c r="D2863" s="3">
        <f t="shared" si="89"/>
        <v>1</v>
      </c>
    </row>
    <row r="2864" spans="1:4" ht="43.5" x14ac:dyDescent="0.35">
      <c r="A2864" s="4" t="s">
        <v>2958</v>
      </c>
      <c r="B2864">
        <v>3</v>
      </c>
      <c r="C2864" t="str">
        <f t="shared" si="88"/>
        <v>EMSG:Dwelling at XXXSTRACE:XXX Richland Dr, Newport News, VA: Standard Limit on Special Limits on Personal Property is no longer available and has been removed. Please enter a new value.
	at gw.api.extension.PCExtensionInterfacesMapper$block_XXX_.invoke(P</v>
      </c>
      <c r="D2864" s="3">
        <f t="shared" si="89"/>
        <v>1</v>
      </c>
    </row>
    <row r="2865" spans="1:4" ht="29" x14ac:dyDescent="0.35">
      <c r="A2865" s="4" t="s">
        <v>2959</v>
      </c>
      <c r="B2865">
        <v>3</v>
      </c>
      <c r="C2865" t="str">
        <f t="shared" si="88"/>
        <v>EMSG:Dwelling at XXXSTRACE:XXX Rosa St, Talladega, AL: Perils on Personal Property is now available and its value must be verified by the user.
	at gw.api.extension.PCExtensionInterfacesMapper$block_XXX_.invoke(PCExtensionInterfacesMapper.gs:XXXSTRACERAW:</v>
      </c>
      <c r="D2865" s="3">
        <f t="shared" si="89"/>
        <v>1</v>
      </c>
    </row>
    <row r="2866" spans="1:4" ht="43.5" x14ac:dyDescent="0.35">
      <c r="A2866" s="4" t="s">
        <v>2960</v>
      </c>
      <c r="B2866">
        <v>3</v>
      </c>
      <c r="C2866" t="str">
        <f t="shared" si="88"/>
        <v>EMSG:Dwelling at XXXSTRACE:XXX Tennyson Trl, Prosper, TX: Replacement Cost Value Valuation Method on Personal Property is no longer available and has been removed. Please enter a new value.; Dwelling at XXX Tennyson Trl, Prosper, TX: No message configured</v>
      </c>
      <c r="D2866" s="3">
        <f t="shared" si="89"/>
        <v>1</v>
      </c>
    </row>
    <row r="2867" spans="1:4" ht="29" x14ac:dyDescent="0.35">
      <c r="A2867" s="4" t="s">
        <v>2961</v>
      </c>
      <c r="B2867">
        <v>3</v>
      </c>
      <c r="C2867" t="str">
        <f t="shared" si="88"/>
        <v>EMSG:Dwelling at XXXSTRACE:XXX Wynmere Dr, Horsham, PA: Perils on Personal Property is now available and its value must be verified by the user.
	at gw.api.extension.PCExtensionInterfacesMapper$block_XXX_.invoke(PCExtensionInterfacesMapper.gs:XXXSTRACERAW</v>
      </c>
      <c r="D2867" s="3">
        <f t="shared" si="89"/>
        <v>1</v>
      </c>
    </row>
    <row r="2868" spans="1:4" x14ac:dyDescent="0.35">
      <c r="A2868" t="s">
        <v>2962</v>
      </c>
      <c r="B2868">
        <v>3</v>
      </c>
      <c r="C2868" t="str">
        <f t="shared" si="88"/>
        <v>EMSG:Failed to execute a querySTRACE:com.farmers.integ.disclosures.audittableupdate.transformers.AuditTableUpdateRequestTransformer.transform(AuditTableUpdateRequestTransformer.gs:XXXSTRACERAW:-</v>
      </c>
      <c r="D2868" s="3">
        <f t="shared" si="89"/>
        <v>1</v>
      </c>
    </row>
    <row r="2869" spans="1:4" x14ac:dyDescent="0.35">
      <c r="A2869" t="s">
        <v>2963</v>
      </c>
      <c r="B2869">
        <v>3</v>
      </c>
      <c r="C2869" t="str">
        <f t="shared" si="88"/>
        <v>EMSG:Failed to find Driver Order Class Code for JUDITH JOHNSONSTRACE:com.farmers.lob.pa.driverassignment.DriverAssignmentDriver.setDriverOrderData(DriverAssignmentDriver.gs:XXXSTRACERAW:-</v>
      </c>
      <c r="D2869" s="3">
        <f t="shared" si="89"/>
        <v>1</v>
      </c>
    </row>
    <row r="2870" spans="1:4" x14ac:dyDescent="0.35">
      <c r="A2870" t="s">
        <v>2964</v>
      </c>
      <c r="B2870">
        <v>3</v>
      </c>
      <c r="C2870" t="str">
        <f t="shared" si="88"/>
        <v>EMSG:For eligible contact Kevin Brown credit score is null. Please make sure credit is orderedSTRACE:com.farmers.config.common.credit.CreditScoreHelper.populateRatingCreditDTO(CreditScoreHelper.gs:XXXSTRACERAW:-</v>
      </c>
      <c r="D2870" s="3">
        <f t="shared" si="89"/>
        <v>1</v>
      </c>
    </row>
    <row r="2871" spans="1:4" x14ac:dyDescent="0.35">
      <c r="A2871" t="s">
        <v>2965</v>
      </c>
      <c r="B2871">
        <v>3</v>
      </c>
      <c r="C2871" t="str">
        <f t="shared" si="88"/>
        <v>EMSG:For input string: "true"STRACE:java.base/java.lang.NumberFormatException.forInputString(NumberFormatException.java:XXXSTRACERAW:-</v>
      </c>
      <c r="D2871" s="3">
        <f t="shared" si="89"/>
        <v>1</v>
      </c>
    </row>
    <row r="2872" spans="1:4" x14ac:dyDescent="0.35">
      <c r="A2872" t="s">
        <v>2966</v>
      </c>
      <c r="B2872">
        <v>3</v>
      </c>
      <c r="C2872" t="str">
        <f t="shared" si="88"/>
        <v>EMSG:GABRIELA DE LEONSTRACE:com.farmers.config.pa.validator.BrightlineValidator.validateQuoteBrightlineRules(BrightlineValidator.gs:XXXSTRACERAW:-</v>
      </c>
      <c r="D2872" s="3">
        <f t="shared" si="89"/>
        <v>1</v>
      </c>
    </row>
    <row r="2873" spans="1:4" x14ac:dyDescent="0.35">
      <c r="A2873" t="s">
        <v>2967</v>
      </c>
      <c r="B2873">
        <v>3</v>
      </c>
      <c r="C2873" t="str">
        <f t="shared" si="88"/>
        <v>EMSG:GABRIELA DE LEONSTRACE:gw.job.QuoteProcess.requestQuote(QuoteProcess.gs:XXXSTRACERAW:-</v>
      </c>
      <c r="D2873" s="3">
        <f t="shared" si="89"/>
        <v>1</v>
      </c>
    </row>
    <row r="2874" spans="1:4" x14ac:dyDescent="0.35">
      <c r="A2874" t="s">
        <v>2968</v>
      </c>
      <c r="B2874">
        <v>3</v>
      </c>
      <c r="C2874" t="str">
        <f t="shared" si="88"/>
        <v>EMSG:Jennifer HughesSTRACE:com.farmers.config.pa.validator.BrightlineValidator.validateQuoteBrightlineRules(BrightlineValidator.gs:XXXSTRACERAW:-</v>
      </c>
      <c r="D2874" s="3">
        <f t="shared" si="89"/>
        <v>1</v>
      </c>
    </row>
    <row r="2875" spans="1:4" ht="87" x14ac:dyDescent="0.35">
      <c r="A2875" s="4" t="s">
        <v>2969</v>
      </c>
      <c r="B2875">
        <v>3</v>
      </c>
      <c r="C2875" t="str">
        <f t="shared" si="88"/>
        <v>EMSG:LUW Policy Change Job XXX: The object you are trying to update was XXXSTRACE:XXX/XXX/XXX XXX:XXX AM. Please cancel and retry your change.
LUW Policy Change Job XXX: The object you are trying to update was 'Policy:CN:0128310262057450687506672XXX - CN:</v>
      </c>
      <c r="D2875" s="3">
        <f t="shared" si="89"/>
        <v>1</v>
      </c>
    </row>
    <row r="2876" spans="1:4" ht="58" x14ac:dyDescent="0.35">
      <c r="A2876" s="4" t="s">
        <v>2970</v>
      </c>
      <c r="B2876">
        <v>3</v>
      </c>
      <c r="C2876" t="str">
        <f t="shared" si="88"/>
        <v xml:space="preserve">EMSG:LUW Policy Change Job XXX: The object you are trying to update was XXXSTRACE:XXX/XXX/XXX XXX:XXX AM. Please cancel and retry your change.
The object you are trying to update was 'Policy:CN:05208359960650956593005XXX - CN:05208359960650956593005XXX', </v>
      </c>
      <c r="D2876" s="3">
        <f t="shared" si="89"/>
        <v>1</v>
      </c>
    </row>
    <row r="2877" spans="1:4" ht="58" x14ac:dyDescent="0.35">
      <c r="A2877" s="4" t="s">
        <v>2971</v>
      </c>
      <c r="B2877">
        <v>3</v>
      </c>
      <c r="C2877" t="str">
        <f t="shared" si="88"/>
        <v>EMSG:LUW Policy Change Job XXX: The object you are trying to update was XXXSTRACE:XXX/XXX/XXX XXX:XXX AM. Please cancel and retry your change.
The object you are trying to update was 'Policy:CN:09116035340315106922XXX - CN:09116035340315106922XXX', and it</v>
      </c>
      <c r="D2877" s="3">
        <f t="shared" si="89"/>
        <v>1</v>
      </c>
    </row>
    <row r="2878" spans="1:4" ht="58" x14ac:dyDescent="0.35">
      <c r="A2878" s="4" t="s">
        <v>2972</v>
      </c>
      <c r="B2878">
        <v>3</v>
      </c>
      <c r="C2878" t="str">
        <f t="shared" si="88"/>
        <v>EMSG:LUW Policy Change Job XXX: The object you are trying to update was XXXSTRACE:XXX/XXX/XXX XXX:XXX AM. Please cancel and retry your change.
The object you are trying to update was 'Policy:CN:099457023905397904440337XXX - CN:099457023905397904440337XXX'</v>
      </c>
      <c r="D2878" s="3">
        <f t="shared" si="89"/>
        <v>1</v>
      </c>
    </row>
    <row r="2879" spans="1:4" ht="58" x14ac:dyDescent="0.35">
      <c r="A2879" s="4" t="s">
        <v>2973</v>
      </c>
      <c r="B2879">
        <v>3</v>
      </c>
      <c r="C2879" t="str">
        <f t="shared" si="88"/>
        <v>EMSG:LUW Policy Change Job XXX: The object you are trying to update was XXXSTRACE:XXX/XXX/XXX XXX:XXX AM. Please cancel and retry your change.
The object you are trying to update was 'Policy:CN:1951304809023348015201XXX - CN:1951304809023348015201XXX', an</v>
      </c>
      <c r="D2879" s="3">
        <f t="shared" si="89"/>
        <v>1</v>
      </c>
    </row>
    <row r="2880" spans="1:4" ht="43.5" x14ac:dyDescent="0.35">
      <c r="A2880" s="4" t="s">
        <v>2974</v>
      </c>
      <c r="B2880">
        <v>3</v>
      </c>
      <c r="C2880" t="str">
        <f t="shared" si="88"/>
        <v>EMSG:LUW Policy Change Job XXX: The object you are trying to update was XXXSTRACE:XXX/XXX/XXX XXX:XXX AM. Please cancel and retry your change.
The object you are trying to update was 'Policy:pc:XXX - pc:XXX', and it was changed by Charles Yi at XXX/XXX/XX</v>
      </c>
      <c r="D2880" s="3">
        <f t="shared" si="89"/>
        <v>1</v>
      </c>
    </row>
    <row r="2881" spans="1:4" ht="43.5" x14ac:dyDescent="0.35">
      <c r="A2881" s="4" t="s">
        <v>2975</v>
      </c>
      <c r="B2881">
        <v>3</v>
      </c>
      <c r="C2881" t="str">
        <f t="shared" si="88"/>
        <v>EMSG:LUW Policy Change Job XXX: The object you are trying to update was XXXSTRACE:XXX/XXX/XXX XXX:XXX AM. Please cancel and retry your change.
The object you are trying to update was changed by another user. Please try your change again.
	at gw.acc.luw.LU</v>
      </c>
      <c r="D2881" s="3">
        <f t="shared" si="89"/>
        <v>1</v>
      </c>
    </row>
    <row r="2882" spans="1:4" ht="116" x14ac:dyDescent="0.35">
      <c r="A2882" s="4" t="s">
        <v>2976</v>
      </c>
      <c r="B2882">
        <v>3</v>
      </c>
      <c r="C2882" t="str">
        <f t="shared" si="88"/>
        <v>EMSG:LUW Policy Change Job XXX: The object you are trying to update was XXXSTRACE:XXX/XXX/XXX XXX:XXX PM. Please cancel and retry your change.
LUW Policy Change Job XXX: The object you are trying to update was 'Policy:CN:051751242900043279770512XXX - CN:0</v>
      </c>
      <c r="D2882" s="3">
        <f t="shared" si="89"/>
        <v>1</v>
      </c>
    </row>
    <row r="2883" spans="1:4" ht="87" x14ac:dyDescent="0.35">
      <c r="A2883" s="4" t="s">
        <v>2977</v>
      </c>
      <c r="B2883">
        <v>3</v>
      </c>
      <c r="C2883" t="str">
        <f t="shared" ref="C2883:C2946" si="90">LEFT(A2883,255)</f>
        <v>EMSG:LUW Policy Change Job XXX: The object you are trying to update was XXXSTRACE:XXX/XXX/XXX XXX:XXX PM. Please cancel and retry your change.
LUW Policy Change Job XXX: The object you are trying to update was 'Policy:CN:051987378800537222350054XXX - CN:0</v>
      </c>
      <c r="D2883" s="3">
        <f t="shared" ref="D2883:D2946" si="91">IF(AND((B2883/10)&lt;1,(B2883/10)&gt;0),1,(B2883/10)*130%)</f>
        <v>1</v>
      </c>
    </row>
    <row r="2884" spans="1:4" ht="87" x14ac:dyDescent="0.35">
      <c r="A2884" s="4" t="s">
        <v>2978</v>
      </c>
      <c r="B2884">
        <v>3</v>
      </c>
      <c r="C2884" t="str">
        <f t="shared" si="90"/>
        <v>EMSG:LUW Policy Change Job XXX: The object you are trying to update was XXXSTRACE:XXX/XXX/XXX XXX:XXX PM. Please cancel and retry your change.
LUW Policy Change Job XXX: The object you are trying to update was 'Policy:CN:19008643000703901599XXX - CN:19008</v>
      </c>
      <c r="D2884" s="3">
        <f t="shared" si="91"/>
        <v>1</v>
      </c>
    </row>
    <row r="2885" spans="1:4" ht="116" x14ac:dyDescent="0.35">
      <c r="A2885" s="4" t="s">
        <v>2979</v>
      </c>
      <c r="B2885">
        <v>3</v>
      </c>
      <c r="C2885" t="str">
        <f t="shared" si="90"/>
        <v>EMSG:LUW Policy Change Job XXX: The object you are trying to update was XXXSTRACE:XXX/XXX/XXX XXX:XXX PM. Please cancel and retry your change.
LUW Policy Change Job XXX: The object you are trying to update was 'Policy:CN:1905299038074541364601XXX - CN:190</v>
      </c>
      <c r="D2885" s="3">
        <f t="shared" si="91"/>
        <v>1</v>
      </c>
    </row>
    <row r="2886" spans="1:4" ht="58" x14ac:dyDescent="0.35">
      <c r="A2886" s="4" t="s">
        <v>2980</v>
      </c>
      <c r="B2886">
        <v>3</v>
      </c>
      <c r="C2886" t="str">
        <f t="shared" si="90"/>
        <v xml:space="preserve">EMSG:LUW Policy Change Job XXX: The object you are trying to update was XXXSTRACE:XXX/XXX/XXX XXX:XXX PM. Please cancel and retry your change.
LUW Policy Change Job XXX: The object you are trying to update was 'Policy:pc:XXX - pc:XXX', and it was changed </v>
      </c>
      <c r="D2886" s="3">
        <f t="shared" si="91"/>
        <v>1</v>
      </c>
    </row>
    <row r="2887" spans="1:4" ht="58" x14ac:dyDescent="0.35">
      <c r="A2887" s="4" t="s">
        <v>2981</v>
      </c>
      <c r="B2887">
        <v>3</v>
      </c>
      <c r="C2887" t="str">
        <f t="shared" si="90"/>
        <v>EMSG:LUW Policy Change Job XXX: The object you are trying to update was XXXSTRACE:XXX/XXX/XXX XXX:XXX PM. Please cancel and retry your change.
The object you are trying to update was 'Policy:CN:09236775770402951052XXX - CN:09236775770402951052XXX', and it</v>
      </c>
      <c r="D2887" s="3">
        <f t="shared" si="91"/>
        <v>1</v>
      </c>
    </row>
    <row r="2888" spans="1:4" ht="58" x14ac:dyDescent="0.35">
      <c r="A2888" s="4" t="s">
        <v>2982</v>
      </c>
      <c r="B2888">
        <v>3</v>
      </c>
      <c r="C2888" t="str">
        <f t="shared" si="90"/>
        <v xml:space="preserve">EMSG:LUW Policy Change Job XXX: The object you are trying to update was XXXSTRACE:XXX/XXX/XXX XXX:XXX PM. Please cancel and retry your change.
The object you are trying to update was 'Policy:CN:09475899420588266672089XXX - CN:09475899420588266672089XXX', </v>
      </c>
      <c r="D2888" s="3">
        <f t="shared" si="91"/>
        <v>1</v>
      </c>
    </row>
    <row r="2889" spans="1:4" ht="43.5" x14ac:dyDescent="0.35">
      <c r="A2889" s="4" t="s">
        <v>2983</v>
      </c>
      <c r="B2889">
        <v>3</v>
      </c>
      <c r="C2889" t="str">
        <f t="shared" si="90"/>
        <v>EMSG:LUW Policy Change Job XXX: The object you are trying to update was XXXSTRACE:XXX/XXX/XXX XXX:XXX PM. Please cancel and retry your change.
The object you are trying to update was 'Policy:pc:XXX - pc:XXX', and it was changed by Anthony Michael Rodrigue</v>
      </c>
      <c r="D2889" s="3">
        <f t="shared" si="91"/>
        <v>1</v>
      </c>
    </row>
    <row r="2890" spans="1:4" ht="43.5" x14ac:dyDescent="0.35">
      <c r="A2890" s="4" t="s">
        <v>2984</v>
      </c>
      <c r="B2890">
        <v>3</v>
      </c>
      <c r="C2890" t="str">
        <f t="shared" si="90"/>
        <v>EMSG:LUW Policy Change Job XXX: The object you are trying to update was XXXSTRACE:XXX/XXX/XXX XXX:XXX PM. Please cancel and retry your change.
The object you are trying to update was 'Policy:pc:XXX - pc:XXX', and it was changed by Chase Minhondo at XXX/XX</v>
      </c>
      <c r="D2890" s="3">
        <f t="shared" si="91"/>
        <v>1</v>
      </c>
    </row>
    <row r="2891" spans="1:4" ht="43.5" x14ac:dyDescent="0.35">
      <c r="A2891" s="4" t="s">
        <v>2985</v>
      </c>
      <c r="B2891">
        <v>3</v>
      </c>
      <c r="C2891" t="str">
        <f t="shared" si="90"/>
        <v xml:space="preserve">EMSG:LUW Policy Change Job XXX: The object you are trying to update was XXXSTRACE:XXX/XXX/XXX XXX:XXX PM. Please cancel and retry your change.
The object you are trying to update was 'Policy:pc:XXX - pc:XXX', and it was changed by Steven Van De Voorde at </v>
      </c>
      <c r="D2891" s="3">
        <f t="shared" si="91"/>
        <v>1</v>
      </c>
    </row>
    <row r="2892" spans="1:4" x14ac:dyDescent="0.35">
      <c r="A2892" t="s">
        <v>2986</v>
      </c>
      <c r="B2892">
        <v>3</v>
      </c>
      <c r="C2892" t="str">
        <f t="shared" si="90"/>
        <v>EMSG:No more data to read from socketSTRACE:com.farmers.integ.framework.job.automatejob.AutomatedJob.executeJob(AutomatedJob.gs:XXXSTRACERAW:-</v>
      </c>
      <c r="D2892" s="3">
        <f t="shared" si="91"/>
        <v>1</v>
      </c>
    </row>
    <row r="2893" spans="1:4" x14ac:dyDescent="0.35">
      <c r="A2893" t="s">
        <v>2987</v>
      </c>
      <c r="B2893">
        <v>3</v>
      </c>
      <c r="C2893" t="str">
        <f t="shared" si="90"/>
        <v>EMSG:PEDRO MARTINEZSTRACE:com.farmers.config.pa.validator.BrightlineValidator.validateQuoteBrightlineRules(BrightlineValidator.gs:XXXSTRACERAW:-</v>
      </c>
      <c r="D2893" s="3">
        <f t="shared" si="91"/>
        <v>1</v>
      </c>
    </row>
    <row r="2894" spans="1:4" x14ac:dyDescent="0.35">
      <c r="A2894" t="s">
        <v>2988</v>
      </c>
      <c r="B2894">
        <v>3</v>
      </c>
      <c r="C2894" t="str">
        <f t="shared" si="90"/>
        <v>EMSG:Re-enter "License #". Duplicate License Number entered for the following Drivers ALEX MARTINEZSTRACE:edge.capabilities.quote.submission.quoting.util.SubmissionUnderwritingIssuesUtil.checkVerifyRateExceptions(SubmissionUnderwritingIssuesUtil.gs:XXXSTR</v>
      </c>
      <c r="D2894" s="3">
        <f t="shared" si="91"/>
        <v>1</v>
      </c>
    </row>
    <row r="2895" spans="1:4" x14ac:dyDescent="0.35">
      <c r="A2895" t="s">
        <v>2989</v>
      </c>
      <c r="B2895">
        <v>3</v>
      </c>
      <c r="C2895" t="str">
        <f t="shared" si="90"/>
        <v>EMSG:Re-enter "License #". Duplicate License Number entered for the following Drivers Bryan Barragan NunezSTRACE:edge.capabilities.quote.submission.quoting.util.SubmissionUnderwritingIssuesUtil.checkVerifyRateExceptions(SubmissionUnderwritingIssuesUtil.gs</v>
      </c>
      <c r="D2895" s="3">
        <f t="shared" si="91"/>
        <v>1</v>
      </c>
    </row>
    <row r="2896" spans="1:4" x14ac:dyDescent="0.35">
      <c r="A2896" t="s">
        <v>2990</v>
      </c>
      <c r="B2896">
        <v>3</v>
      </c>
      <c r="C2896" t="str">
        <f t="shared" si="90"/>
        <v>EMSG:Remove Mohamed Omer in order to add the contact as a driverSTRACE:edge.capabilities.policychange.lob.personalauto.coverables.DefaultPaCoverablePlugin.updateCoverables(DefaultPaCoverablePlugin.gs:XXXSTRACERAW:-</v>
      </c>
      <c r="D2896" s="3">
        <f t="shared" si="91"/>
        <v>1</v>
      </c>
    </row>
    <row r="2897" spans="1:4" x14ac:dyDescent="0.35">
      <c r="A2897" t="s">
        <v>2991</v>
      </c>
      <c r="B2897">
        <v>3</v>
      </c>
      <c r="C2897" t="str">
        <f t="shared" si="90"/>
        <v>EMSG:Remove duplicate driver Free Lk Gao. Two or more non-drivers with the same information exist.STRACE:edge.capabilities.policychange.lob.personalauto.coverables.DefaultPaCoverablePlugin.updateCoverables(DefaultPaCoverablePlugin.gs:XXXSTRACERAW:-</v>
      </c>
      <c r="D2897" s="3">
        <f t="shared" si="91"/>
        <v>1</v>
      </c>
    </row>
    <row r="2898" spans="1:4" x14ac:dyDescent="0.35">
      <c r="A2898" t="s">
        <v>2992</v>
      </c>
      <c r="B2898">
        <v>3</v>
      </c>
      <c r="C2898" t="str">
        <f t="shared" si="90"/>
        <v>EMSG:Remove duplicate driver Gustavo Jose Nava Barrera. Two or more drivers with the same information exist.STRACE:edge.capabilities.policychange.lob.personalauto.coverables.DefaultPaCoverablePlugin.updateCoverables(DefaultPaCoverablePlugin.gs:XXXSTRACERA</v>
      </c>
      <c r="D2898" s="3">
        <f t="shared" si="91"/>
        <v>1</v>
      </c>
    </row>
    <row r="2899" spans="1:4" ht="72.5" x14ac:dyDescent="0.35">
      <c r="A2899" s="4" t="s">
        <v>2993</v>
      </c>
      <c r="B2899">
        <v>3</v>
      </c>
      <c r="C2899"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899" s="3">
        <f t="shared" si="91"/>
        <v>1</v>
      </c>
    </row>
    <row r="2900" spans="1:4" ht="58" x14ac:dyDescent="0.35">
      <c r="A2900" s="4" t="s">
        <v>2994</v>
      </c>
      <c r="B2900">
        <v>3</v>
      </c>
      <c r="C2900"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0" s="3">
        <f t="shared" si="91"/>
        <v>1</v>
      </c>
    </row>
    <row r="2901" spans="1:4" ht="72.5" x14ac:dyDescent="0.35">
      <c r="A2901" s="4" t="s">
        <v>2995</v>
      </c>
      <c r="B2901">
        <v>3</v>
      </c>
      <c r="C2901"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1" s="3">
        <f t="shared" si="91"/>
        <v>1</v>
      </c>
    </row>
    <row r="2902" spans="1:4" ht="72.5" x14ac:dyDescent="0.35">
      <c r="A2902" s="4" t="s">
        <v>2996</v>
      </c>
      <c r="B2902">
        <v>3</v>
      </c>
      <c r="C2902"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2" s="3">
        <f t="shared" si="91"/>
        <v>1</v>
      </c>
    </row>
    <row r="2903" spans="1:4" ht="58" x14ac:dyDescent="0.35">
      <c r="A2903" s="4" t="s">
        <v>2997</v>
      </c>
      <c r="B2903">
        <v>3</v>
      </c>
      <c r="C2903"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3" s="3">
        <f t="shared" si="91"/>
        <v>1</v>
      </c>
    </row>
    <row r="2904" spans="1:4" ht="72.5" x14ac:dyDescent="0.35">
      <c r="A2904" s="4" t="s">
        <v>2998</v>
      </c>
      <c r="B2904">
        <v>3</v>
      </c>
      <c r="C2904"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4" s="3">
        <f t="shared" si="91"/>
        <v>1</v>
      </c>
    </row>
    <row r="2905" spans="1:4" ht="58" x14ac:dyDescent="0.35">
      <c r="A2905" s="4" t="s">
        <v>2999</v>
      </c>
      <c r="B2905">
        <v>3</v>
      </c>
      <c r="C2905"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5" s="3">
        <f t="shared" si="91"/>
        <v>1</v>
      </c>
    </row>
    <row r="2906" spans="1:4" ht="72.5" x14ac:dyDescent="0.35">
      <c r="A2906" s="4" t="s">
        <v>3000</v>
      </c>
      <c r="B2906">
        <v>3</v>
      </c>
      <c r="C2906"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6" s="3">
        <f t="shared" si="91"/>
        <v>1</v>
      </c>
    </row>
    <row r="2907" spans="1:4" ht="72.5" x14ac:dyDescent="0.35">
      <c r="A2907" s="4" t="s">
        <v>3001</v>
      </c>
      <c r="B2907">
        <v>3</v>
      </c>
      <c r="C2907"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7" s="3">
        <f t="shared" si="91"/>
        <v>1</v>
      </c>
    </row>
    <row r="2908" spans="1:4" ht="72.5" x14ac:dyDescent="0.35">
      <c r="A2908" s="4" t="s">
        <v>3002</v>
      </c>
      <c r="B2908">
        <v>3</v>
      </c>
      <c r="C2908"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8" s="3">
        <f t="shared" si="91"/>
        <v>1</v>
      </c>
    </row>
    <row r="2909" spans="1:4" ht="58" x14ac:dyDescent="0.35">
      <c r="A2909" s="4" t="s">
        <v>3003</v>
      </c>
      <c r="B2909">
        <v>3</v>
      </c>
      <c r="C2909"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09" s="3">
        <f t="shared" si="91"/>
        <v>1</v>
      </c>
    </row>
    <row r="2910" spans="1:4" ht="72.5" x14ac:dyDescent="0.35">
      <c r="A2910" s="4" t="s">
        <v>3004</v>
      </c>
      <c r="B2910">
        <v>3</v>
      </c>
      <c r="C2910"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10" s="3">
        <f t="shared" si="91"/>
        <v>1</v>
      </c>
    </row>
    <row r="2911" spans="1:4" ht="72.5" x14ac:dyDescent="0.35">
      <c r="A2911" s="4" t="s">
        <v>3005</v>
      </c>
      <c r="B2911">
        <v>3</v>
      </c>
      <c r="C2911"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11" s="3">
        <f t="shared" si="91"/>
        <v>1</v>
      </c>
    </row>
    <row r="2912" spans="1:4" ht="72.5" x14ac:dyDescent="0.35">
      <c r="A2912" s="4" t="s">
        <v>3006</v>
      </c>
      <c r="B2912">
        <v>3</v>
      </c>
      <c r="C2912"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12" s="3">
        <f t="shared" si="91"/>
        <v>1</v>
      </c>
    </row>
    <row r="2913" spans="1:4" ht="72.5" x14ac:dyDescent="0.35">
      <c r="A2913" s="4" t="s">
        <v>3007</v>
      </c>
      <c r="B2913">
        <v>3</v>
      </c>
      <c r="C2913"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13" s="3">
        <f t="shared" si="91"/>
        <v>1</v>
      </c>
    </row>
    <row r="2914" spans="1:4" ht="72.5" x14ac:dyDescent="0.35">
      <c r="A2914" s="4" t="s">
        <v>3008</v>
      </c>
      <c r="B2914">
        <v>3</v>
      </c>
      <c r="C2914"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14" s="3">
        <f t="shared" si="91"/>
        <v>1</v>
      </c>
    </row>
    <row r="2915" spans="1:4" ht="72.5" x14ac:dyDescent="0.35">
      <c r="A2915" s="4" t="s">
        <v>3009</v>
      </c>
      <c r="B2915">
        <v>3</v>
      </c>
      <c r="C2915" t="str">
        <f t="shared" si="90"/>
        <v>EMSG:Select XXX as the Primary Driver on at least one vehicle. Since the number of vehicles is greater than the number of driversSTRACE:least one vehicle. Since the number of vehicles is greater than the number of drivers, each driver must be a Primary Dr</v>
      </c>
      <c r="D2915" s="3">
        <f t="shared" si="91"/>
        <v>1</v>
      </c>
    </row>
    <row r="2916" spans="1:4" x14ac:dyDescent="0.35">
      <c r="A2916" t="s">
        <v>3010</v>
      </c>
      <c r="B2916">
        <v>3</v>
      </c>
      <c r="C2916" t="str">
        <f t="shared" si="90"/>
        <v>EMSG:Submission is blocked on BindSTRACE:edge.capabilities.quote.submission.QuoteHandler.retrieve(QuoteHandler.gs:XXXSTRACERAW:-</v>
      </c>
      <c r="D2916" s="3">
        <f t="shared" si="91"/>
        <v>1</v>
      </c>
    </row>
    <row r="2917" spans="1:4" x14ac:dyDescent="0.35">
      <c r="A2917" t="s">
        <v>3011</v>
      </c>
      <c r="B2917">
        <v>3</v>
      </c>
      <c r="C2917" t="str">
        <f t="shared" si="90"/>
        <v>EMSG:The value "THE LAMAS FAMILY IRREVOCABLE TRUSTSTRACE:deployment.pc.war//gw.datatype.impl.StringConstraintsHandlerBase.validateStringLength(StringConstraintsHandlerBase.java:XXXSTRACERAW:-</v>
      </c>
      <c r="D2917" s="3">
        <f t="shared" si="91"/>
        <v>1</v>
      </c>
    </row>
    <row r="2918" spans="1:4" x14ac:dyDescent="0.35">
      <c r="A2918" t="s">
        <v>3012</v>
      </c>
      <c r="B2918">
        <v>3</v>
      </c>
      <c r="C2918" t="str">
        <f t="shared" si="90"/>
        <v>EMSG:The value XXX is not formatted correctly for the field "Comments": Exceeds the maximum length of XXX characters (XXX)STRACE:this time. Billing updates in process.              ;error:entity.PolicyPeriod/Try again later. Unable to make changes at this</v>
      </c>
      <c r="D2918" s="3">
        <f t="shared" si="91"/>
        <v>1</v>
      </c>
    </row>
    <row r="2919" spans="1:4" x14ac:dyDescent="0.35">
      <c r="A2919" t="s">
        <v>3013</v>
      </c>
      <c r="B2919">
        <v>3</v>
      </c>
      <c r="C2919" t="str">
        <f t="shared" si="90"/>
        <v xml:space="preserve">EMSG:XXX LINCOLN MKC XXXD XXXWD LS in Colorado: Coverage is on Comprehensive is now available and its value must be verified by the user.; XXX LINCOLN MKC XXXD XXXWD LS in Colorado: Coverage is on Collision is now available and its value must be verified </v>
      </c>
      <c r="D2919" s="3">
        <f t="shared" si="91"/>
        <v>1</v>
      </c>
    </row>
    <row r="2920" spans="1:4" ht="43.5" x14ac:dyDescent="0.35">
      <c r="A2920" s="4" t="s">
        <v>3014</v>
      </c>
      <c r="B2920">
        <v>3</v>
      </c>
      <c r="C2920" t="str">
        <f t="shared" si="90"/>
        <v>EMSG:XXX has exceeded the accident and/or violation threshold for eligibility in this program.STRACE:Ryskulova has exceeded the accident and/or violation threshold for eligibility in this program.
	at com.farmers.config.pa.validator.BrightlineValidator.va</v>
      </c>
      <c r="D2920" s="3">
        <f t="shared" si="91"/>
        <v>1</v>
      </c>
    </row>
    <row r="2921" spans="1:4" x14ac:dyDescent="0.35">
      <c r="A2921" t="s">
        <v>3015</v>
      </c>
      <c r="B2921">
        <v>3</v>
      </c>
      <c r="C2921" t="str">
        <f t="shared" si="90"/>
        <v>EMSG:class gw.lang.parser.EvaluationException cannot be cast to class edge.validation.EdgeValidationException (gw.lang.parser.EvaluationException is in unnamed module of loader 'deployment.pc.war' @XXXaffXXXbXXX; edge.validation.EdgeValidationException is</v>
      </c>
      <c r="D2921" s="3">
        <f t="shared" si="91"/>
        <v>1</v>
      </c>
    </row>
    <row r="2922" spans="1:4" x14ac:dyDescent="0.35">
      <c r="A2922" t="s">
        <v>3016</v>
      </c>
      <c r="B2922" t="s">
        <v>3017</v>
      </c>
      <c r="C2922" t="str">
        <f t="shared" si="90"/>
        <v>EMSG:</v>
      </c>
      <c r="D2922" s="3" t="e">
        <f t="shared" si="91"/>
        <v>#VALUE!</v>
      </c>
    </row>
    <row r="2923" spans="1:4" x14ac:dyDescent="0.35">
      <c r="A2923" t="s">
        <v>3018</v>
      </c>
      <c r="B2923">
        <v>2</v>
      </c>
      <c r="C2923" t="str">
        <f t="shared" si="90"/>
        <v>EMSG:, AOR=XXXSTRACE:java.base/java.util.ArrayList.&lt;init&gt;(ArrayList.java:XXXSTRACERAW:-</v>
      </c>
      <c r="D2923" s="3">
        <f t="shared" si="91"/>
        <v>1</v>
      </c>
    </row>
    <row r="2924" spans="1:4" x14ac:dyDescent="0.35">
      <c r="A2924" t="s">
        <v>3019</v>
      </c>
      <c r="B2924">
        <v>2</v>
      </c>
      <c r="C2924" t="str">
        <f t="shared" si="90"/>
        <v>EMSG:-STRACE:-STRACERAW:&amp;amp; Watercraft</v>
      </c>
      <c r="D2924" s="3">
        <f t="shared" si="91"/>
        <v>1</v>
      </c>
    </row>
    <row r="2925" spans="1:4" x14ac:dyDescent="0.35">
      <c r="A2925" t="s">
        <v>3020</v>
      </c>
      <c r="B2925">
        <v>2</v>
      </c>
      <c r="C2925" t="str">
        <f t="shared" si="90"/>
        <v>EMSG:-STRACE:-STRACERAW:Feb XXX XXX:XXX:XXX PST XXX, MSG=Transaction Failed. Failed to parse response : Unrecognized token 'No': was expecting (JSON String, Number, Array, Object or token 'null', 'true' or 'false'</v>
      </c>
      <c r="D2925" s="3">
        <f t="shared" si="91"/>
        <v>1</v>
      </c>
    </row>
    <row r="2926" spans="1:4" x14ac:dyDescent="0.35">
      <c r="A2926" t="s">
        <v>3021</v>
      </c>
      <c r="B2926">
        <v>2</v>
      </c>
      <c r="C2926" t="str">
        <f t="shared" si="90"/>
        <v>EMSG:-STRACE:-STRACERAW:com.farmers.automation.gosuscript.gosuutil.GosuScriptUtil.retrieveGosuScriptUnProcessedRecords(GosuScriptUtil.gs:XXX</v>
      </c>
      <c r="D2926" s="3">
        <f t="shared" si="91"/>
        <v>1</v>
      </c>
    </row>
    <row r="2927" spans="1:4" x14ac:dyDescent="0.35">
      <c r="A2927" t="s">
        <v>3022</v>
      </c>
      <c r="B2927">
        <v>2</v>
      </c>
      <c r="C2927" t="str">
        <f t="shared" si="90"/>
        <v>EMSG:-STRACE:-STRACERAW:com.guidewire.pc.domain.job.impl.JobImpl.setSelectedVersion(JobImpl.java:XXX</v>
      </c>
      <c r="D2927" s="3">
        <f t="shared" si="91"/>
        <v>1</v>
      </c>
    </row>
    <row r="2928" spans="1:4" x14ac:dyDescent="0.35">
      <c r="A2928" t="s">
        <v>3023</v>
      </c>
      <c r="B2928">
        <v>2</v>
      </c>
      <c r="C2928" t="str">
        <f t="shared" si="90"/>
        <v>EMSG:-STRACE:-STRACERAW:com.guidewire.pl.metadata.datatypeXXX.fieldvalidator.FieldValidatorInfo.validateFormat(FieldValidatorInfo.java:XXX</v>
      </c>
      <c r="D2928" s="3">
        <f t="shared" si="91"/>
        <v>1</v>
      </c>
    </row>
    <row r="2929" spans="1:4" x14ac:dyDescent="0.35">
      <c r="A2929" t="s">
        <v>3024</v>
      </c>
      <c r="B2929">
        <v>2</v>
      </c>
      <c r="C2929" t="str">
        <f t="shared" si="90"/>
        <v>EMSG:-STRACE:-STRACERAW:deployment.pc.war//com.guidewire.pc.domain.policy.period.impl.PolicyPeriodImpl.lockBranch(PolicyPeriodImpl.java:XXX</v>
      </c>
      <c r="D2929" s="3">
        <f t="shared" si="91"/>
        <v>1</v>
      </c>
    </row>
    <row r="2930" spans="1:4" x14ac:dyDescent="0.35">
      <c r="A2930" t="s">
        <v>3025</v>
      </c>
      <c r="B2930">
        <v>2</v>
      </c>
      <c r="C2930" t="str">
        <f t="shared" si="90"/>
        <v>EMSG:-STRACE:-STRACERAW:gw.plugin.preupdate.impl.DemoPreUpdateImpl.handleJobPreUpdate(DemoPreUpdateImpl.gs:XXX</v>
      </c>
      <c r="D2930" s="3">
        <f t="shared" si="91"/>
        <v>1</v>
      </c>
    </row>
    <row r="2931" spans="1:4" x14ac:dyDescent="0.35">
      <c r="A2931" t="s">
        <v>1085</v>
      </c>
      <c r="B2931">
        <v>2</v>
      </c>
      <c r="C2931" t="str">
        <f t="shared" si="90"/>
        <v>EMSG:-STRACE:-STRACERAW:invoke (line: XXX, column: XXX</v>
      </c>
      <c r="D2931" s="3">
        <f t="shared" si="91"/>
        <v>1</v>
      </c>
    </row>
    <row r="2932" spans="1:4" x14ac:dyDescent="0.35">
      <c r="A2932" t="s">
        <v>3026</v>
      </c>
      <c r="B2932">
        <v>2</v>
      </c>
      <c r="C2932" t="str">
        <f t="shared" si="90"/>
        <v>EMSG:-STRACE:-STRACERAW:oracle.jdbc.driver.TXXXCMAREngineNIO.prepareForUnmarshall(TXXXCMAREngineNIO.java:XXX</v>
      </c>
      <c r="D2932" s="3">
        <f t="shared" si="91"/>
        <v>1</v>
      </c>
    </row>
    <row r="2933" spans="1:4" ht="29" x14ac:dyDescent="0.35">
      <c r="A2933" s="4" t="s">
        <v>3027</v>
      </c>
      <c r="B2933">
        <v>2</v>
      </c>
      <c r="C2933" t="str">
        <f t="shared" si="90"/>
        <v>EMSG:-STRACE:allows withdraw
	at gw.job.JobConditions.assertOkay(JobConditions.gs:XXXSTRACERAW:-</v>
      </c>
      <c r="D2933" s="3">
        <f t="shared" si="91"/>
        <v>1</v>
      </c>
    </row>
    <row r="2934" spans="1:4" x14ac:dyDescent="0.35">
      <c r="A2934" t="s">
        <v>3028</v>
      </c>
      <c r="B2934">
        <v>2</v>
      </c>
      <c r="C2934" t="str">
        <f t="shared" si="90"/>
        <v>EMSG:-STRACE:com.farmers.config.pup.policyrefresh.ruleengine.PUPAutomaticUpdateTriggerRules$block_XXX_.invoke(PUPAutomaticUpdateTriggerRules.gs:XXXSTRACERAW:-</v>
      </c>
      <c r="D2934" s="3">
        <f t="shared" si="91"/>
        <v>1</v>
      </c>
    </row>
    <row r="2935" spans="1:4" ht="29" x14ac:dyDescent="0.35">
      <c r="A2935" s="4" t="s">
        <v>3029</v>
      </c>
      <c r="B2935">
        <v>2</v>
      </c>
      <c r="C2935" t="str">
        <f t="shared" si="90"/>
        <v>EMSG:A report shows that the XXXSTRACE:the  XXX CHEVROLET CRUZE LIMITED XXXD LS has been flagged as having Vehicle History activity.
	at edge.capabilities.quote.submission.quoting.util.SubmissionUnderwritingIssuesUtil.checkSideBySideProcessExceptions(Subm</v>
      </c>
      <c r="D2935" s="3">
        <f t="shared" si="91"/>
        <v>1</v>
      </c>
    </row>
    <row r="2936" spans="1:4" ht="29" x14ac:dyDescent="0.35">
      <c r="A2936" s="4" t="s">
        <v>3030</v>
      </c>
      <c r="B2936">
        <v>2</v>
      </c>
      <c r="C2936" t="str">
        <f t="shared" si="90"/>
        <v>EMSG:A report shows that the XXXSTRACE:the  XXX CHEVROLET TRUCK SLVRDO XXX CR XXXXXXX LT has been flagged as having Vehicle History activity.
	at edge.capabilities.quote.submission.quoting.util.SubmissionUnderwritingIssuesUtil.checkSideBySideProcessExcept</v>
      </c>
      <c r="D2936" s="3">
        <f t="shared" si="91"/>
        <v>1</v>
      </c>
    </row>
    <row r="2937" spans="1:4" ht="29" x14ac:dyDescent="0.35">
      <c r="A2937" s="4" t="s">
        <v>3031</v>
      </c>
      <c r="B2937">
        <v>2</v>
      </c>
      <c r="C2937" t="str">
        <f t="shared" si="90"/>
        <v>EMSG:A report shows that the XXXSTRACE:the  XXX CHEVROLET TRUCK TAHOE  XXXDOOR XXXXXXX, XXX JEEP LIBERTY XXXD XXXXXXX LIMITED has been flagged as having Vehicle History activity.
	at edge.capabilities.quote.submission.quoting.util.SubmissionUnderwritingIs</v>
      </c>
      <c r="D2937" s="3">
        <f t="shared" si="91"/>
        <v>1</v>
      </c>
    </row>
    <row r="2938" spans="1:4" ht="43.5" x14ac:dyDescent="0.35">
      <c r="A2938" s="4" t="s">
        <v>3032</v>
      </c>
      <c r="B2938">
        <v>2</v>
      </c>
      <c r="C2938" t="str">
        <f t="shared" si="90"/>
        <v>EMSG:A report shows that the XXXSTRACE:the  XXX FORD TRUCK EXCURSION XXXD XXXXXXX XLT, XXX CHEVROLET TRUCK XXX PICKUP EXT C XXX/XXXT XXXXXXX has been flagged as having Vehicle History activity.
	at edge.capabilities.quote.submission.quoting.util.Submissio</v>
      </c>
      <c r="D2938" s="3">
        <f t="shared" si="91"/>
        <v>1</v>
      </c>
    </row>
    <row r="2939" spans="1:4" ht="29" x14ac:dyDescent="0.35">
      <c r="A2939" s="4" t="s">
        <v>3033</v>
      </c>
      <c r="B2939">
        <v>2</v>
      </c>
      <c r="C2939" t="str">
        <f t="shared" si="90"/>
        <v>EMSG:A report shows that the XXXSTRACE:the  XXX HONDA ACCORD HYBRID XXXD SPORT has been flagged as having Vehicle History activity.
	at edge.capabilities.quote.submission.quoting.util.SubmissionUnderwritingIssuesUtil.checkSideBySideProcessExceptions(Submi</v>
      </c>
      <c r="D2939" s="3">
        <f t="shared" si="91"/>
        <v>1</v>
      </c>
    </row>
    <row r="2940" spans="1:4" ht="29" x14ac:dyDescent="0.35">
      <c r="A2940" s="4" t="s">
        <v>3034</v>
      </c>
      <c r="B2940">
        <v>2</v>
      </c>
      <c r="C2940" t="str">
        <f t="shared" si="90"/>
        <v>EMSG:A report shows that the XXXSTRACE:the  XXX HONDA ACCORD XXXD SPORT, XXX HONDA CIVIC XXXD SPORT has been flagged as having Vehicle History activity.
	at edge.capabilities.quote.submission.quoting.util.SubmissionUnderwritingIssuesUtil.checkSideBySidePr</v>
      </c>
      <c r="D2940" s="3">
        <f t="shared" si="91"/>
        <v>1</v>
      </c>
    </row>
    <row r="2941" spans="1:4" ht="29" x14ac:dyDescent="0.35">
      <c r="A2941" s="4" t="s">
        <v>1162</v>
      </c>
      <c r="B2941">
        <v>2</v>
      </c>
      <c r="C2941" t="str">
        <f t="shared" si="90"/>
        <v>EMSG:A report shows that the XXXSTRACE:the  XXX HONDA CIVIC XXXD COUPE LX has been flagged as having Vehicle History activity.
	at edge.capabilities.quote.submission.quoting.util.SubmissionUnderwritingIssuesUtil.checkSideBySideProcessExceptions(Submission</v>
      </c>
      <c r="D2941" s="3">
        <f t="shared" si="91"/>
        <v>1</v>
      </c>
    </row>
    <row r="2942" spans="1:4" ht="29" x14ac:dyDescent="0.35">
      <c r="A2942" s="4" t="s">
        <v>3035</v>
      </c>
      <c r="B2942">
        <v>2</v>
      </c>
      <c r="C2942" t="str">
        <f t="shared" si="90"/>
        <v>EMSG:A report shows that the XXXSTRACE:the  XXX HONDA ODYSSEY VAN  EX has been flagged as having Vehicle History activity.
	at edge.capabilities.quote.submission.quoting.util.SubmissionUnderwritingIssuesUtil.checkSideBySideProcessExceptions(SubmissionUnde</v>
      </c>
      <c r="D2942" s="3">
        <f t="shared" si="91"/>
        <v>1</v>
      </c>
    </row>
    <row r="2943" spans="1:4" ht="29" x14ac:dyDescent="0.35">
      <c r="A2943" s="4" t="s">
        <v>3036</v>
      </c>
      <c r="B2943">
        <v>2</v>
      </c>
      <c r="C2943" t="str">
        <f t="shared" si="90"/>
        <v>EMSG:A report shows that the XXXSTRACE:the  XXX HONDA PILOT XXXD XXXWD EX-L WITH RES has been flagged as having Vehicle History activity.
	at edge.capabilities.quote.submission.quoting.util.SubmissionUnderwritingIssuesUtil.checkSideBySideProcessExceptions</v>
      </c>
      <c r="D2943" s="3">
        <f t="shared" si="91"/>
        <v>1</v>
      </c>
    </row>
    <row r="2944" spans="1:4" ht="29" x14ac:dyDescent="0.35">
      <c r="A2944" s="4" t="s">
        <v>3037</v>
      </c>
      <c r="B2944">
        <v>2</v>
      </c>
      <c r="C2944" t="str">
        <f t="shared" si="90"/>
        <v>EMSG:A report shows that the XXXSTRACE:the  XXX INFINITI QXXXX XXXD XXXWD PURE/LUXE has been flagged as having Vehicle History activity.
	at edge.capabilities.quote.submission.quoting.util.SubmissionUnderwritingIssuesUtil.checkSideBySideProcessExceptions(</v>
      </c>
      <c r="D2944" s="3">
        <f t="shared" si="91"/>
        <v>1</v>
      </c>
    </row>
    <row r="2945" spans="1:4" ht="29" x14ac:dyDescent="0.35">
      <c r="A2945" s="4" t="s">
        <v>3038</v>
      </c>
      <c r="B2945">
        <v>2</v>
      </c>
      <c r="C2945" t="str">
        <f t="shared" si="90"/>
        <v>EMSG:A report shows that the XXXSTRACE:the  XXX MINI COUNTRYMAN SW XXXWD S has been flagged as having Vehicle History activity.
	at edge.capabilities.quote.submission.quoting.util.SubmissionUnderwritingIssuesUtil.checkSideBySideProcessExceptions(Submissio</v>
      </c>
      <c r="D2945" s="3">
        <f t="shared" si="91"/>
        <v>1</v>
      </c>
    </row>
    <row r="2946" spans="1:4" ht="29" x14ac:dyDescent="0.35">
      <c r="A2946" s="4" t="s">
        <v>3039</v>
      </c>
      <c r="B2946">
        <v>2</v>
      </c>
      <c r="C2946" t="str">
        <f t="shared" si="90"/>
        <v>EMSG:A report shows that the XXXSTRACE:the  XXX TOYOTA AVALON XXXD XL/XLS/TOURING/LTD has been flagged as having Vehicle History activity.
	at edge.capabilities.quote.submission.quoting.util.SubmissionUnderwritingIssuesUtil.checkSideBySideProcessException</v>
      </c>
      <c r="D2946" s="3">
        <f t="shared" si="91"/>
        <v>1</v>
      </c>
    </row>
    <row r="2947" spans="1:4" ht="29" x14ac:dyDescent="0.35">
      <c r="A2947" s="4" t="s">
        <v>3040</v>
      </c>
      <c r="B2947">
        <v>2</v>
      </c>
      <c r="C2947" t="str">
        <f t="shared" ref="C2947:C3010" si="92">LEFT(A2947,255)</f>
        <v>EMSG:Access the quote again later and revalidate the policy. Driver Savanna StoneSTRACE:may take XXX days to retrieve.
	at com.farmers.config.pa.mvr.validator.MVRDriverValidator.validateOnlineState(MVRDriverValidator.gs:XXXSTRACERAW:-</v>
      </c>
      <c r="D2947" s="3">
        <f t="shared" ref="D2947:D3010" si="93">IF(AND((B2947/10)&lt;1,(B2947/10)&gt;0),1,(B2947/10)*130%)</f>
        <v>1</v>
      </c>
    </row>
    <row r="2948" spans="1:4" x14ac:dyDescent="0.35">
      <c r="A2948" t="s">
        <v>3041</v>
      </c>
      <c r="B2948">
        <v>2</v>
      </c>
      <c r="C2948" t="str">
        <f t="shared" si="92"/>
        <v>EMSG:Add Uninsured Motorist - Bodily Injury. It is required for Uninsured Motorist - Property Damage.STRACE:edge.capabilities.quote.submission.quoting.util.SubmissionUnderwritingIssuesUtil.checkSideBySideProcessExceptions(SubmissionUnderwritingIssuesUtil.</v>
      </c>
      <c r="D2948" s="3">
        <f t="shared" si="93"/>
        <v>1</v>
      </c>
    </row>
    <row r="2949" spans="1:4" x14ac:dyDescent="0.35">
      <c r="A2949" t="s">
        <v>3042</v>
      </c>
      <c r="B2949">
        <v>2</v>
      </c>
      <c r="C2949" t="str">
        <f t="shared" si="92"/>
        <v>EMSG:BLANCA ALVARADOSTRACE:com.farmers.config.pa.validator.BrightlineValidator.validateQuoteBrightlineRules(BrightlineValidator.gs:XXXSTRACERAW:-</v>
      </c>
      <c r="D2949" s="3">
        <f t="shared" si="93"/>
        <v>1</v>
      </c>
    </row>
    <row r="2950" spans="1:4" x14ac:dyDescent="0.35">
      <c r="A2950" t="s">
        <v>3043</v>
      </c>
      <c r="B2950">
        <v>2</v>
      </c>
      <c r="C2950" t="str">
        <f t="shared" si="92"/>
        <v>EMSG:Change the FORTIFIED Certificate Expiration Date. Certificate Expiration Date must be after the transaction effective date.;STRACE:edge.capabilities.quote.submission.quoting.util.SubmissionUnderwritingIssuesUtil.checkVerifyRateExceptions(SubmissionUn</v>
      </c>
      <c r="D2950" s="3">
        <f t="shared" si="93"/>
        <v>1</v>
      </c>
    </row>
    <row r="2951" spans="1:4" x14ac:dyDescent="0.35">
      <c r="A2951" t="s">
        <v>1228</v>
      </c>
      <c r="B2951">
        <v>2</v>
      </c>
      <c r="C2951" t="str">
        <f t="shared" si="92"/>
        <v>EMSG:Change the Purchase Date. Year purchased cannot be more than XXX years prior to model year for Vehicle XXXSTRACE:edge.capabilities.quote.submission.quoting.util.SubmissionUnderwritingIssuesUtil.checkSideBySideProcessExceptions(SubmissionUnderwritingI</v>
      </c>
      <c r="D2951" s="3">
        <f t="shared" si="93"/>
        <v>1</v>
      </c>
    </row>
    <row r="2952" spans="1:4" x14ac:dyDescent="0.35">
      <c r="A2952" t="s">
        <v>3044</v>
      </c>
      <c r="B2952">
        <v>2</v>
      </c>
      <c r="C2952" t="str">
        <f t="shared" si="92"/>
        <v>EMSG:Connection reset by peer (Write failed)STRACE:java.base/java.net.SocketOutputStream.socketWriteXXX(Native MethodSTRACERAW:-</v>
      </c>
      <c r="D2952" s="3">
        <f t="shared" si="93"/>
        <v>1</v>
      </c>
    </row>
    <row r="2953" spans="1:4" x14ac:dyDescent="0.35">
      <c r="A2953" t="s">
        <v>3045</v>
      </c>
      <c r="B2953">
        <v>2</v>
      </c>
      <c r="C2953" t="str">
        <f t="shared" si="92"/>
        <v>EMSG:Connection reset by peer (connect failed)STRACE:java.base/java.net.PlainSocketImpl.socketConnect(Native MethodSTRACERAW:-</v>
      </c>
      <c r="D2953" s="3">
        <f t="shared" si="93"/>
        <v>1</v>
      </c>
    </row>
    <row r="2954" spans="1:4" ht="29" x14ac:dyDescent="0.35">
      <c r="A2954" s="4" t="s">
        <v>3046</v>
      </c>
      <c r="B2954">
        <v>2</v>
      </c>
      <c r="C2954" t="str">
        <f t="shared" si="92"/>
        <v>EMSG:Correct the License # for XXXSTRACE:error
	at com.farmers.integ.framework.job.automatejob.AutomatedJob.executeJob(AutomatedJob.gs:XXXSTRACERAW:-</v>
      </c>
      <c r="D2954" s="3">
        <f t="shared" si="93"/>
        <v>1</v>
      </c>
    </row>
    <row r="2955" spans="1:4" x14ac:dyDescent="0.35">
      <c r="A2955" t="s">
        <v>589</v>
      </c>
      <c r="B2955">
        <v>2</v>
      </c>
      <c r="C2955" t="str">
        <f t="shared" si="92"/>
        <v>EMSG:Could not map property OnOffAmount_ExtSTRACE:deployment.pc.war//gw.internal.xml.gx.GxRuntime.createElement(GxRuntime.java:XXXSTRACERAW:-</v>
      </c>
      <c r="D2955" s="3">
        <f t="shared" si="93"/>
        <v>1</v>
      </c>
    </row>
    <row r="2956" spans="1:4" x14ac:dyDescent="0.35">
      <c r="A2956" t="s">
        <v>3047</v>
      </c>
      <c r="B2956">
        <v>2</v>
      </c>
      <c r="C2956" t="str">
        <f t="shared" si="92"/>
        <v>EMSG:Donald FreySTRACE:com.farmers.config.pa.validator.BrightlineValidator.validateQuoteBrightlineRules(BrightlineValidator.gs:XXXSTRACERAW:-</v>
      </c>
      <c r="D2956" s="3">
        <f t="shared" si="93"/>
        <v>1</v>
      </c>
    </row>
    <row r="2957" spans="1:4" ht="43.5" x14ac:dyDescent="0.35">
      <c r="A2957" s="4" t="s">
        <v>3048</v>
      </c>
      <c r="B2957">
        <v>2</v>
      </c>
      <c r="C2957" t="str">
        <f t="shared" si="92"/>
        <v xml:space="preserve">EMSG:Dwelling at XXXSTRACE:XXX F St, Staunton, VA: Access Coverage - Limited Water is no longer available and has been removed.; Dwelling at XXX F St, Staunton, VA: Standard Limit on Special Limits on Personal Property is no longer available and has been </v>
      </c>
      <c r="D2957" s="3">
        <f t="shared" si="93"/>
        <v>1</v>
      </c>
    </row>
    <row r="2958" spans="1:4" ht="29" x14ac:dyDescent="0.35">
      <c r="A2958" s="4" t="s">
        <v>3049</v>
      </c>
      <c r="B2958">
        <v>2</v>
      </c>
      <c r="C2958" t="str">
        <f t="shared" si="92"/>
        <v>EMSG:Dwelling at XXXSTRACE:XXX LLAMA CT, VENTURA, CA: $XXX,XXX All Perils on Deductibles is no longer available and has been removed. Please enter a new value.
	at gw.api.extension.PCExtensionInterfacesMapper$block_XXX_.invoke(PCExtensionInterfacesMapper.</v>
      </c>
      <c r="D2958" s="3">
        <f t="shared" si="93"/>
        <v>1</v>
      </c>
    </row>
    <row r="2959" spans="1:4" x14ac:dyDescent="0.35">
      <c r="A2959" t="s">
        <v>3050</v>
      </c>
      <c r="B2959">
        <v>2</v>
      </c>
      <c r="C2959" t="str">
        <f t="shared" si="92"/>
        <v>EMSG:For eligible contact CAROLINA ZERTUCHE MERY credit score is null. Please make sure credit is orderedSTRACE:com.farmers.config.common.credit.CreditScoreHelper.populateRatingCreditDTO(CreditScoreHelper.gs:XXXSTRACERAW:-</v>
      </c>
      <c r="D2959" s="3">
        <f t="shared" si="93"/>
        <v>1</v>
      </c>
    </row>
    <row r="2960" spans="1:4" x14ac:dyDescent="0.35">
      <c r="A2960" t="s">
        <v>3051</v>
      </c>
      <c r="B2960">
        <v>2</v>
      </c>
      <c r="C2960" t="str">
        <f t="shared" si="92"/>
        <v>EMSG:For eligible contact Debra Harvey credit score is null. Please make sure credit is orderedSTRACE:com.farmers.config.common.credit.CreditScoreHelper.populateRatingCreditDTO(CreditScoreHelper.gs:XXXSTRACERAW:-</v>
      </c>
      <c r="D2960" s="3">
        <f t="shared" si="93"/>
        <v>1</v>
      </c>
    </row>
    <row r="2961" spans="1:4" x14ac:dyDescent="0.35">
      <c r="A2961" t="s">
        <v>3052</v>
      </c>
      <c r="B2961">
        <v>2</v>
      </c>
      <c r="C2961" t="str">
        <f t="shared" si="92"/>
        <v>EMSG:For eligible contact Ekkehard Sambolah credit score is null. Please make sure credit is orderedSTRACE:com.farmers.config.common.credit.CreditScoreHelper.populateRatingCreditDTO(CreditScoreHelper.gs:XXXSTRACERAW:-</v>
      </c>
      <c r="D2961" s="3">
        <f t="shared" si="93"/>
        <v>1</v>
      </c>
    </row>
    <row r="2962" spans="1:4" x14ac:dyDescent="0.35">
      <c r="A2962" t="s">
        <v>3053</v>
      </c>
      <c r="B2962">
        <v>2</v>
      </c>
      <c r="C2962" t="str">
        <f t="shared" si="92"/>
        <v>EMSG:For eligible contact GARRICK MITCHELL credit score is null. Please make sure credit is orderedSTRACE:com.farmers.config.common.credit.CreditScoreHelper.populateRatingCreditDTO(CreditScoreHelper.gs:XXXSTRACERAW:-</v>
      </c>
      <c r="D2962" s="3">
        <f t="shared" si="93"/>
        <v>1</v>
      </c>
    </row>
    <row r="2963" spans="1:4" x14ac:dyDescent="0.35">
      <c r="A2963" t="s">
        <v>3054</v>
      </c>
      <c r="B2963">
        <v>2</v>
      </c>
      <c r="C2963" t="str">
        <f t="shared" si="92"/>
        <v>EMSG:For eligible contact Ghias Jabbour credit score is null. Please make sure credit is orderedSTRACE:com.farmers.config.common.credit.CreditScoreHelper.populateRatingCreditDTO(CreditScoreHelper.gs:XXXSTRACERAW:-</v>
      </c>
      <c r="D2963" s="3">
        <f t="shared" si="93"/>
        <v>1</v>
      </c>
    </row>
    <row r="2964" spans="1:4" x14ac:dyDescent="0.35">
      <c r="A2964" t="s">
        <v>3055</v>
      </c>
      <c r="B2964">
        <v>2</v>
      </c>
      <c r="C2964" t="str">
        <f t="shared" si="92"/>
        <v>EMSG:For eligible contact JAYNE MORRISON credit score is null. Please make sure credit is orderedSTRACE:com.farmers.config.common.credit.CreditScoreHelper.populateRatingCreditDTO(CreditScoreHelper.gs:XXXSTRACERAW:-</v>
      </c>
      <c r="D2964" s="3">
        <f t="shared" si="93"/>
        <v>1</v>
      </c>
    </row>
    <row r="2965" spans="1:4" x14ac:dyDescent="0.35">
      <c r="A2965" t="s">
        <v>3056</v>
      </c>
      <c r="B2965">
        <v>2</v>
      </c>
      <c r="C2965" t="str">
        <f t="shared" si="92"/>
        <v>EMSG:For eligible contact Shijo Joseph credit score is null. Please make sure credit is orderedSTRACE:com.farmers.config.common.credit.CreditScoreHelper.populateRatingCreditDTO(CreditScoreHelper.gs:XXXSTRACERAW:-</v>
      </c>
      <c r="D2965" s="3">
        <f t="shared" si="93"/>
        <v>1</v>
      </c>
    </row>
    <row r="2966" spans="1:4" x14ac:dyDescent="0.35">
      <c r="A2966" t="s">
        <v>3057</v>
      </c>
      <c r="B2966">
        <v>2</v>
      </c>
      <c r="C2966" t="str">
        <f t="shared" si="92"/>
        <v>EMSG:For eligible contact Yesenia Mercado credit score is null. Please make sure credit is orderedSTRACE:com.farmers.config.common.credit.CreditScoreHelper.populateRatingCreditDTO(CreditScoreHelper.gs:XXXSTRACERAW:-</v>
      </c>
      <c r="D2966" s="3">
        <f t="shared" si="93"/>
        <v>1</v>
      </c>
    </row>
    <row r="2967" spans="1:4" ht="43.5" x14ac:dyDescent="0.35">
      <c r="A2967" s="4" t="s">
        <v>3058</v>
      </c>
      <c r="B2967">
        <v>2</v>
      </c>
      <c r="C2967" t="str">
        <f t="shared" si="92"/>
        <v>EMSG:Found more than one target of the property XXXSTRACE:Byways St, South El Monte, CA': ['HOConstructionDetails_Ext:pc:XXX - Dwelling Construction Details', 'HOConstructionDetails_Ext:pc:XXX - Dwelling Construction Details']. This could be due to a conc</v>
      </c>
      <c r="D2967" s="3">
        <f t="shared" si="93"/>
        <v>1</v>
      </c>
    </row>
    <row r="2968" spans="1:4" ht="43.5" x14ac:dyDescent="0.35">
      <c r="A2968" s="4" t="s">
        <v>3059</v>
      </c>
      <c r="B2968">
        <v>2</v>
      </c>
      <c r="C2968" t="str">
        <f t="shared" si="92"/>
        <v>EMSG:Found more than one target of the property XXXSTRACE:XXX Autumn Wood Cir Null, Lake Elsinore, CA': ['HOConstructionDetails_Ext:pc:XXX - Dwelling Construction Details', 'HOConstructionDetails_Ext:pc:XXX - Dwelling Construction Details']. This could be</v>
      </c>
      <c r="D2968" s="3">
        <f t="shared" si="93"/>
        <v>1</v>
      </c>
    </row>
    <row r="2969" spans="1:4" ht="43.5" x14ac:dyDescent="0.35">
      <c r="A2969" s="4" t="s">
        <v>3060</v>
      </c>
      <c r="B2969">
        <v>2</v>
      </c>
      <c r="C2969" t="str">
        <f t="shared" si="92"/>
        <v>EMSG:Found more than one target of the property XXXSTRACE:XXX Bouquet Canyon Rd, Santa Clarita, CA': ['HOConstructionDetails_Ext:pc:XXX - Dwelling Construction Details', 'HOConstructionDetails_Ext:pc:XXX - Dwelling Construction Details']. This could be du</v>
      </c>
      <c r="D2969" s="3">
        <f t="shared" si="93"/>
        <v>1</v>
      </c>
    </row>
    <row r="2970" spans="1:4" ht="43.5" x14ac:dyDescent="0.35">
      <c r="A2970" s="4" t="s">
        <v>3061</v>
      </c>
      <c r="B2970">
        <v>2</v>
      </c>
      <c r="C2970" t="str">
        <f t="shared" si="92"/>
        <v xml:space="preserve">EMSG:Found more than one target of the property XXXSTRACE:XXX Brenda Way Apt XXX, Union City, CA': ['HOConstructionDetails_Ext:pc:XXX - Dwelling Construction Details', 'HOConstructionDetails_Ext:pc:XXX - Dwelling Construction Details']. This could be due </v>
      </c>
      <c r="D2970" s="3">
        <f t="shared" si="93"/>
        <v>1</v>
      </c>
    </row>
    <row r="2971" spans="1:4" ht="43.5" x14ac:dyDescent="0.35">
      <c r="A2971" s="4" t="s">
        <v>3062</v>
      </c>
      <c r="B2971">
        <v>2</v>
      </c>
      <c r="C2971" t="str">
        <f t="shared" si="92"/>
        <v>EMSG:Found more than one target of the property XXXSTRACE:XXX Brookhaven Pass, Vista, CA': ['HOConstructionDetails_Ext:pc:XXX - Dwelling Construction Details', 'HOConstructionDetails_Ext:pc:XXX - Dwelling Construction Details']. This could be due to a con</v>
      </c>
      <c r="D2971" s="3">
        <f t="shared" si="93"/>
        <v>1</v>
      </c>
    </row>
    <row r="2972" spans="1:4" ht="43.5" x14ac:dyDescent="0.35">
      <c r="A2972" s="4" t="s">
        <v>3063</v>
      </c>
      <c r="B2972">
        <v>2</v>
      </c>
      <c r="C2972" t="str">
        <f t="shared" si="92"/>
        <v>EMSG:Found more than one target of the property XXXSTRACE:XXX Buccaneer Way, Penn Valley, CA': ['HOConstructionDetails_Ext:pc:XXX - Dwelling Construction Details', 'HOConstructionDetails_Ext:pc:XXX - Dwelling Construction Details']. This could be due to a</v>
      </c>
      <c r="D2972" s="3">
        <f t="shared" si="93"/>
        <v>1</v>
      </c>
    </row>
    <row r="2973" spans="1:4" ht="43.5" x14ac:dyDescent="0.35">
      <c r="A2973" s="4" t="s">
        <v>3064</v>
      </c>
      <c r="B2973">
        <v>2</v>
      </c>
      <c r="C2973" t="str">
        <f t="shared" si="92"/>
        <v>EMSG:Found more than one target of the property XXXSTRACE:XXX Corte Arroyo Vis, Temecula, CA': ['HOConstructionDetails_Ext:pc:XXX - Dwelling Construction Details', 'HOConstructionDetails_Ext:pc:XXX - Dwelling Construction Details']. This could be due to a</v>
      </c>
      <c r="D2973" s="3">
        <f t="shared" si="93"/>
        <v>1</v>
      </c>
    </row>
    <row r="2974" spans="1:4" ht="43.5" x14ac:dyDescent="0.35">
      <c r="A2974" s="4" t="s">
        <v>3065</v>
      </c>
      <c r="B2974">
        <v>2</v>
      </c>
      <c r="C2974" t="str">
        <f t="shared" si="92"/>
        <v xml:space="preserve">EMSG:Found more than one target of the property XXXSTRACE:XXX County Road XXXB, Esparto, CA': ['HOConstructionDetails_Ext:pc:XXX - Dwelling Construction Details', 'HOConstructionDetails_Ext:pc:XXX - Dwelling Construction Details']. This could be due to a </v>
      </c>
      <c r="D2974" s="3">
        <f t="shared" si="93"/>
        <v>1</v>
      </c>
    </row>
    <row r="2975" spans="1:4" ht="43.5" x14ac:dyDescent="0.35">
      <c r="A2975" s="4" t="s">
        <v>3066</v>
      </c>
      <c r="B2975">
        <v>2</v>
      </c>
      <c r="C2975" t="str">
        <f t="shared" si="92"/>
        <v>EMSG:Found more than one target of the property XXXSTRACE:XXX Dogwood Rd, Carlsbad, CA': ['HOConstructionDetails_Ext:pc:XXX - Dwelling Construction Details', 'HOConstructionDetails_Ext:pc:XXX - Dwelling Construction Details']. This could be due to a concu</v>
      </c>
      <c r="D2975" s="3">
        <f t="shared" si="93"/>
        <v>1</v>
      </c>
    </row>
    <row r="2976" spans="1:4" ht="43.5" x14ac:dyDescent="0.35">
      <c r="A2976" s="4" t="s">
        <v>3067</v>
      </c>
      <c r="B2976">
        <v>2</v>
      </c>
      <c r="C2976" t="str">
        <f t="shared" si="92"/>
        <v>EMSG:Found more than one target of the property XXXSTRACE:XXX Globe Dr, Springville, CA': ['HOConstructionDetails_Ext:pc:XXX - Dwelling Construction Details', 'HOConstructionDetails_Ext:pc:XXX - Dwelling Construction Details']. This could be due to a conc</v>
      </c>
      <c r="D2976" s="3">
        <f t="shared" si="93"/>
        <v>1</v>
      </c>
    </row>
    <row r="2977" spans="1:4" ht="43.5" x14ac:dyDescent="0.35">
      <c r="A2977" s="4" t="s">
        <v>3068</v>
      </c>
      <c r="B2977">
        <v>2</v>
      </c>
      <c r="C2977" t="str">
        <f t="shared" si="92"/>
        <v xml:space="preserve">EMSG:Found more than one target of the property XXXSTRACE:XXX Hollister Ranch Rd, Gaviota, CA': ['HOConstructionDetails_Ext:pc:XXX - Dwelling Construction Details', 'HOConstructionDetails_Ext:pc:XXX - Dwelling Construction Details']. This could be due to </v>
      </c>
      <c r="D2977" s="3">
        <f t="shared" si="93"/>
        <v>1</v>
      </c>
    </row>
    <row r="2978" spans="1:4" ht="43.5" x14ac:dyDescent="0.35">
      <c r="A2978" s="4" t="s">
        <v>3069</v>
      </c>
      <c r="B2978">
        <v>2</v>
      </c>
      <c r="C2978" t="str">
        <f t="shared" si="92"/>
        <v>EMSG:Found more than one target of the property XXXSTRACE:XXX King Rd, Loomis, CA': ['HOConstructionDetails_Ext:pc:XXX - Dwelling Construction Details', 'HOConstructionDetails_Ext:pc:XXX - Dwelling Construction Details']. This could be due to a concurrent</v>
      </c>
      <c r="D2978" s="3">
        <f t="shared" si="93"/>
        <v>1</v>
      </c>
    </row>
    <row r="2979" spans="1:4" ht="43.5" x14ac:dyDescent="0.35">
      <c r="A2979" s="4" t="s">
        <v>3070</v>
      </c>
      <c r="B2979">
        <v>2</v>
      </c>
      <c r="C2979" t="str">
        <f t="shared" si="92"/>
        <v>EMSG:Found more than one target of the property XXXSTRACE:XXX Kona Dr Apt B, Huntington Beach, CA': ['HOConstructionDetails_Ext:pc:XXX - Dwelling Construction Details', 'HOConstructionDetails_Ext:pc:XXX - Dwelling Construction Details']. This could be due</v>
      </c>
      <c r="D2979" s="3">
        <f t="shared" si="93"/>
        <v>1</v>
      </c>
    </row>
    <row r="2980" spans="1:4" ht="43.5" x14ac:dyDescent="0.35">
      <c r="A2980" s="4" t="s">
        <v>3071</v>
      </c>
      <c r="B2980">
        <v>2</v>
      </c>
      <c r="C2980" t="str">
        <f t="shared" si="92"/>
        <v>EMSG:Found more than one target of the property XXXSTRACE:XXX La Mirada Ave, Oroville, CA': ['HOConstructionDetails_Ext:pc:XXX - Dwelling Construction Details', 'HOConstructionDetails_Ext:pc:XXX - Dwelling Construction Details']. This could be due to a co</v>
      </c>
      <c r="D2980" s="3">
        <f t="shared" si="93"/>
        <v>1</v>
      </c>
    </row>
    <row r="2981" spans="1:4" ht="43.5" x14ac:dyDescent="0.35">
      <c r="A2981" s="4" t="s">
        <v>3072</v>
      </c>
      <c r="B2981">
        <v>2</v>
      </c>
      <c r="C2981" t="str">
        <f t="shared" si="92"/>
        <v>EMSG:Found more than one target of the property XXXSTRACE:XXX Lorin Ave, Sacramento, CA': ['HOConstructionDetails_Ext:pc:XXX - Dwelling Construction Details', 'HOConstructionDetails_Ext:pc:XXX - Dwelling Construction Details']. This could be due to a conc</v>
      </c>
      <c r="D2981" s="3">
        <f t="shared" si="93"/>
        <v>1</v>
      </c>
    </row>
    <row r="2982" spans="1:4" ht="43.5" x14ac:dyDescent="0.35">
      <c r="A2982" s="4" t="s">
        <v>3073</v>
      </c>
      <c r="B2982">
        <v>2</v>
      </c>
      <c r="C2982" t="str">
        <f t="shared" si="92"/>
        <v xml:space="preserve">EMSG:Found more than one target of the property XXXSTRACE:XXX Mac Tan Ln, Valley Center, CA': ['HOConstructionDetails_Ext:pc:XXX - Dwelling Construction Details', 'HOConstructionDetails_Ext:pc:XXX - Dwelling Construction Details']. This could be due to a </v>
      </c>
      <c r="D2982" s="3">
        <f t="shared" si="93"/>
        <v>1</v>
      </c>
    </row>
    <row r="2983" spans="1:4" ht="43.5" x14ac:dyDescent="0.35">
      <c r="A2983" s="4" t="s">
        <v>3074</v>
      </c>
      <c r="B2983">
        <v>2</v>
      </c>
      <c r="C2983" t="str">
        <f t="shared" si="92"/>
        <v>EMSG:Found more than one target of the property XXXSTRACE:XXX Mauzy Way, El Cajon, CA': ['HOConstructionDetails_Ext:pc:XXX - Dwelling Construction Details', 'HOConstructionDetails_Ext:pc:XXX - Dwelling Construction Details']. This could be due to a concur</v>
      </c>
      <c r="D2983" s="3">
        <f t="shared" si="93"/>
        <v>1</v>
      </c>
    </row>
    <row r="2984" spans="1:4" ht="43.5" x14ac:dyDescent="0.35">
      <c r="A2984" s="4" t="s">
        <v>3075</v>
      </c>
      <c r="B2984">
        <v>2</v>
      </c>
      <c r="C2984" t="str">
        <f t="shared" si="92"/>
        <v>EMSG:Found more than one target of the property XXXSTRACE:XXX Moontide Ct, Temecula, CA': ['HOConstructionDetails_Ext:pc:XXX - Dwelling Construction Details', 'HOConstructionDetails_Ext:pc:XXX - Dwelling Construction Details']. This could be due to a conc</v>
      </c>
      <c r="D2984" s="3">
        <f t="shared" si="93"/>
        <v>1</v>
      </c>
    </row>
    <row r="2985" spans="1:4" ht="43.5" x14ac:dyDescent="0.35">
      <c r="A2985" s="4" t="s">
        <v>3076</v>
      </c>
      <c r="B2985">
        <v>2</v>
      </c>
      <c r="C2985" t="str">
        <f t="shared" si="92"/>
        <v>EMSG:Found more than one target of the property XXXSTRACE:XXX Muscat Ave, Reedley, CA': ['HOConstructionDetails_Ext:pc:XXX - Dwelling Construction Details', 'HOConstructionDetails_Ext:pc:XXX - Dwelling Construction Details']. This could be due to a concur</v>
      </c>
      <c r="D2985" s="3">
        <f t="shared" si="93"/>
        <v>1</v>
      </c>
    </row>
    <row r="2986" spans="1:4" ht="43.5" x14ac:dyDescent="0.35">
      <c r="A2986" s="4" t="s">
        <v>3077</v>
      </c>
      <c r="B2986">
        <v>2</v>
      </c>
      <c r="C2986" t="str">
        <f t="shared" si="92"/>
        <v>EMSG:Found more than one target of the property XXXSTRACE:XXX North St, Susanville, CA': ['HOConstructionDetails_Ext:pc:XXX - Dwelling Construction Details', 'HOConstructionDetails_Ext:pc:XXX - Dwelling Construction Details']. This could be due to a concu</v>
      </c>
      <c r="D2986" s="3">
        <f t="shared" si="93"/>
        <v>1</v>
      </c>
    </row>
    <row r="2987" spans="1:4" ht="43.5" x14ac:dyDescent="0.35">
      <c r="A2987" s="4" t="s">
        <v>3078</v>
      </c>
      <c r="B2987">
        <v>2</v>
      </c>
      <c r="C2987" t="str">
        <f t="shared" si="92"/>
        <v>EMSG:Found more than one target of the property XXXSTRACE:XXX Our Rd, Lakehead, CA': ['HOConstructionDetails_Ext:pc:XXX - Dwelling Construction Details', 'HOConstructionDetails_Ext:pc:XXX - Dwelling Construction Details']. This could be due to a concurren</v>
      </c>
      <c r="D2987" s="3">
        <f t="shared" si="93"/>
        <v>1</v>
      </c>
    </row>
    <row r="2988" spans="1:4" ht="43.5" x14ac:dyDescent="0.35">
      <c r="A2988" s="4" t="s">
        <v>3079</v>
      </c>
      <c r="B2988">
        <v>2</v>
      </c>
      <c r="C2988" t="str">
        <f t="shared" si="92"/>
        <v>EMSG:Found more than one target of the property XXXSTRACE:XXX Pueblo Trl, Yucca Valley, CA': ['HOConstructionDetails_Ext:pc:XXX - Dwelling Construction Details', 'HOConstructionDetails_Ext:pc:XXX - Dwelling Construction Details']. This could be due to a c</v>
      </c>
      <c r="D2988" s="3">
        <f t="shared" si="93"/>
        <v>1</v>
      </c>
    </row>
    <row r="2989" spans="1:4" ht="43.5" x14ac:dyDescent="0.35">
      <c r="A2989" s="4" t="s">
        <v>3080</v>
      </c>
      <c r="B2989">
        <v>2</v>
      </c>
      <c r="C2989" t="str">
        <f t="shared" si="92"/>
        <v xml:space="preserve">EMSG:Found more than one target of the property XXXSTRACE:XXX Quantico Ave, Bakersfield, CA': ['HOConstructionDetails_Ext:pc:XXX - Dwelling Construction Details', 'HOConstructionDetails_Ext:pc:XXX - Dwelling Construction Details']. This could be due to a </v>
      </c>
      <c r="D2989" s="3">
        <f t="shared" si="93"/>
        <v>1</v>
      </c>
    </row>
    <row r="2990" spans="1:4" ht="43.5" x14ac:dyDescent="0.35">
      <c r="A2990" s="4" t="s">
        <v>3081</v>
      </c>
      <c r="B2990">
        <v>2</v>
      </c>
      <c r="C2990" t="str">
        <f t="shared" si="92"/>
        <v>EMSG:Found more than one target of the property XXXSTRACE:XXX Rhona Dr, Laguna Niguel, CA': ['HOConstructionDetails_Ext:pc:XXX - Dwelling Construction Details', 'HOConstructionDetails_Ext:pc:XXX - Dwelling Construction Details']. This could be due to a co</v>
      </c>
      <c r="D2990" s="3">
        <f t="shared" si="93"/>
        <v>1</v>
      </c>
    </row>
    <row r="2991" spans="1:4" ht="43.5" x14ac:dyDescent="0.35">
      <c r="A2991" s="4" t="s">
        <v>3082</v>
      </c>
      <c r="B2991">
        <v>2</v>
      </c>
      <c r="C2991" t="str">
        <f t="shared" si="92"/>
        <v>EMSG:Found more than one target of the property XXXSTRACE:XXX S Trevor St, Anaheim, CA': ['HOConstructionDetails_Ext:pc:XXX - Dwelling Construction Details', 'HOConstructionDetails_Ext:pc:XXX - Dwelling Construction Details']. This could be due to a concu</v>
      </c>
      <c r="D2991" s="3">
        <f t="shared" si="93"/>
        <v>1</v>
      </c>
    </row>
    <row r="2992" spans="1:4" ht="43.5" x14ac:dyDescent="0.35">
      <c r="A2992" s="4" t="s">
        <v>3083</v>
      </c>
      <c r="B2992">
        <v>2</v>
      </c>
      <c r="C2992" t="str">
        <f t="shared" si="92"/>
        <v>EMSG:Found more than one target of the property XXXSTRACE:XXX Saint Charles St W, San Andreas, CA': ['HOConstructionDetails_Ext:pc:XXX - Dwelling Construction Details', 'HOConstructionDetails_Ext:pc:XXX - Dwelling Construction Details']. This could be due</v>
      </c>
      <c r="D2992" s="3">
        <f t="shared" si="93"/>
        <v>1</v>
      </c>
    </row>
    <row r="2993" spans="1:4" ht="43.5" x14ac:dyDescent="0.35">
      <c r="A2993" s="4" t="s">
        <v>3084</v>
      </c>
      <c r="B2993">
        <v>2</v>
      </c>
      <c r="C2993" t="str">
        <f t="shared" si="92"/>
        <v>EMSG:Found more than one target of the property XXXSTRACE:XXX Sandhill Rd, Poway, CA': ['HOConstructionDetails_Ext:pc:XXX - Dwelling Construction Details', 'HOConstructionDetails_Ext:pc:XXX - Dwelling Construction Details']. This could be due to a concurr</v>
      </c>
      <c r="D2993" s="3">
        <f t="shared" si="93"/>
        <v>1</v>
      </c>
    </row>
    <row r="2994" spans="1:4" ht="43.5" x14ac:dyDescent="0.35">
      <c r="A2994" s="4" t="s">
        <v>3085</v>
      </c>
      <c r="B2994">
        <v>2</v>
      </c>
      <c r="C2994" t="str">
        <f t="shared" si="92"/>
        <v>EMSG:Found more than one target of the property XXXSTRACE:XXX Shafter Ave, Shafter, CA': ['HOConstructionDetails_Ext:pc:XXX - Dwelling Construction Details', 'HOConstructionDetails_Ext:pc:XXX - Dwelling Construction Details']. This could be due to a concu</v>
      </c>
      <c r="D2994" s="3">
        <f t="shared" si="93"/>
        <v>1</v>
      </c>
    </row>
    <row r="2995" spans="1:4" ht="43.5" x14ac:dyDescent="0.35">
      <c r="A2995" s="4" t="s">
        <v>3086</v>
      </c>
      <c r="B2995">
        <v>2</v>
      </c>
      <c r="C2995" t="str">
        <f t="shared" si="92"/>
        <v>EMSG:Found more than one target of the property XXXSTRACE:XXX Sloop Dr, Canyon Lake, CA': ['HOConstructionDetails_Ext:pc:XXX - Dwelling Construction Details', 'HOConstructionDetails_Ext:pc:XXX - Dwelling Construction Details']. This could be due to a conc</v>
      </c>
      <c r="D2995" s="3">
        <f t="shared" si="93"/>
        <v>1</v>
      </c>
    </row>
    <row r="2996" spans="1:4" ht="43.5" x14ac:dyDescent="0.35">
      <c r="A2996" s="4" t="s">
        <v>3087</v>
      </c>
      <c r="B2996">
        <v>2</v>
      </c>
      <c r="C2996" t="str">
        <f t="shared" si="92"/>
        <v>EMSG:Found more than one target of the property XXXSTRACE:XXX Versailles Rd, Chula Vista, CA': ['HOConstructionDetails_Ext:pc:XXX - Dwelling Construction Details', 'HOConstructionDetails_Ext:pc:XXX - Dwelling Construction Details']. This could be due to a</v>
      </c>
      <c r="D2996" s="3">
        <f t="shared" si="93"/>
        <v>1</v>
      </c>
    </row>
    <row r="2997" spans="1:4" ht="43.5" x14ac:dyDescent="0.35">
      <c r="A2997" s="4" t="s">
        <v>3088</v>
      </c>
      <c r="B2997">
        <v>2</v>
      </c>
      <c r="C2997" t="str">
        <f t="shared" si="92"/>
        <v>EMSG:Found more than one target of the property XXXSTRACE:XXX Vista Conejo, Newbury Park, CA': ['HOConstructionDetails_Ext:pc:XXX - Dwelling Construction Details', 'HOConstructionDetails_Ext:pc:XXX - Dwelling Construction Details']. This could be due to a</v>
      </c>
      <c r="D2997" s="3">
        <f t="shared" si="93"/>
        <v>1</v>
      </c>
    </row>
    <row r="2998" spans="1:4" ht="43.5" x14ac:dyDescent="0.35">
      <c r="A2998" s="4" t="s">
        <v>3089</v>
      </c>
      <c r="B2998">
        <v>2</v>
      </c>
      <c r="C2998" t="str">
        <f t="shared" si="92"/>
        <v>EMSG:Found more than one target of the property XXXSTRACE:XXX W Wilson St, Banning, CA': ['HOConstructionDetails_Ext:pc:XXX - Dwelling Construction Details', 'HOConstructionDetails_Ext:pc:XXX - Dwelling Construction Details']. This could be due to a concu</v>
      </c>
      <c r="D2998" s="3">
        <f t="shared" si="93"/>
        <v>1</v>
      </c>
    </row>
    <row r="2999" spans="1:4" ht="43.5" x14ac:dyDescent="0.35">
      <c r="A2999" s="4" t="s">
        <v>3090</v>
      </c>
      <c r="B2999">
        <v>2</v>
      </c>
      <c r="C2999" t="str">
        <f t="shared" si="92"/>
        <v>EMSG:Found more than one target of the property XXXSTRACE:XXX W XXXnd St, Hawthorne, CA': ['HOConstructionDetails_Ext:pc:XXX - Dwelling Construction Details', 'HOConstructionDetails_Ext:pc:XXX - Dwelling Construction Details']. This could be due to a conc</v>
      </c>
      <c r="D2999" s="3">
        <f t="shared" si="93"/>
        <v>1</v>
      </c>
    </row>
    <row r="3000" spans="1:4" ht="43.5" x14ac:dyDescent="0.35">
      <c r="A3000" s="4" t="s">
        <v>3091</v>
      </c>
      <c r="B3000">
        <v>2</v>
      </c>
      <c r="C3000" t="str">
        <f t="shared" si="92"/>
        <v>EMSG:Found more than one target of the property XXXSTRACE:XXX Weber Ave, Moreno Valley, CA': ['HOConstructionDetails_Ext:pc:XXX - Dwelling Construction Details', 'HOConstructionDetails_Ext:pc:XXX - Dwelling Construction Details']. This could be due to a c</v>
      </c>
      <c r="D3000" s="3">
        <f t="shared" si="93"/>
        <v>1</v>
      </c>
    </row>
    <row r="3001" spans="1:4" ht="43.5" x14ac:dyDescent="0.35">
      <c r="A3001" s="4" t="s">
        <v>3092</v>
      </c>
      <c r="B3001">
        <v>2</v>
      </c>
      <c r="C3001" t="str">
        <f t="shared" si="92"/>
        <v xml:space="preserve">EMSG:Found more than one target of the property XXXSTRACE:XXX Westridge Dr, Kelseyville, CA': ['HOConstructionDetails_Ext:pc:XXX - Dwelling Construction Details', 'HOConstructionDetails_Ext:pc:XXX - Dwelling Construction Details']. This could be due to a </v>
      </c>
      <c r="D3001" s="3">
        <f t="shared" si="93"/>
        <v>1</v>
      </c>
    </row>
    <row r="3002" spans="1:4" ht="43.5" x14ac:dyDescent="0.35">
      <c r="A3002" s="4" t="s">
        <v>3093</v>
      </c>
      <c r="B3002">
        <v>2</v>
      </c>
      <c r="C3002" t="str">
        <f t="shared" si="92"/>
        <v>EMSG:Found more than one target of the property XXXSTRACE:XXX Wimbledon Dr, Corona, CA': ['HOConstructionDetails_Ext:pc:XXX - Dwelling Construction Details', 'HOConstructionDetails_Ext:pc:XXX - Dwelling Construction Details']. This could be due to a concu</v>
      </c>
      <c r="D3002" s="3">
        <f t="shared" si="93"/>
        <v>1</v>
      </c>
    </row>
    <row r="3003" spans="1:4" ht="43.5" x14ac:dyDescent="0.35">
      <c r="A3003" s="4" t="s">
        <v>3094</v>
      </c>
      <c r="B3003">
        <v>2</v>
      </c>
      <c r="C3003" t="str">
        <f t="shared" si="92"/>
        <v xml:space="preserve">EMSG:Found more than one target of the property XXXSTRACE:XXXXXX Pilcher St, Susanville, CA': ['HOConstructionDetails_Ext:pc:XXX - Dwelling Construction Details', 'HOConstructionDetails_Ext:pc:XXX - Dwelling Construction Details']. This could be due to a </v>
      </c>
      <c r="D3003" s="3">
        <f t="shared" si="93"/>
        <v>1</v>
      </c>
    </row>
    <row r="3004" spans="1:4" x14ac:dyDescent="0.35">
      <c r="A3004" t="s">
        <v>3095</v>
      </c>
      <c r="B3004">
        <v>2</v>
      </c>
      <c r="C3004" t="str">
        <f t="shared" si="92"/>
        <v>EMSG:HUGO LARASTRACE:com.farmers.config.pa.validator.BrightlineValidator.validateQuoteBrightlineRules(BrightlineValidator.gs:XXXSTRACERAW:-</v>
      </c>
      <c r="D3004" s="3">
        <f t="shared" si="93"/>
        <v>1</v>
      </c>
    </row>
    <row r="3005" spans="1:4" x14ac:dyDescent="0.35">
      <c r="A3005" t="s">
        <v>3096</v>
      </c>
      <c r="B3005">
        <v>2</v>
      </c>
      <c r="C3005" t="str">
        <f t="shared" si="92"/>
        <v>EMSG:JORDAN MCGUIRESTRACE:com.farmers.config.pa.validator.BrightlineValidator.validateQuoteBrightlineRules(BrightlineValidator.gs:XXXSTRACERAW:-</v>
      </c>
      <c r="D3005" s="3">
        <f t="shared" si="93"/>
        <v>1</v>
      </c>
    </row>
    <row r="3006" spans="1:4" x14ac:dyDescent="0.35">
      <c r="A3006" t="s">
        <v>3097</v>
      </c>
      <c r="B3006">
        <v>2</v>
      </c>
      <c r="C3006" t="str">
        <f t="shared" si="92"/>
        <v>EMSG:JORDAN MCGUIRESTRACE:gw.job.QuoteProcess.requestQuote(QuoteProcess.gs:XXXSTRACERAW:-</v>
      </c>
      <c r="D3006" s="3">
        <f t="shared" si="93"/>
        <v>1</v>
      </c>
    </row>
    <row r="3007" spans="1:4" x14ac:dyDescent="0.35">
      <c r="A3007" t="s">
        <v>3098</v>
      </c>
      <c r="B3007">
        <v>2</v>
      </c>
      <c r="C3007" t="str">
        <f t="shared" si="92"/>
        <v>EMSG:JORGE ALVARADOSTRACE:com.farmers.config.pa.validator.BrightlineValidator.validateQuoteBrightlineRules(BrightlineValidator.gs:XXXSTRACERAW:-</v>
      </c>
      <c r="D3007" s="3">
        <f t="shared" si="93"/>
        <v>1</v>
      </c>
    </row>
    <row r="3008" spans="1:4" x14ac:dyDescent="0.35">
      <c r="A3008" t="s">
        <v>3099</v>
      </c>
      <c r="B3008">
        <v>2</v>
      </c>
      <c r="C3008" t="str">
        <f t="shared" si="92"/>
        <v>EMSG:Janice AndersonSTRACE:com.farmers.config.pa.validator.BrightlineValidator.validateQuoteBrightlineRules(BrightlineValidator.gs:XXXSTRACERAW:-</v>
      </c>
      <c r="D3008" s="3">
        <f t="shared" si="93"/>
        <v>1</v>
      </c>
    </row>
    <row r="3009" spans="1:4" ht="58" x14ac:dyDescent="0.35">
      <c r="A3009" s="4" t="s">
        <v>3100</v>
      </c>
      <c r="B3009">
        <v>2</v>
      </c>
      <c r="C3009" t="str">
        <f t="shared" si="92"/>
        <v xml:space="preserve">EMSG:LUW Policy Change Job XXX: The object you are trying to update was XXXSTRACE:XXX/XXX/XXX XXX:XXX AM. Please cancel and retry your change.
The object you are trying to update was 'Policy:CN:05208359960650956593005XXX - CN:05208359960650956593005XXX', </v>
      </c>
      <c r="D3009" s="3">
        <f t="shared" si="93"/>
        <v>1</v>
      </c>
    </row>
    <row r="3010" spans="1:4" ht="58" x14ac:dyDescent="0.35">
      <c r="A3010" s="4" t="s">
        <v>3101</v>
      </c>
      <c r="B3010">
        <v>2</v>
      </c>
      <c r="C3010" t="str">
        <f t="shared" si="92"/>
        <v>EMSG:LUW Policy Change Job XXX: The object you are trying to update was XXXSTRACE:XXX/XXX/XXX XXX:XXX AM. Please cancel and retry your change.
The object you are trying to update was 'Policy:CN:099457023905397904440337XXX - CN:099457023905397904440337XXX'</v>
      </c>
      <c r="D3010" s="3">
        <f t="shared" si="93"/>
        <v>1</v>
      </c>
    </row>
    <row r="3011" spans="1:4" ht="43.5" x14ac:dyDescent="0.35">
      <c r="A3011" s="4" t="s">
        <v>3102</v>
      </c>
      <c r="B3011">
        <v>2</v>
      </c>
      <c r="C3011" t="str">
        <f t="shared" ref="C3011:C3074" si="94">LEFT(A3011,255)</f>
        <v>EMSG:LUW Policy Change Job XXX: The object you are trying to update was XXXSTRACE:XXX/XXX/XXX XXX:XXX AM. Please cancel and retry your change.
The object you are trying to update was 'Policy:pc:XXX - pc:XXX', and it was changed by Charles Yi at XXX/XXX/XX</v>
      </c>
      <c r="D3011" s="3">
        <f t="shared" ref="D3011:D3074" si="95">IF(AND((B3011/10)&lt;1,(B3011/10)&gt;0),1,(B3011/10)*130%)</f>
        <v>1</v>
      </c>
    </row>
    <row r="3012" spans="1:4" ht="43.5" x14ac:dyDescent="0.35">
      <c r="A3012" s="4" t="s">
        <v>3103</v>
      </c>
      <c r="B3012">
        <v>2</v>
      </c>
      <c r="C3012" t="str">
        <f t="shared" si="94"/>
        <v>EMSG:LUW Policy Change Job XXX: The object you are trying to update was XXXSTRACE:XXX/XXX/XXX XXX:XXX AM. Please cancel and retry your change.
The object you are trying to update was changed by another user. Please try your change again.
	at com.farmers.i</v>
      </c>
      <c r="D3012" s="3">
        <f t="shared" si="95"/>
        <v>1</v>
      </c>
    </row>
    <row r="3013" spans="1:4" ht="58" x14ac:dyDescent="0.35">
      <c r="A3013" s="4" t="s">
        <v>3104</v>
      </c>
      <c r="B3013">
        <v>2</v>
      </c>
      <c r="C3013" t="str">
        <f t="shared" si="94"/>
        <v>EMSG:LUW Policy Change Job XXX: The object you are trying to update was XXXSTRACE:XXX/XXX/XXX XXX:XXX PM. Please cancel and retry your change.
The object you are trying to update was 'Policy:CN:09236775770402951052XXX - CN:09236775770402951052XXX', and it</v>
      </c>
      <c r="D3013" s="3">
        <f t="shared" si="95"/>
        <v>1</v>
      </c>
    </row>
    <row r="3014" spans="1:4" ht="43.5" x14ac:dyDescent="0.35">
      <c r="A3014" s="4" t="s">
        <v>3105</v>
      </c>
      <c r="B3014">
        <v>2</v>
      </c>
      <c r="C3014" t="str">
        <f t="shared" si="94"/>
        <v>EMSG:LUW Policy Change Job XXX: The object you are trying to update was XXXSTRACE:XXX/XXX/XXX XXX:XXX PM. Please cancel and retry your change.
The object you are trying to update was 'Policy:pc:XXX - pc:XXX', and it was changed by Anthony Michael Rodrigue</v>
      </c>
      <c r="D3014" s="3">
        <f t="shared" si="95"/>
        <v>1</v>
      </c>
    </row>
    <row r="3015" spans="1:4" x14ac:dyDescent="0.35">
      <c r="A3015" t="s">
        <v>3106</v>
      </c>
      <c r="B3015">
        <v>2</v>
      </c>
      <c r="C3015" t="str">
        <f t="shared" si="94"/>
        <v>EMSG:Laci McreeSTRACE:com.farmers.config.pa.validator.BrightlineValidator.validateQuoteBrightlineRules(BrightlineValidator.gs:XXXSTRACERAW:-</v>
      </c>
      <c r="D3015" s="3">
        <f t="shared" si="95"/>
        <v>1</v>
      </c>
    </row>
    <row r="3016" spans="1:4" x14ac:dyDescent="0.35">
      <c r="A3016" t="s">
        <v>3107</v>
      </c>
      <c r="B3016">
        <v>2</v>
      </c>
      <c r="C3016" t="str">
        <f t="shared" si="94"/>
        <v>EMSG:Leah BernalSTRACE:com.farmers.config.pa.validator.BrightlineValidator.validateQuoteBrightlineRules(BrightlineValidator.gs:XXXSTRACERAW:-</v>
      </c>
      <c r="D3016" s="3">
        <f t="shared" si="95"/>
        <v>1</v>
      </c>
    </row>
    <row r="3017" spans="1:4" x14ac:dyDescent="0.35">
      <c r="A3017" t="s">
        <v>3108</v>
      </c>
      <c r="B3017">
        <v>2</v>
      </c>
      <c r="C3017" t="str">
        <f t="shared" si="94"/>
        <v>EMSG:Leah BernalSTRACE:gw.job.QuoteProcess.requestQuote(QuoteProcess.gs:XXXSTRACERAW:-</v>
      </c>
      <c r="D3017" s="3">
        <f t="shared" si="95"/>
        <v>1</v>
      </c>
    </row>
    <row r="3018" spans="1:4" x14ac:dyDescent="0.35">
      <c r="A3018" t="s">
        <v>769</v>
      </c>
      <c r="B3018">
        <v>2</v>
      </c>
      <c r="C3018" t="str">
        <f t="shared" si="94"/>
        <v>EMSG:One or more null constraint violations detected for SubmissionSTRACE:deployment.pc.war//com.guidewire.pl.system.database.entitywriter.DatabaseEntityWriterImpl.checkForNullConstraintViolation(DatabaseEntityWriterImpl.java:XXXSTRACERAW:-</v>
      </c>
      <c r="D3018" s="3">
        <f t="shared" si="95"/>
        <v>1</v>
      </c>
    </row>
    <row r="3019" spans="1:4" x14ac:dyDescent="0.35">
      <c r="A3019" t="s">
        <v>899</v>
      </c>
      <c r="B3019">
        <v>2</v>
      </c>
      <c r="C3019" t="str">
        <f t="shared" si="94"/>
        <v>EMSG:RateBookBeanFactory Unable to find class: nullSTRACE:com.farmers.rating.common.injection.RateBookBeanFactory.createBean(RateBookBeanFactory.gs:XXXSTRACERAW:-</v>
      </c>
      <c r="D3019" s="3">
        <f t="shared" si="95"/>
        <v>1</v>
      </c>
    </row>
    <row r="3020" spans="1:4" x14ac:dyDescent="0.35">
      <c r="A3020" t="s">
        <v>3109</v>
      </c>
      <c r="B3020">
        <v>2</v>
      </c>
      <c r="C3020" t="str">
        <f t="shared" si="94"/>
        <v>EMSG:Re-enter "License #". Duplicate License Number entered for the following Drivers Juliette WoodSTRACE:edge.capabilities.quote.submission.quoting.util.SubmissionUnderwritingIssuesUtil.checkVerifyRateExceptions(SubmissionUnderwritingIssuesUtil.gs:XXXSTR</v>
      </c>
      <c r="D3020" s="3">
        <f t="shared" si="95"/>
        <v>1</v>
      </c>
    </row>
    <row r="3021" spans="1:4" x14ac:dyDescent="0.35">
      <c r="A3021" t="s">
        <v>3110</v>
      </c>
      <c r="B3021">
        <v>2</v>
      </c>
      <c r="C3021" t="str">
        <f t="shared" si="94"/>
        <v>EMSG:Remove duplicate driver Alejandro Don Juan. Two or more non-drivers with the same information exist.STRACE:edge.capabilities.policychange.lob.personalauto.coverables.DefaultPaCoverablePlugin.updateCoverables(DefaultPaCoverablePlugin.gs:XXXSTRACERAW:-</v>
      </c>
      <c r="D3021" s="3">
        <f t="shared" si="95"/>
        <v>1</v>
      </c>
    </row>
    <row r="3022" spans="1:4" x14ac:dyDescent="0.35">
      <c r="A3022" t="s">
        <v>3111</v>
      </c>
      <c r="B3022">
        <v>2</v>
      </c>
      <c r="C3022" t="str">
        <f t="shared" si="94"/>
        <v>EMSG:Remove duplicate driver Veryll Anne Monzolin. Two or more non-drivers with the same information exist.STRACE:edge.capabilities.policychange.lob.personalauto.coverables.DefaultPaCoverablePlugin.updateCoverables(DefaultPaCoverablePlugin.gs:XXXSTRACERAW</v>
      </c>
      <c r="D3022" s="3">
        <f t="shared" si="95"/>
        <v>1</v>
      </c>
    </row>
    <row r="3023" spans="1:4" x14ac:dyDescent="0.35">
      <c r="A3023" t="s">
        <v>3112</v>
      </c>
      <c r="B3023">
        <v>2</v>
      </c>
      <c r="C3023" t="str">
        <f t="shared" si="94"/>
        <v>EMSG:STEPHANI BROWNSTRACE:com.farmers.config.pa.validator.BrightlineValidator.validateQuoteBrightlineRules(BrightlineValidator.gs:XXXSTRACERAW:-</v>
      </c>
      <c r="D3023" s="3">
        <f t="shared" si="95"/>
        <v>1</v>
      </c>
    </row>
    <row r="3024" spans="1:4" x14ac:dyDescent="0.35">
      <c r="A3024" t="s">
        <v>3113</v>
      </c>
      <c r="B3024">
        <v>2</v>
      </c>
      <c r="C3024" t="str">
        <f t="shared" si="94"/>
        <v>EMSG:Start a quote in a new account. Non-Binary gender is only available for Farmers Flex products.;STRACE:edge.capabilities.quote.submission.quoting.util.SubmissionUnderwritingIssuesUtil.checkVerifyRateExceptions(SubmissionUnderwritingIssuesUtil.gs:XXXST</v>
      </c>
      <c r="D3024" s="3">
        <f t="shared" si="95"/>
        <v>1</v>
      </c>
    </row>
    <row r="3025" spans="1:4" x14ac:dyDescent="0.35">
      <c r="A3025" t="s">
        <v>560</v>
      </c>
      <c r="B3025">
        <v>2</v>
      </c>
      <c r="C3025" t="str">
        <f t="shared" si="94"/>
        <v>EMSG:Submission not foundSTRACE:edge.capabilities.quote.submission.QuoteHandler.retrieve(QuoteHandler.gs:XXXSTRACERAW:-</v>
      </c>
      <c r="D3025" s="3">
        <f t="shared" si="95"/>
        <v>1</v>
      </c>
    </row>
    <row r="3026" spans="1:4" x14ac:dyDescent="0.35">
      <c r="A3026" t="s">
        <v>3114</v>
      </c>
      <c r="B3026">
        <v>2</v>
      </c>
      <c r="C3026" t="str">
        <f t="shared" si="94"/>
        <v>EMSG:The value "ESHWAR BELANI &amp; MADHURA BELANISTRACE:deployment.pc.war//gw.datatype.impl.StringConstraintsHandlerBase.validateStringLength(StringConstraintsHandlerBase.java:XXXSTRACERAW:-</v>
      </c>
      <c r="D3026" s="3">
        <f t="shared" si="95"/>
        <v>1</v>
      </c>
    </row>
    <row r="3027" spans="1:4" x14ac:dyDescent="0.35">
      <c r="A3027" t="s">
        <v>3115</v>
      </c>
      <c r="B3027">
        <v>2</v>
      </c>
      <c r="C3027" t="str">
        <f t="shared" si="94"/>
        <v>EMSG:The value "JAMES L. ERNST AND PATRICIA G ERNST JAMES L. ERNST AND PATRICIA G. ERNSTSTRACE:deployment.pc.war//gw.datatype.impl.StringConstraintsHandlerBase.validateStringLength(StringConstraintsHandlerBase.java:XXXSTRACERAW:-</v>
      </c>
      <c r="D3027" s="3">
        <f t="shared" si="95"/>
        <v>1</v>
      </c>
    </row>
    <row r="3028" spans="1:4" x14ac:dyDescent="0.35">
      <c r="A3028" t="s">
        <v>3116</v>
      </c>
      <c r="B3028">
        <v>2</v>
      </c>
      <c r="C3028" t="str">
        <f t="shared" si="94"/>
        <v>EMSG:The value "PAUL DUC NGUYEN AND DONNA KIM NGUYEN HUSBAND AND WIFESTRACE:deployment.pc.war//gw.datatype.impl.StringConstraintsHandlerBase.validateStringLength(StringConstraintsHandlerBase.java:XXXSTRACERAW:-</v>
      </c>
      <c r="D3028" s="3">
        <f t="shared" si="95"/>
        <v>1</v>
      </c>
    </row>
    <row r="3029" spans="1:4" x14ac:dyDescent="0.35">
      <c r="A3029" t="s">
        <v>3117</v>
      </c>
      <c r="B3029">
        <v>2</v>
      </c>
      <c r="C3029" t="str">
        <f t="shared" si="94"/>
        <v>EMSG:The value "STEPHEN E. AND THERESA L. ENSBERGSTRACE:deployment.pc.war//gw.datatype.impl.StringConstraintsHandlerBase.validateStringLength(StringConstraintsHandlerBase.java:XXXSTRACERAW:-</v>
      </c>
      <c r="D3029" s="3">
        <f t="shared" si="95"/>
        <v>1</v>
      </c>
    </row>
    <row r="3030" spans="1:4" x14ac:dyDescent="0.35">
      <c r="A3030" t="s">
        <v>3118</v>
      </c>
      <c r="B3030">
        <v>2</v>
      </c>
      <c r="C3030" t="str">
        <f t="shared" si="94"/>
        <v>EMSG:The value "THE FAMILY TRUST OF EUGENE R STEWART AND LINDA C STEWARTSTRACE:deployment.pc.war//gw.datatype.impl.StringConstraintsHandlerBase.validateStringLength(StringConstraintsHandlerBase.java:XXXSTRACERAW:-</v>
      </c>
      <c r="D3030" s="3">
        <f t="shared" si="95"/>
        <v>1</v>
      </c>
    </row>
    <row r="3031" spans="1:4" x14ac:dyDescent="0.35">
      <c r="A3031" t="s">
        <v>3119</v>
      </c>
      <c r="B3031">
        <v>2</v>
      </c>
      <c r="C3031" t="str">
        <f t="shared" si="94"/>
        <v>EMSG:The value "XXX% RUTH M MUSATSTRACE:deployment.pc.war//gw.datatype.impl.StringConstraintsHandlerBase.validateStringLength(StringConstraintsHandlerBase.java:XXXSTRACERAW:-</v>
      </c>
      <c r="D3031" s="3">
        <f t="shared" si="95"/>
        <v>1</v>
      </c>
    </row>
    <row r="3032" spans="1:4" x14ac:dyDescent="0.35">
      <c r="A3032" t="s">
        <v>3120</v>
      </c>
      <c r="B3032">
        <v>2</v>
      </c>
      <c r="C3032" t="str">
        <f t="shared" si="94"/>
        <v>EMSG:The value XXX is not formatted correctly for the field "Description": Exceeds the maximum length of XXX characters (XXX)STRACE:deployment.pc.war//gw.datatype.impl.StringConstraintsHandlerBase.validateStringLength(StringConstraintsHandlerBase.java:XXX</v>
      </c>
      <c r="D3032" s="3">
        <f t="shared" si="95"/>
        <v>1</v>
      </c>
    </row>
    <row r="3033" spans="1:4" x14ac:dyDescent="0.35">
      <c r="A3033" t="s">
        <v>3121</v>
      </c>
      <c r="B3033">
        <v>2</v>
      </c>
      <c r="C3033" t="str">
        <f t="shared" si="94"/>
        <v>EMSG:UTFXXX Codepoint XXXxXXX is not valid for XML contentSTRACE:deployment.pc.war//gw.internal.xml.XmlWriter.xmlEncode(XmlWriter.java:XXXSTRACERAW:-</v>
      </c>
      <c r="D3033" s="3">
        <f t="shared" si="95"/>
        <v>1</v>
      </c>
    </row>
    <row r="3034" spans="1:4" x14ac:dyDescent="0.35">
      <c r="A3034" t="s">
        <v>1119</v>
      </c>
      <c r="B3034">
        <v>2</v>
      </c>
      <c r="C3034" t="str">
        <f t="shared" si="94"/>
        <v>EMSG:Unsupported policy line for ratingSTRACE:com.farmers.rating.common.util.PeriodRatingEnhancement.getCurrentPolicyLineForRating_Ext(PeriodRatingEnhancement.gsx:XXXSTRACERAW:-</v>
      </c>
      <c r="D3034" s="3">
        <f t="shared" si="95"/>
        <v>1</v>
      </c>
    </row>
    <row r="3035" spans="1:4" ht="43.5" x14ac:dyDescent="0.35">
      <c r="A3035" s="4" t="s">
        <v>3122</v>
      </c>
      <c r="B3035">
        <v>2</v>
      </c>
      <c r="C3035" t="str">
        <f t="shared" si="94"/>
        <v>EMSG:Update 'What vehicle do you customarily drive?' for Jalisa Drew-copeland. This is required for active drivers.STRACE:vehicle do you customarily drive?' for Jalisa Drew-copeland. This is required for active drivers.
	at edge.capabilities.quote.submiss</v>
      </c>
      <c r="D3035" s="3">
        <f t="shared" si="95"/>
        <v>1</v>
      </c>
    </row>
    <row r="3036" spans="1:4" ht="29" x14ac:dyDescent="0.35">
      <c r="A3036" s="4" t="s">
        <v>3123</v>
      </c>
      <c r="B3036">
        <v>2</v>
      </c>
      <c r="C3036" t="str">
        <f t="shared" si="94"/>
        <v>EMSG:Update Age Lic In US/CAN for Rachelle Wilson. Field must be numeric and should be at least XXX years.STRACE:least XXX years.
	at edge.capabilities.quote.submission.quoting.util.SubmissionUnderwritingIssuesUtil.checkSideBySideProcessExceptions(Submiss</v>
      </c>
      <c r="D3036" s="3">
        <f t="shared" si="95"/>
        <v>1</v>
      </c>
    </row>
    <row r="3037" spans="1:4" x14ac:dyDescent="0.35">
      <c r="A3037" t="s">
        <v>3124</v>
      </c>
      <c r="B3037">
        <v>2</v>
      </c>
      <c r="C3037" t="str">
        <f t="shared" si="94"/>
        <v>EMSG:Update Age Lic in US/CAN for HASINA SHINWARY. Age cannot be greater than current year minus Date of birth.STRACE:edge.capabilities.quote.submission.quoting.util.SubmissionUnderwritingIssuesUtil.checkSideBySideProcessExceptions(SubmissionUnderwritingI</v>
      </c>
      <c r="D3037" s="3">
        <f t="shared" si="95"/>
        <v>1</v>
      </c>
    </row>
    <row r="3038" spans="1:4" x14ac:dyDescent="0.35">
      <c r="A3038" t="s">
        <v>3125</v>
      </c>
      <c r="B3038">
        <v>2</v>
      </c>
      <c r="C3038" t="str">
        <f t="shared" si="94"/>
        <v>EMSG:Update Relationship to PNI. The Primary Named Insured cannot be a Non-Driver.STRACE:edge.capabilities.quote.submission.quoting.util.SubmissionUnderwritingIssuesUtil.checkSideBySideProcessExceptions(SubmissionUnderwritingIssuesUtil.gs:XXXSTRACERAW:-</v>
      </c>
      <c r="D3038" s="3">
        <f t="shared" si="95"/>
        <v>1</v>
      </c>
    </row>
    <row r="3039" spans="1:4" x14ac:dyDescent="0.35">
      <c r="A3039" t="s">
        <v>3126</v>
      </c>
      <c r="B3039">
        <v>2</v>
      </c>
      <c r="C3039" t="str">
        <f t="shared" si="94"/>
        <v>EMSG:Update the garaging address for XXXSTRACE:edge.capabilities.quote.submission.quoting.util.SubmissionUnderwritingIssuesUtil.checkSideBySideProcessExceptions(SubmissionUnderwritingIssuesUtil.gs:XXXSTRACERAW:-</v>
      </c>
      <c r="D3039" s="3">
        <f t="shared" si="95"/>
        <v>1</v>
      </c>
    </row>
    <row r="3040" spans="1:4" x14ac:dyDescent="0.35">
      <c r="A3040" t="s">
        <v>3127</v>
      </c>
      <c r="B3040">
        <v>2</v>
      </c>
      <c r="C3040" t="str">
        <f t="shared" si="94"/>
        <v>EMSG:Update the missing required field. Garaged ZIP Town for vehicle XXX TOYOTA VENZA XXXD XXXWD LE/XLE needs to be selected when Garaging location ZIP code is associated with multiple town names.;STRACE:edge.capabilities.quote.submission.quoting.util.Sub</v>
      </c>
      <c r="D3040" s="3">
        <f t="shared" si="95"/>
        <v>1</v>
      </c>
    </row>
    <row r="3041" spans="1:4" x14ac:dyDescent="0.35">
      <c r="A3041" t="s">
        <v>3128</v>
      </c>
      <c r="B3041">
        <v>2</v>
      </c>
      <c r="C3041" t="str">
        <f t="shared" si="94"/>
        <v>EMSG:XXX JEEP CHEROKEE XXXD XXXXXXX LATITUDE in Colorado: Coverage is on Comprehensive is now available and its value must be verified by the user.; XXX JEEP CHEROKEE XXXD XXXXXXX LATITUDE in Colorado: Coverage is on Collision is now available and its val</v>
      </c>
      <c r="D3041" s="3">
        <f t="shared" si="95"/>
        <v>1</v>
      </c>
    </row>
    <row r="3042" spans="1:4" x14ac:dyDescent="0.35">
      <c r="A3042" t="s">
        <v>3129</v>
      </c>
      <c r="B3042">
        <v>2</v>
      </c>
      <c r="C3042" t="str">
        <f t="shared" si="94"/>
        <v>EMSG:XXX already belongs to added set?STRACE:deployment.pc.war//com.guidewire.pl.system.bundle.ArrayDelta.add(ArrayDelta.java:XXXSTRACERAW:-</v>
      </c>
      <c r="D3042" s="3">
        <f t="shared" si="95"/>
        <v>1</v>
      </c>
    </row>
    <row r="3043" spans="1:4" ht="29" x14ac:dyDescent="0.35">
      <c r="A3043" s="4" t="s">
        <v>3130</v>
      </c>
      <c r="B3043">
        <v>2</v>
      </c>
      <c r="C3043" t="str">
        <f t="shared" si="94"/>
        <v>EMSG:XXX has exceeded the accident and/or violation threshold for eligibility in this program.STRACE:Siller has exceeded the accident and/or violation threshold for eligibility in this program.
	at com.farmers.config.pa.validator.BrightlineValidator.valid</v>
      </c>
      <c r="D3043" s="3">
        <f t="shared" si="95"/>
        <v>1</v>
      </c>
    </row>
    <row r="3044" spans="1:4" ht="29" x14ac:dyDescent="0.35">
      <c r="A3044" s="4" t="s">
        <v>3131</v>
      </c>
      <c r="B3044">
        <v>2</v>
      </c>
      <c r="C3044" t="str">
        <f t="shared" si="94"/>
        <v>EMSG:XXX has exceeded the accident and/or violation threshold for eligibility in this program.STRACE:Siller has exceeded the accident and/or violation threshold for eligibility in this program.
	at gw.job.QuoteProcess.requestQuote(QuoteProcess.gs:XXXSTRAC</v>
      </c>
      <c r="D3044" s="3">
        <f t="shared" si="95"/>
        <v>1</v>
      </c>
    </row>
    <row r="3045" spans="1:4" x14ac:dyDescent="0.35">
      <c r="A3045" t="s">
        <v>1121</v>
      </c>
      <c r="B3045">
        <v>2</v>
      </c>
      <c r="C3045" t="str">
        <f t="shared" si="94"/>
        <v>EMSG:com.guidewire.pl.metadata.datatypeXXX.PLDataTypeException: The value XXX is not formatted correctly for the field "StName_ExtInternal": Exceeds the maximum length of XXX characters (XXX)STRACE:com.farmers.edge.capabilities.quote.submission.lob.homeow</v>
      </c>
      <c r="D3045" s="3">
        <f t="shared" si="95"/>
        <v>1</v>
      </c>
    </row>
    <row r="3046" spans="1:4" x14ac:dyDescent="0.35">
      <c r="A3046" t="s">
        <v>3132</v>
      </c>
      <c r="B3046">
        <v>2</v>
      </c>
      <c r="C3046" t="str">
        <f t="shared" si="94"/>
        <v>EMSG:com.guidewire.pl.system.entity.proxy.EffDatedVersionListOverlapException: PersonalAutoLine with FixedID:XXX and window XXXSTRACE:com.farmers.integ.documentmgmt.ondemand.api.transformer.GetPolicyDetailsRestRequestTransformer.transform(GetPolicyDetails</v>
      </c>
      <c r="D3046" s="3">
        <f t="shared" si="95"/>
        <v>1</v>
      </c>
    </row>
    <row r="3047" spans="1:4" ht="43.5" x14ac:dyDescent="0.35">
      <c r="A3047" s="4" t="s">
        <v>3133</v>
      </c>
      <c r="B3047">
        <v>2</v>
      </c>
      <c r="C3047" t="str">
        <f t="shared" si="94"/>
        <v>EMSG:gw.xml.ws.WebServiceException: The server at https://services-mgeisg.farmersinsurance.com/policybillingms/vXXX/billpresentmentservice returned HTTP Response Code XXXSTRACE:https://services-mgeisg.farmersinsurance.com/policybillingms/vXXX/billpresentm</v>
      </c>
      <c r="D3047" s="3">
        <f t="shared" si="95"/>
        <v>1</v>
      </c>
    </row>
    <row r="3048" spans="1:4" ht="43.5" x14ac:dyDescent="0.35">
      <c r="A3048" s="4" t="s">
        <v>3134</v>
      </c>
      <c r="B3048">
        <v>2</v>
      </c>
      <c r="C3048" t="str">
        <f t="shared" si="94"/>
        <v>EMSG:gw.xml.ws.WebServiceException: The server at https://services-mgeisg.farmersinsurance.com/policybillingms/vXXX/collectionmanagementservice returned HTTP Response Code XXXSTRACE:https://services-mgeisg.farmersinsurance.com/policybillingms/vXXX/collect</v>
      </c>
      <c r="D3048" s="3">
        <f t="shared" si="95"/>
        <v>1</v>
      </c>
    </row>
    <row r="3049" spans="1:4" x14ac:dyDescent="0.35">
      <c r="A3049" t="s">
        <v>3135</v>
      </c>
      <c r="B3049">
        <v>2</v>
      </c>
      <c r="C3049" t="str">
        <f t="shared" si="94"/>
        <v>EMSG:java.lang.IllegalArgumentException: UTFXXX Codepoint XXXxb is not valid for XML contentSTRACE:deployment.pc.war//gw.internal.xml.ws.WsdlPortImpl.invoke(WsdlPortImpl.java:XXXSTRACERAW:-</v>
      </c>
      <c r="D3049" s="3">
        <f t="shared" si="95"/>
        <v>1</v>
      </c>
    </row>
    <row r="3050" spans="1:4" x14ac:dyDescent="0.35">
      <c r="A3050" t="s">
        <v>3136</v>
      </c>
      <c r="B3050">
        <v>2</v>
      </c>
      <c r="C3050" t="str">
        <f t="shared" si="94"/>
        <v>EMSG:java.lang.IllegalStateException: Attempt to access bean of type "HomeownersLine_HOE" id=XXX with a null bundleSTRACE:com.farmers.integ.framework.service.rest.RestServiceAdapter.invokeService(RestServiceAdapter.gs:XXXSTRACERAW:-</v>
      </c>
      <c r="D3050" s="3">
        <f t="shared" si="95"/>
        <v>1</v>
      </c>
    </row>
    <row r="3051" spans="1:4" x14ac:dyDescent="0.35">
      <c r="A3051" t="s">
        <v>3137</v>
      </c>
      <c r="B3051">
        <v>2</v>
      </c>
      <c r="C3051" t="str">
        <f t="shared" si="94"/>
        <v>EMSG:java.sql.SQLRecoverableException: Closed ConnectionSTRACE:com.farmers.integ.framework.job.automatejob.AutomatedJob.executeJob(AutomatedJob.gs:XXXSTRACERAW:-</v>
      </c>
      <c r="D3051" s="3">
        <f t="shared" si="95"/>
        <v>1</v>
      </c>
    </row>
    <row r="3052" spans="1:4" x14ac:dyDescent="0.35">
      <c r="A3052" t="s">
        <v>539</v>
      </c>
      <c r="B3052">
        <v>1</v>
      </c>
      <c r="C3052" t="str">
        <f t="shared" si="94"/>
        <v>EMSG:, AOR=XXXSTRACE:com.farmers.config.common.mvr.MVRProcess$block_XXX_$block_XXX_.invoke(MVRProcess.gs:XXXSTRACERAW:-</v>
      </c>
      <c r="D3052" s="3">
        <f t="shared" si="95"/>
        <v>1</v>
      </c>
    </row>
    <row r="3053" spans="1:4" x14ac:dyDescent="0.35">
      <c r="A3053" t="s">
        <v>3138</v>
      </c>
      <c r="B3053">
        <v>1</v>
      </c>
      <c r="C3053" t="str">
        <f t="shared" si="94"/>
        <v>EMSG:, AOR=XXXSTRACE:com.farmers.integ.fwsConversion.prefill.FWSConversionHomePoliciesProcessor.updateContactData(FWSConversionHomePoliciesProcessor.gs:XXXSTRACERAW:-</v>
      </c>
      <c r="D3053" s="3">
        <f t="shared" si="95"/>
        <v>1</v>
      </c>
    </row>
    <row r="3054" spans="1:4" x14ac:dyDescent="0.35">
      <c r="A3054" t="s">
        <v>3139</v>
      </c>
      <c r="B3054">
        <v>1</v>
      </c>
      <c r="C3054" t="str">
        <f t="shared" si="94"/>
        <v>EMSG:, AOR=XXXSTRACE:com.farmers.rating.pup.prerating.underlyingfactor.impl.UnderlyingFactorCalculatorImpl$block_XXX_.invoke(UnderlyingFactorCalculatorImpl.gs:XXXSTRACERAW:-</v>
      </c>
      <c r="D3054" s="3">
        <f t="shared" si="95"/>
        <v>1</v>
      </c>
    </row>
    <row r="3055" spans="1:4" x14ac:dyDescent="0.35">
      <c r="A3055" t="s">
        <v>3140</v>
      </c>
      <c r="B3055">
        <v>1</v>
      </c>
      <c r="C3055" t="str">
        <f t="shared" si="94"/>
        <v>EMSG:, AOR=XXXSTRACE:deployment.pc.war//com.google.common.base.Preconditions.checkNotNull(Preconditions.java:XXXSTRACERAW:-</v>
      </c>
      <c r="D3055" s="3">
        <f t="shared" si="95"/>
        <v>1</v>
      </c>
    </row>
    <row r="3056" spans="1:4" x14ac:dyDescent="0.35">
      <c r="A3056" t="s">
        <v>3141</v>
      </c>
      <c r="B3056">
        <v>1</v>
      </c>
      <c r="C3056" t="str">
        <f t="shared" si="94"/>
        <v>EMSG:, AOR=XXXSTRACE:deployment.pc.war//gw.api.domain.account.AbstractAccountSyncedFieldImpl.getAccountEntityFieldValue(AbstractAccountSyncedFieldImpl.java:XXXSTRACERAW:-</v>
      </c>
      <c r="D3056" s="3">
        <f t="shared" si="95"/>
        <v>1</v>
      </c>
    </row>
    <row r="3057" spans="1:4" x14ac:dyDescent="0.35">
      <c r="A3057" t="s">
        <v>3142</v>
      </c>
      <c r="B3057">
        <v>1</v>
      </c>
      <c r="C3057" t="str">
        <f t="shared" si="94"/>
        <v>EMSG:-STRACE:-STRACERAW:Feb XXX XXX:XXX:XXX PST XXX, MSG=HTTP POST on resource 'https://decisioning.lexisnexisrisk.com:XXX/farmers/risk' failed: bad gateway (XXX</v>
      </c>
      <c r="D3057" s="3">
        <f t="shared" si="95"/>
        <v>1</v>
      </c>
    </row>
    <row r="3058" spans="1:4" x14ac:dyDescent="0.35">
      <c r="A3058" t="s">
        <v>3143</v>
      </c>
      <c r="B3058">
        <v>1</v>
      </c>
      <c r="C3058" t="str">
        <f t="shared" si="94"/>
        <v>EMSG:-STRACE:-STRACERAW:Feb XXX XXX:XXX:XXX PST XXX, MSG=Transaction Failed. Failed to parse response : Cannot deserialize value of type `java.lang.String` from Array value (token `JsonToken.START_ARRAY`</v>
      </c>
      <c r="D3058" s="3">
        <f t="shared" si="95"/>
        <v>1</v>
      </c>
    </row>
    <row r="3059" spans="1:4" x14ac:dyDescent="0.35">
      <c r="A3059" t="s">
        <v>3144</v>
      </c>
      <c r="B3059">
        <v>1</v>
      </c>
      <c r="C3059" t="str">
        <f t="shared" si="94"/>
        <v>EMSG:-STRACE:-STRACERAW:com.farmers.integ.batch.massmortgagee.plugin.MassMortgageeUpdateDailyBatchImpl.processWorkItem(MassMortgageeUpdateDailyBatchImpl.gs:XXX</v>
      </c>
      <c r="D3059" s="3">
        <f t="shared" si="95"/>
        <v>1</v>
      </c>
    </row>
    <row r="3060" spans="1:4" x14ac:dyDescent="0.35">
      <c r="A3060" t="s">
        <v>3145</v>
      </c>
      <c r="B3060">
        <v>1</v>
      </c>
      <c r="C3060" t="str">
        <f t="shared" si="94"/>
        <v>EMSG:-STRACE:-STRACERAW:com.farmers.rating.pup.prerating.underlyingfactor.impl.UnderlyingFactorCalculatorImpl$block_XXX_.invoke(UnderlyingFactorCalculatorImpl.gs:XXX</v>
      </c>
      <c r="D3060" s="3">
        <f t="shared" si="95"/>
        <v>1</v>
      </c>
    </row>
    <row r="3061" spans="1:4" x14ac:dyDescent="0.35">
      <c r="A3061" t="s">
        <v>3146</v>
      </c>
      <c r="B3061">
        <v>1</v>
      </c>
      <c r="C3061" t="str">
        <f t="shared" si="94"/>
        <v>EMSG:-STRACE:-STRACERAW:com.google.common.base.Preconditions.checkNotNull(Preconditions.java:XXX</v>
      </c>
      <c r="D3061" s="3">
        <f t="shared" si="95"/>
        <v>1</v>
      </c>
    </row>
    <row r="3062" spans="1:4" x14ac:dyDescent="0.35">
      <c r="A3062" t="s">
        <v>3147</v>
      </c>
      <c r="B3062">
        <v>1</v>
      </c>
      <c r="C3062" t="str">
        <f t="shared" si="94"/>
        <v>EMSG:-STRACE:-STRACERAW:com.guidewire.pc.domain.policy.period.impl.PolicyPeriodImpl.checkOfferingAgainstProductModel(PolicyPeriodImpl.java:XXX</v>
      </c>
      <c r="D3062" s="3">
        <f t="shared" si="95"/>
        <v>1</v>
      </c>
    </row>
    <row r="3063" spans="1:4" x14ac:dyDescent="0.35">
      <c r="A3063" t="s">
        <v>1238</v>
      </c>
      <c r="B3063">
        <v>1</v>
      </c>
      <c r="C3063" t="str">
        <f t="shared" si="94"/>
        <v>EMSG:-STRACE:-STRACERAW:com.guidewire.pc.domain.policy.period.impl.PolicyPeriodImpl.getPrimaryLocation(PolicyPeriodImpl.java:XXX</v>
      </c>
      <c r="D3063" s="3">
        <f t="shared" si="95"/>
        <v>1</v>
      </c>
    </row>
    <row r="3064" spans="1:4" x14ac:dyDescent="0.35">
      <c r="A3064" t="s">
        <v>3148</v>
      </c>
      <c r="B3064">
        <v>1</v>
      </c>
      <c r="C3064" t="str">
        <f t="shared" si="94"/>
        <v>EMSG:-STRACE:-STRACERAW:com.guidewire.pl.persistence.code.DelegateImplType.equals(DelegateImplType.java:XXX</v>
      </c>
      <c r="D3064" s="3">
        <f t="shared" si="95"/>
        <v>1</v>
      </c>
    </row>
    <row r="3065" spans="1:4" x14ac:dyDescent="0.35">
      <c r="A3065" t="s">
        <v>3149</v>
      </c>
      <c r="B3065">
        <v>1</v>
      </c>
      <c r="C3065" t="str">
        <f t="shared" si="94"/>
        <v>EMSG:-STRACE:-STRACERAW:com.guidewire.pl.system.batchprocessing.BatchProcessStartupHelper.canRunOnThisServer(BatchProcessStartupHelper.java:XXX</v>
      </c>
      <c r="D3065" s="3">
        <f t="shared" si="95"/>
        <v>1</v>
      </c>
    </row>
    <row r="3066" spans="1:4" x14ac:dyDescent="0.35">
      <c r="A3066" t="s">
        <v>3150</v>
      </c>
      <c r="B3066">
        <v>1</v>
      </c>
      <c r="C3066" t="str">
        <f t="shared" si="94"/>
        <v>EMSG:-STRACE:-STRACERAW:com.guidewire.pl.system.bundle.ArrayDelta.rekey(ArrayDelta.java:XXX</v>
      </c>
      <c r="D3066" s="3">
        <f t="shared" si="95"/>
        <v>1</v>
      </c>
    </row>
    <row r="3067" spans="1:4" x14ac:dyDescent="0.35">
      <c r="A3067" t="s">
        <v>1084</v>
      </c>
      <c r="B3067">
        <v>1</v>
      </c>
      <c r="C3067" t="str">
        <f t="shared" si="94"/>
        <v>EMSG:-STRACE:-STRACERAW:com.guidewire.pl.web.value.TextValueWidget.throwUserDisplayableException(TextValueWidget.java:XXX</v>
      </c>
      <c r="D3067" s="3">
        <f t="shared" si="95"/>
        <v>1</v>
      </c>
    </row>
    <row r="3068" spans="1:4" x14ac:dyDescent="0.35">
      <c r="A3068" t="s">
        <v>3151</v>
      </c>
      <c r="B3068">
        <v>1</v>
      </c>
      <c r="C3068" t="str">
        <f t="shared" si="94"/>
        <v>EMSG:-STRACE:-STRACERAW:deployment.pc.war//com.guidewire.pl.system.entity.proxy.EffDatedBranchProxy.isChanged(EffDatedBranchProxy.java:XXX</v>
      </c>
      <c r="D3068" s="3">
        <f t="shared" si="95"/>
        <v>1</v>
      </c>
    </row>
    <row r="3069" spans="1:4" x14ac:dyDescent="0.35">
      <c r="A3069" t="s">
        <v>937</v>
      </c>
      <c r="B3069">
        <v>1</v>
      </c>
      <c r="C3069" t="str">
        <f t="shared" si="94"/>
        <v>EMSG:-STRACE:-STRACERAW:gw.job.ReinstatementEnhancement.checkNOCAndMisMatch(ReinstatementEnhancement.gsx:XXX</v>
      </c>
      <c r="D3069" s="3">
        <f t="shared" si="95"/>
        <v>1</v>
      </c>
    </row>
    <row r="3070" spans="1:4" x14ac:dyDescent="0.35">
      <c r="A3070" t="s">
        <v>3152</v>
      </c>
      <c r="B3070">
        <v>1</v>
      </c>
      <c r="C3070" t="str">
        <f t="shared" si="94"/>
        <v>EMSG:-STRACE:-STRACERAW:gw.lang.reflect.module.TypeSystemLockHelper.dumpAllStackTraces(TypeSystemLockHelper.java:XXX</v>
      </c>
      <c r="D3070" s="3">
        <f t="shared" si="95"/>
        <v>1</v>
      </c>
    </row>
    <row r="3071" spans="1:4" x14ac:dyDescent="0.35">
      <c r="A3071" t="s">
        <v>3153</v>
      </c>
      <c r="B3071">
        <v>1</v>
      </c>
      <c r="C3071" t="str">
        <f t="shared" si="94"/>
        <v>EMSG:-STRACE:-STRACERAW:gw.lob.pup.PUPLineMethods_PUE.getTransactions(PUPLineMethods_PUE.gs:XXX</v>
      </c>
      <c r="D3071" s="3">
        <f t="shared" si="95"/>
        <v>1</v>
      </c>
    </row>
    <row r="3072" spans="1:4" x14ac:dyDescent="0.35">
      <c r="A3072" t="s">
        <v>3154</v>
      </c>
      <c r="B3072">
        <v>1</v>
      </c>
      <c r="C3072" t="str">
        <f t="shared" si="94"/>
        <v>EMSG:-STRACE:-STRACERAW:gw.plugin.productmodel.impl.ReferenceDatePlugin.getCoverageReferenceDate(ReferenceDatePlugin.gs:XXX</v>
      </c>
      <c r="D3072" s="3">
        <f t="shared" si="95"/>
        <v>1</v>
      </c>
    </row>
    <row r="3073" spans="1:4" x14ac:dyDescent="0.35">
      <c r="A3073" t="s">
        <v>3155</v>
      </c>
      <c r="B3073">
        <v>1</v>
      </c>
      <c r="C3073" t="str">
        <f t="shared" si="94"/>
        <v>EMSG:-STRACE:-STRACERAW:gw.util.EffDatedEnhancement.getFixedID(EffDatedEnhancement.gsx:XXX</v>
      </c>
      <c r="D3073" s="3">
        <f t="shared" si="95"/>
        <v>1</v>
      </c>
    </row>
    <row r="3074" spans="1:4" x14ac:dyDescent="0.35">
      <c r="A3074" t="s">
        <v>1160</v>
      </c>
      <c r="B3074">
        <v>1</v>
      </c>
      <c r="C3074" t="str">
        <f t="shared" si="94"/>
        <v>EMSG:-STRACE:-STRACERAW:java.io.FileInputStream.openXXX(Native Method</v>
      </c>
      <c r="D3074" s="3">
        <f t="shared" si="95"/>
        <v>1</v>
      </c>
    </row>
    <row r="3075" spans="1:4" x14ac:dyDescent="0.35">
      <c r="A3075" t="s">
        <v>1187</v>
      </c>
      <c r="B3075">
        <v>1</v>
      </c>
      <c r="C3075" t="str">
        <f t="shared" ref="C3075:C3138" si="96">LEFT(A3075,255)</f>
        <v>EMSG:-STRACE:-STRACERAW:java.util.stream.ReferencePipeline$XXX$XXX.accept(ReferencePipeline.java:XXX</v>
      </c>
      <c r="D3075" s="3">
        <f t="shared" ref="D3075:D3138" si="97">IF(AND((B3075/10)&lt;1,(B3075/10)&gt;0),1,(B3075/10)*130%)</f>
        <v>1</v>
      </c>
    </row>
    <row r="3076" spans="1:4" x14ac:dyDescent="0.35">
      <c r="A3076" t="s">
        <v>1051</v>
      </c>
      <c r="B3076">
        <v>1</v>
      </c>
      <c r="C3076" t="str">
        <f t="shared" si="96"/>
        <v>EMSG:-STRACE:-STRACERAW:pcfc.expressions.HODwellingLocationHOEInputSetExpressions$HODwellingLocationHOEInputSetExpressionsImpl.editable_XXX(HODwellingLocationHOEInputSetExpressions.gs:XXX</v>
      </c>
      <c r="D3076" s="3">
        <f t="shared" si="97"/>
        <v>1</v>
      </c>
    </row>
    <row r="3077" spans="1:4" x14ac:dyDescent="0.35">
      <c r="A3077" t="s">
        <v>548</v>
      </c>
      <c r="B3077">
        <v>1</v>
      </c>
      <c r="C3077" t="str">
        <f t="shared" si="96"/>
        <v>EMSG:-STRACE:-STRACERAW:pcfc.expressions.HOMainCoveragesHOEPanelSetExpressions$DetailViewPanelExpressionsImpl.initialValue_XXX(HOMainCoveragesHOEPanelSetExpressions.gs:XXX</v>
      </c>
      <c r="D3077" s="3">
        <f t="shared" si="97"/>
        <v>1</v>
      </c>
    </row>
    <row r="3078" spans="1:4" x14ac:dyDescent="0.35">
      <c r="A3078" t="s">
        <v>3156</v>
      </c>
      <c r="B3078">
        <v>1</v>
      </c>
      <c r="C3078" t="str">
        <f t="shared" si="96"/>
        <v>EMSG:-STRACE:-STRACERAW:pcfc.expressions.HOMainCoveragesHOEPanelSetExpressions$DetailViewPanelXXXExpressionsImpl.initialValue_XXX(HOMainCoveragesHOEPanelSetExpressions.gs:XXX</v>
      </c>
      <c r="D3078" s="3">
        <f t="shared" si="97"/>
        <v>1</v>
      </c>
    </row>
    <row r="3079" spans="1:4" x14ac:dyDescent="0.35">
      <c r="A3079" t="s">
        <v>1242</v>
      </c>
      <c r="B3079">
        <v>1</v>
      </c>
      <c r="C3079" t="str">
        <f t="shared" si="96"/>
        <v>EMSG:-STRACE:-STRACERAW:pcfc.expressions.PolicyLineSummaryPanelSet_PersonalUmbrellaLine_PUEExpressions$ListViewPanelExpressionsImpl.sortBy_XXX(PolicyLineSummaryPanelSet_PersonalUmbrellaLine_PUEExpressions.gs:XXX</v>
      </c>
      <c r="D3079" s="3">
        <f t="shared" si="97"/>
        <v>1</v>
      </c>
    </row>
    <row r="3080" spans="1:4" x14ac:dyDescent="0.35">
      <c r="A3080" t="s">
        <v>3157</v>
      </c>
      <c r="B3080">
        <v>1</v>
      </c>
      <c r="C3080" t="str">
        <f t="shared" si="96"/>
        <v>EMSG:-STRACE:com.farmers.integ.possiblenow.reconplugin.PossibleNowReconStartablePlugin.onMessage(PossibleNowReconStartablePlugin.gs:XXXSTRACERAW:-</v>
      </c>
      <c r="D3080" s="3">
        <f t="shared" si="97"/>
        <v>1</v>
      </c>
    </row>
    <row r="3081" spans="1:4" x14ac:dyDescent="0.35">
      <c r="A3081" t="s">
        <v>3158</v>
      </c>
      <c r="B3081">
        <v>1</v>
      </c>
      <c r="C3081" t="str">
        <f t="shared" si="96"/>
        <v>EMSG:-STRACE:deployment.pc.war//com.guidewire.pl.system.database.DatabaseChangedBeanWriter.getExpectedBeanVersions(DatabaseChangedBeanWriter.java:XXXSTRACERAW:-</v>
      </c>
      <c r="D3081" s="3">
        <f t="shared" si="97"/>
        <v>1</v>
      </c>
    </row>
    <row r="3082" spans="1:4" x14ac:dyDescent="0.35">
      <c r="A3082" t="s">
        <v>1246</v>
      </c>
      <c r="B3082">
        <v>1</v>
      </c>
      <c r="C3082" t="str">
        <f t="shared" si="96"/>
        <v>EMSG:-STRACE:gw.acc.batch.inbound.InboundBatchUtils.getPayloadValueMapDelimiter(InboundBatchUtils.gs:XXXSTRACERAW:-</v>
      </c>
      <c r="D3082" s="3">
        <f t="shared" si="97"/>
        <v>1</v>
      </c>
    </row>
    <row r="3083" spans="1:4" x14ac:dyDescent="0.35">
      <c r="A3083" t="s">
        <v>3159</v>
      </c>
      <c r="B3083">
        <v>1</v>
      </c>
      <c r="C3083" t="str">
        <f t="shared" si="96"/>
        <v>EMSG:AARON AlmeidaSTRACE:com.farmers.config.pa.validator.BrightlineValidator.validateQuoteBrightlineRules(BrightlineValidator.gs:XXXSTRACERAW:-</v>
      </c>
      <c r="D3083" s="3">
        <f t="shared" si="97"/>
        <v>1</v>
      </c>
    </row>
    <row r="3084" spans="1:4" x14ac:dyDescent="0.35">
      <c r="A3084" t="s">
        <v>3160</v>
      </c>
      <c r="B3084">
        <v>1</v>
      </c>
      <c r="C3084" t="str">
        <f t="shared" si="96"/>
        <v>EMSG:AARON AlmeidaSTRACE:gw.job.QuoteProcess.requestQuote(QuoteProcess.gs:XXXSTRACERAW:-</v>
      </c>
      <c r="D3084" s="3">
        <f t="shared" si="97"/>
        <v>1</v>
      </c>
    </row>
    <row r="3085" spans="1:4" x14ac:dyDescent="0.35">
      <c r="A3085" t="s">
        <v>3161</v>
      </c>
      <c r="B3085">
        <v>1</v>
      </c>
      <c r="C3085" t="str">
        <f t="shared" si="96"/>
        <v>EMSG:ADAM JOHNSONSTRACE:com.farmers.config.pa.validator.BrightlineValidator.validateQuoteBrightlineRules(BrightlineValidator.gs:XXXSTRACERAW:-</v>
      </c>
      <c r="D3085" s="3">
        <f t="shared" si="97"/>
        <v>1</v>
      </c>
    </row>
    <row r="3086" spans="1:4" x14ac:dyDescent="0.35">
      <c r="A3086" t="s">
        <v>3162</v>
      </c>
      <c r="B3086">
        <v>1</v>
      </c>
      <c r="C3086" t="str">
        <f t="shared" si="96"/>
        <v>EMSG:ADAM JOHNSONSTRACE:gw.job.QuoteProcess.requestQuote(QuoteProcess.gs:XXXSTRACERAW:-</v>
      </c>
      <c r="D3086" s="3">
        <f t="shared" si="97"/>
        <v>1</v>
      </c>
    </row>
    <row r="3087" spans="1:4" x14ac:dyDescent="0.35">
      <c r="A3087" t="s">
        <v>3163</v>
      </c>
      <c r="B3087">
        <v>1</v>
      </c>
      <c r="C3087" t="str">
        <f t="shared" si="96"/>
        <v>EMSG:ADRIAN LOPEZ SERRANOSTRACE:com.farmers.config.pa.validator.BrightlineValidator.validateQuoteBrightlineRules(BrightlineValidator.gs:XXXSTRACERAW:-</v>
      </c>
      <c r="D3087" s="3">
        <f t="shared" si="97"/>
        <v>1</v>
      </c>
    </row>
    <row r="3088" spans="1:4" x14ac:dyDescent="0.35">
      <c r="A3088" t="s">
        <v>3164</v>
      </c>
      <c r="B3088">
        <v>1</v>
      </c>
      <c r="C3088" t="str">
        <f t="shared" si="96"/>
        <v>EMSG:ADRIAN LOPEZ SERRANOSTRACE:gw.job.QuoteProcess.requestQuote(QuoteProcess.gs:XXXSTRACERAW:-</v>
      </c>
      <c r="D3088" s="3">
        <f t="shared" si="97"/>
        <v>1</v>
      </c>
    </row>
    <row r="3089" spans="1:4" x14ac:dyDescent="0.35">
      <c r="A3089" t="s">
        <v>3165</v>
      </c>
      <c r="B3089">
        <v>1</v>
      </c>
      <c r="C3089" t="str">
        <f t="shared" si="96"/>
        <v>EMSG:ALEKSANDR TONKIKHSTRACE:com.farmers.config.pa.validator.BrightlineValidator.validateQuoteBrightlineRules(BrightlineValidator.gs:XXXSTRACERAW:-</v>
      </c>
      <c r="D3089" s="3">
        <f t="shared" si="97"/>
        <v>1</v>
      </c>
    </row>
    <row r="3090" spans="1:4" x14ac:dyDescent="0.35">
      <c r="A3090" t="s">
        <v>3166</v>
      </c>
      <c r="B3090">
        <v>1</v>
      </c>
      <c r="C3090" t="str">
        <f t="shared" si="96"/>
        <v>EMSG:ALEKSANDR TONKIKHSTRACE:gw.job.QuoteProcess.requestQuote(QuoteProcess.gs:XXXSTRACERAW:-</v>
      </c>
      <c r="D3090" s="3">
        <f t="shared" si="97"/>
        <v>1</v>
      </c>
    </row>
    <row r="3091" spans="1:4" x14ac:dyDescent="0.35">
      <c r="A3091" t="s">
        <v>3167</v>
      </c>
      <c r="B3091">
        <v>1</v>
      </c>
      <c r="C3091" t="str">
        <f t="shared" si="96"/>
        <v>EMSG:ANDREW MERAZSTRACE:com.farmers.config.pa.validator.BrightlineValidator.validateQuoteBrightlineRules(BrightlineValidator.gs:XXXSTRACERAW:-</v>
      </c>
      <c r="D3091" s="3">
        <f t="shared" si="97"/>
        <v>1</v>
      </c>
    </row>
    <row r="3092" spans="1:4" x14ac:dyDescent="0.35">
      <c r="A3092" t="s">
        <v>3168</v>
      </c>
      <c r="B3092">
        <v>1</v>
      </c>
      <c r="C3092" t="str">
        <f t="shared" si="96"/>
        <v>EMSG:ANDREW MERAZSTRACE:gw.job.QuoteProcess.requestQuote(QuoteProcess.gs:XXXSTRACERAW:-</v>
      </c>
      <c r="D3092" s="3">
        <f t="shared" si="97"/>
        <v>1</v>
      </c>
    </row>
    <row r="3093" spans="1:4" x14ac:dyDescent="0.35">
      <c r="A3093" t="s">
        <v>3169</v>
      </c>
      <c r="B3093">
        <v>1</v>
      </c>
      <c r="C3093" t="str">
        <f t="shared" si="96"/>
        <v>EMSG:Achyut PrasaiSTRACE:com.farmers.config.pa.validator.BrightlineValidator.validateQuoteBrightlineRules(BrightlineValidator.gs:XXXSTRACERAW:-</v>
      </c>
      <c r="D3093" s="3">
        <f t="shared" si="97"/>
        <v>1</v>
      </c>
    </row>
    <row r="3094" spans="1:4" x14ac:dyDescent="0.35">
      <c r="A3094" t="s">
        <v>3170</v>
      </c>
      <c r="B3094">
        <v>1</v>
      </c>
      <c r="C3094" t="str">
        <f t="shared" si="96"/>
        <v>EMSG:Achyut PrasaiSTRACE:gw.job.QuoteProcess.requestQuote(QuoteProcess.gs:XXXSTRACERAW:-</v>
      </c>
      <c r="D3094" s="3">
        <f t="shared" si="97"/>
        <v>1</v>
      </c>
    </row>
    <row r="3095" spans="1:4" x14ac:dyDescent="0.35">
      <c r="A3095" t="s">
        <v>3171</v>
      </c>
      <c r="B3095">
        <v>1</v>
      </c>
      <c r="C3095" t="str">
        <f t="shared" si="96"/>
        <v>EMSG:Add License State for STEWART CALLOWAYSTRACE:com.farmers.config.pa.mvr.validator.MVRDriverValidator.throwDisplayableExceptionIfNeeded(MVRDriverValidator.gs:XXXSTRACERAW:-</v>
      </c>
      <c r="D3095" s="3">
        <f t="shared" si="97"/>
        <v>1</v>
      </c>
    </row>
    <row r="3096" spans="1:4" x14ac:dyDescent="0.35">
      <c r="A3096" t="s">
        <v>3172</v>
      </c>
      <c r="B3096">
        <v>1</v>
      </c>
      <c r="C3096" t="str">
        <f t="shared" si="96"/>
        <v>EMSG:Add License State for STEWART CALLOWAYSTRACE:gw.job.QuoteProcess.requestQuote(QuoteProcess.gs:XXXSTRACERAW:-</v>
      </c>
      <c r="D3096" s="3">
        <f t="shared" si="97"/>
        <v>1</v>
      </c>
    </row>
    <row r="3097" spans="1:4" x14ac:dyDescent="0.35">
      <c r="A3097" t="s">
        <v>3173</v>
      </c>
      <c r="B3097">
        <v>1</v>
      </c>
      <c r="C3097" t="str">
        <f t="shared" si="96"/>
        <v>EMSG:Albert NelsonSTRACE:com.farmers.config.pa.validator.BrightlineValidator.validateQuoteBrightlineRules(BrightlineValidator.gs:XXXSTRACERAW:-</v>
      </c>
      <c r="D3097" s="3">
        <f t="shared" si="97"/>
        <v>1</v>
      </c>
    </row>
    <row r="3098" spans="1:4" x14ac:dyDescent="0.35">
      <c r="A3098" t="s">
        <v>3174</v>
      </c>
      <c r="B3098">
        <v>1</v>
      </c>
      <c r="C3098" t="str">
        <f t="shared" si="96"/>
        <v>EMSG:Albert WengerdSTRACE:com.farmers.config.pa.validator.BrightlineValidator.validateQuoteBrightlineRules(BrightlineValidator.gs:XXXSTRACERAW:-</v>
      </c>
      <c r="D3098" s="3">
        <f t="shared" si="97"/>
        <v>1</v>
      </c>
    </row>
    <row r="3099" spans="1:4" x14ac:dyDescent="0.35">
      <c r="A3099" t="s">
        <v>3175</v>
      </c>
      <c r="B3099">
        <v>1</v>
      </c>
      <c r="C3099" t="str">
        <f t="shared" si="96"/>
        <v>EMSG:Albert WengerdSTRACE:gw.job.QuoteProcess.requestQuote(QuoteProcess.gs:XXXSTRACERAW:-</v>
      </c>
      <c r="D3099" s="3">
        <f t="shared" si="97"/>
        <v>1</v>
      </c>
    </row>
    <row r="3100" spans="1:4" x14ac:dyDescent="0.35">
      <c r="A3100" t="s">
        <v>3176</v>
      </c>
      <c r="B3100">
        <v>1</v>
      </c>
      <c r="C3100" t="str">
        <f t="shared" si="96"/>
        <v>EMSG:Alonzo AragonSTRACE:com.farmers.config.pa.validator.BrightlineValidator.validateQuoteBrightlineRules(BrightlineValidator.gs:XXXSTRACERAW:-</v>
      </c>
      <c r="D3100" s="3">
        <f t="shared" si="97"/>
        <v>1</v>
      </c>
    </row>
    <row r="3101" spans="1:4" x14ac:dyDescent="0.35">
      <c r="A3101" t="s">
        <v>3177</v>
      </c>
      <c r="B3101">
        <v>1</v>
      </c>
      <c r="C3101" t="str">
        <f t="shared" si="96"/>
        <v>EMSG:Alonzo AragonSTRACE:gw.job.QuoteProcess.requestQuote(QuoteProcess.gs:XXXSTRACERAW:-</v>
      </c>
      <c r="D3101" s="3">
        <f t="shared" si="97"/>
        <v>1</v>
      </c>
    </row>
    <row r="3102" spans="1:4" x14ac:dyDescent="0.35">
      <c r="A3102" t="s">
        <v>73</v>
      </c>
      <c r="B3102">
        <v>1</v>
      </c>
      <c r="C3102" t="str">
        <f t="shared" si="96"/>
        <v>EMSG:An email address is required for the selected electronic delivery options. To continueSTRACE:com.farmers.config.quoteandbind.validatequote.AbstractValidateQuoteHandler.validate(AbstractValidateQuoteHandler.gs:XXXSTRACERAW:-</v>
      </c>
      <c r="D3102" s="3">
        <f t="shared" si="97"/>
        <v>1</v>
      </c>
    </row>
    <row r="3103" spans="1:4" x14ac:dyDescent="0.35">
      <c r="A3103" t="s">
        <v>3178</v>
      </c>
      <c r="B3103">
        <v>1</v>
      </c>
      <c r="C3103" t="str">
        <f t="shared" si="96"/>
        <v>EMSG:Asia TurnerSTRACE:com.farmers.config.pa.validator.BrightlineValidator.validateQuoteBrightlineRules(BrightlineValidator.gs:XXXSTRACERAW:-</v>
      </c>
      <c r="D3103" s="3">
        <f t="shared" si="97"/>
        <v>1</v>
      </c>
    </row>
    <row r="3104" spans="1:4" x14ac:dyDescent="0.35">
      <c r="A3104" t="s">
        <v>3179</v>
      </c>
      <c r="B3104">
        <v>1</v>
      </c>
      <c r="C3104" t="str">
        <f t="shared" si="96"/>
        <v>EMSG:Attempt to access bean of type "ProducerCode" id=XXX with a null bundleSTRACE:deployment.pc.war//com.guidewire.pl.system.entity.proxy.BeanProxy.checkIsInBundle(BeanProxy.java:XXXSTRACERAW:-</v>
      </c>
      <c r="D3104" s="3">
        <f t="shared" si="97"/>
        <v>1</v>
      </c>
    </row>
    <row r="3105" spans="1:4" x14ac:dyDescent="0.35">
      <c r="A3105" t="s">
        <v>3180</v>
      </c>
      <c r="B3105">
        <v>1</v>
      </c>
      <c r="C3105" t="str">
        <f t="shared" si="96"/>
        <v>EMSG:BAILEY SOUTHERLANDSTRACE:com.farmers.config.pa.validator.BrightlineValidator.validateQuoteBrightlineRules(BrightlineValidator.gs:XXXSTRACERAW:-</v>
      </c>
      <c r="D3105" s="3">
        <f t="shared" si="97"/>
        <v>1</v>
      </c>
    </row>
    <row r="3106" spans="1:4" x14ac:dyDescent="0.35">
      <c r="A3106" t="s">
        <v>3181</v>
      </c>
      <c r="B3106">
        <v>1</v>
      </c>
      <c r="C3106" t="str">
        <f t="shared" si="96"/>
        <v>EMSG:BAILEY SOUTHERLANDSTRACE:gw.job.QuoteProcess.requestQuote(QuoteProcess.gs:XXXSTRACERAW:-</v>
      </c>
      <c r="D3106" s="3">
        <f t="shared" si="97"/>
        <v>1</v>
      </c>
    </row>
    <row r="3107" spans="1:4" x14ac:dyDescent="0.35">
      <c r="A3107" t="s">
        <v>3182</v>
      </c>
      <c r="B3107">
        <v>1</v>
      </c>
      <c r="C3107" t="str">
        <f t="shared" si="96"/>
        <v>EMSG:BECK BUSTAMANTESTRACE:com.farmers.config.pa.validator.BrightlineValidator.validateQuoteBrightlineRules(BrightlineValidator.gs:XXXSTRACERAW:-</v>
      </c>
      <c r="D3107" s="3">
        <f t="shared" si="97"/>
        <v>1</v>
      </c>
    </row>
    <row r="3108" spans="1:4" x14ac:dyDescent="0.35">
      <c r="A3108" t="s">
        <v>3183</v>
      </c>
      <c r="B3108">
        <v>1</v>
      </c>
      <c r="C3108" t="str">
        <f t="shared" si="96"/>
        <v>EMSG:BRITTANY LOWESTRACE:com.farmers.config.pa.validator.BrightlineValidator.validateQuoteBrightlineRules(BrightlineValidator.gs:XXXSTRACERAW:-</v>
      </c>
      <c r="D3108" s="3">
        <f t="shared" si="97"/>
        <v>1</v>
      </c>
    </row>
    <row r="3109" spans="1:4" x14ac:dyDescent="0.35">
      <c r="A3109" t="s">
        <v>3184</v>
      </c>
      <c r="B3109">
        <v>1</v>
      </c>
      <c r="C3109" t="str">
        <f t="shared" si="96"/>
        <v>EMSG:Brianna SmithSTRACE:com.farmers.config.pa.validator.BrightlineValidator.validateQuoteBrightlineRules(BrightlineValidator.gs:XXXSTRACERAW:-</v>
      </c>
      <c r="D3109" s="3">
        <f t="shared" si="97"/>
        <v>1</v>
      </c>
    </row>
    <row r="3110" spans="1:4" x14ac:dyDescent="0.35">
      <c r="A3110" t="s">
        <v>3185</v>
      </c>
      <c r="B3110">
        <v>1</v>
      </c>
      <c r="C3110" t="str">
        <f t="shared" si="96"/>
        <v>EMSG:Bryan CrispSTRACE:com.farmers.config.pa.validator.BrightlineValidator.validateQuoteBrightlineRules(BrightlineValidator.gs:XXXSTRACERAW:-</v>
      </c>
      <c r="D3110" s="3">
        <f t="shared" si="97"/>
        <v>1</v>
      </c>
    </row>
    <row r="3111" spans="1:4" x14ac:dyDescent="0.35">
      <c r="A3111" t="s">
        <v>3186</v>
      </c>
      <c r="B3111">
        <v>1</v>
      </c>
      <c r="C3111" t="str">
        <f t="shared" si="96"/>
        <v>EMSG:Bryan CrispSTRACE:gw.job.QuoteProcess.requestQuote(QuoteProcess.gs:XXXSTRACERAW:-</v>
      </c>
      <c r="D3111" s="3">
        <f t="shared" si="97"/>
        <v>1</v>
      </c>
    </row>
    <row r="3112" spans="1:4" x14ac:dyDescent="0.35">
      <c r="A3112" t="s">
        <v>3187</v>
      </c>
      <c r="B3112">
        <v>1</v>
      </c>
      <c r="C3112" t="str">
        <f t="shared" si="96"/>
        <v>EMSG:CALLUM WILSONSTRACE:com.farmers.config.pa.validator.BrightlineValidator.validateQuoteBrightlineRules(BrightlineValidator.gs:XXXSTRACERAW:-</v>
      </c>
      <c r="D3112" s="3">
        <f t="shared" si="97"/>
        <v>1</v>
      </c>
    </row>
    <row r="3113" spans="1:4" x14ac:dyDescent="0.35">
      <c r="A3113" t="s">
        <v>3188</v>
      </c>
      <c r="B3113">
        <v>1</v>
      </c>
      <c r="C3113" t="str">
        <f t="shared" si="96"/>
        <v>EMSG:CALLUM WILSONSTRACE:gw.job.QuoteProcess.requestQuote(QuoteProcess.gs:XXXSTRACERAW:-</v>
      </c>
      <c r="D3113" s="3">
        <f t="shared" si="97"/>
        <v>1</v>
      </c>
    </row>
    <row r="3114" spans="1:4" x14ac:dyDescent="0.35">
      <c r="A3114" t="s">
        <v>3189</v>
      </c>
      <c r="B3114">
        <v>1</v>
      </c>
      <c r="C3114" t="str">
        <f t="shared" si="96"/>
        <v>EMSG:CAYDEN EVANSSTRACE:com.farmers.config.pa.validator.BrightlineValidator.validateQuoteBrightlineRules(BrightlineValidator.gs:XXXSTRACERAW:-</v>
      </c>
      <c r="D3114" s="3">
        <f t="shared" si="97"/>
        <v>1</v>
      </c>
    </row>
    <row r="3115" spans="1:4" x14ac:dyDescent="0.35">
      <c r="A3115" t="s">
        <v>3190</v>
      </c>
      <c r="B3115">
        <v>1</v>
      </c>
      <c r="C3115" t="str">
        <f t="shared" si="96"/>
        <v>EMSG:CECILIA EfuetlachaSTRACE:com.farmers.config.pa.validator.BrightlineValidator.validateQuoteBrightlineRules(BrightlineValidator.gs:XXXSTRACERAW:-</v>
      </c>
      <c r="D3115" s="3">
        <f t="shared" si="97"/>
        <v>1</v>
      </c>
    </row>
    <row r="3116" spans="1:4" x14ac:dyDescent="0.35">
      <c r="A3116" t="s">
        <v>3191</v>
      </c>
      <c r="B3116">
        <v>1</v>
      </c>
      <c r="C3116" t="str">
        <f t="shared" si="96"/>
        <v>EMSG:CECILIA EfuetlachaSTRACE:gw.job.QuoteProcess.requestQuote(QuoteProcess.gs:XXXSTRACERAW:-</v>
      </c>
      <c r="D3116" s="3">
        <f t="shared" si="97"/>
        <v>1</v>
      </c>
    </row>
    <row r="3117" spans="1:4" x14ac:dyDescent="0.35">
      <c r="A3117" t="s">
        <v>3192</v>
      </c>
      <c r="B3117">
        <v>1</v>
      </c>
      <c r="C3117" t="str">
        <f t="shared" si="96"/>
        <v>EMSG:CECILIA GUTIERREZSTRACE:com.farmers.config.pa.validator.BrightlineValidator.validateQuoteBrightlineRules(BrightlineValidator.gs:XXXSTRACERAW:-</v>
      </c>
      <c r="D3117" s="3">
        <f t="shared" si="97"/>
        <v>1</v>
      </c>
    </row>
    <row r="3118" spans="1:4" x14ac:dyDescent="0.35">
      <c r="A3118" t="s">
        <v>3193</v>
      </c>
      <c r="B3118">
        <v>1</v>
      </c>
      <c r="C3118" t="str">
        <f t="shared" si="96"/>
        <v>EMSG:CECILIA GUTIERREZSTRACE:gw.job.QuoteProcess.requestQuote(QuoteProcess.gs:XXXSTRACERAW:-</v>
      </c>
      <c r="D3118" s="3">
        <f t="shared" si="97"/>
        <v>1</v>
      </c>
    </row>
    <row r="3119" spans="1:4" x14ac:dyDescent="0.35">
      <c r="A3119" t="s">
        <v>3194</v>
      </c>
      <c r="B3119">
        <v>1</v>
      </c>
      <c r="C3119" t="str">
        <f t="shared" si="96"/>
        <v>EMSG:COLE TURNERSTRACE:com.farmers.config.pa.validator.BrightlineValidator.validateQuoteBrightlineRules(BrightlineValidator.gs:XXXSTRACERAW:-</v>
      </c>
      <c r="D3119" s="3">
        <f t="shared" si="97"/>
        <v>1</v>
      </c>
    </row>
    <row r="3120" spans="1:4" x14ac:dyDescent="0.35">
      <c r="A3120" t="s">
        <v>3195</v>
      </c>
      <c r="B3120">
        <v>1</v>
      </c>
      <c r="C3120" t="str">
        <f t="shared" si="96"/>
        <v>EMSG:COLE TURNERSTRACE:gw.job.QuoteProcess.requestQuote(QuoteProcess.gs:XXXSTRACERAW:-</v>
      </c>
      <c r="D3120" s="3">
        <f t="shared" si="97"/>
        <v>1</v>
      </c>
    </row>
    <row r="3121" spans="1:4" x14ac:dyDescent="0.35">
      <c r="A3121" t="s">
        <v>3196</v>
      </c>
      <c r="B3121">
        <v>1</v>
      </c>
      <c r="C3121" t="str">
        <f t="shared" si="96"/>
        <v>EMSG:CZESLAW PILATSTRACE:com.farmers.config.pa.validator.BrightlineValidator.validateQuoteBrightlineRules(BrightlineValidator.gs:XXXSTRACERAW:-</v>
      </c>
      <c r="D3121" s="3">
        <f t="shared" si="97"/>
        <v>1</v>
      </c>
    </row>
    <row r="3122" spans="1:4" x14ac:dyDescent="0.35">
      <c r="A3122" t="s">
        <v>3197</v>
      </c>
      <c r="B3122">
        <v>1</v>
      </c>
      <c r="C3122" t="str">
        <f t="shared" si="96"/>
        <v>EMSG:CZESLAW PILATSTRACE:gw.job.QuoteProcess.requestQuote(QuoteProcess.gs:XXXSTRACERAW:-</v>
      </c>
      <c r="D3122" s="3">
        <f t="shared" si="97"/>
        <v>1</v>
      </c>
    </row>
    <row r="3123" spans="1:4" x14ac:dyDescent="0.35">
      <c r="A3123" t="s">
        <v>3198</v>
      </c>
      <c r="B3123">
        <v>1</v>
      </c>
      <c r="C3123" t="str">
        <f t="shared" si="96"/>
        <v>EMSG:Can't change the bundle of a bean without first removing it from the bundleSTRACE:deployment.pc.war//com.guidewire.pl.system.entity.proxy.BeanProxy.setBundle(BeanProxy.java:XXXSTRACERAW:-</v>
      </c>
      <c r="D3123" s="3">
        <f t="shared" si="97"/>
        <v>1</v>
      </c>
    </row>
    <row r="3124" spans="1:4" x14ac:dyDescent="0.35">
      <c r="A3124" t="s">
        <v>3199</v>
      </c>
      <c r="B3124">
        <v>1</v>
      </c>
      <c r="C3124" t="str">
        <f t="shared" si="96"/>
        <v>EMSG:Cannot resolve an incident record XXX of contact role Incident Entity PCR - XXX to a single driver with Contact Roles Gary Green : XXXSusanne Green : XXXSTRACE:com.farmers.chargeability.pa.info.PAIncidentInfoDto.mapFromEntity(PAIncidentInfoDto.gs:XXX</v>
      </c>
      <c r="D3124" s="3">
        <f t="shared" si="97"/>
        <v>1</v>
      </c>
    </row>
    <row r="3125" spans="1:4" x14ac:dyDescent="0.35">
      <c r="A3125" t="s">
        <v>3200</v>
      </c>
      <c r="B3125">
        <v>1</v>
      </c>
      <c r="C3125" t="str">
        <f t="shared" si="96"/>
        <v>EMSG:Cannot resolve an incident record XXX of contact role Incident Entity PCR - XXX to a single driver with Contact Roles Nicolas Favela : XXXMaria Favela : XXXSTRACE:com.farmers.chargeability.pa.info.PAIncidentInfoDto.mapFromEntity(PAIncidentInfoDto.gs:</v>
      </c>
      <c r="D3125" s="3">
        <f t="shared" si="97"/>
        <v>1</v>
      </c>
    </row>
    <row r="3126" spans="1:4" x14ac:dyDescent="0.35">
      <c r="A3126" t="s">
        <v>3201</v>
      </c>
      <c r="B3126">
        <v>1</v>
      </c>
      <c r="C3126" t="str">
        <f t="shared" si="96"/>
        <v>EMSG:Cannot resolve an incident record XXX of contact role Incident Entity PCR - XXX to a single driver with Contact Roles Patricia Zamora Ramirez : XXXSTRACE:com.farmers.chargeability.pa.info.PAIncidentInfoDto.mapFromEntity(PAIncidentInfoDto.gs:XXXSTRACE</v>
      </c>
      <c r="D3126" s="3">
        <f t="shared" si="97"/>
        <v>1</v>
      </c>
    </row>
    <row r="3127" spans="1:4" x14ac:dyDescent="0.35">
      <c r="A3127" t="s">
        <v>3202</v>
      </c>
      <c r="B3127">
        <v>1</v>
      </c>
      <c r="C3127" t="str">
        <f t="shared" si="96"/>
        <v>EMSG:Chang AnSTRACE:com.farmers.config.pa.validator.BrightlineValidator.validateQuoteBrightlineRules(BrightlineValidator.gs:XXXSTRACERAW:-</v>
      </c>
      <c r="D3127" s="3">
        <f t="shared" si="97"/>
        <v>1</v>
      </c>
    </row>
    <row r="3128" spans="1:4" x14ac:dyDescent="0.35">
      <c r="A3128" t="s">
        <v>3203</v>
      </c>
      <c r="B3128">
        <v>1</v>
      </c>
      <c r="C3128" t="str">
        <f t="shared" si="96"/>
        <v>EMSG:Chang AnSTRACE:gw.job.QuoteProcess.requestQuote(QuoteProcess.gs:XXXSTRACERAW:-</v>
      </c>
      <c r="D3128" s="3">
        <f t="shared" si="97"/>
        <v>1</v>
      </c>
    </row>
    <row r="3129" spans="1:4" x14ac:dyDescent="0.35">
      <c r="A3129" t="s">
        <v>3204</v>
      </c>
      <c r="B3129">
        <v>1</v>
      </c>
      <c r="C3129" t="str">
        <f t="shared" si="96"/>
        <v>EMSG:Charles RussellSTRACE:com.farmers.config.pa.validator.BrightlineValidator.validateQuoteBrightlineRules(BrightlineValidator.gs:XXXSTRACERAW:-</v>
      </c>
      <c r="D3129" s="3">
        <f t="shared" si="97"/>
        <v>1</v>
      </c>
    </row>
    <row r="3130" spans="1:4" x14ac:dyDescent="0.35">
      <c r="A3130" t="s">
        <v>3205</v>
      </c>
      <c r="B3130">
        <v>1</v>
      </c>
      <c r="C3130" t="str">
        <f t="shared" si="96"/>
        <v>EMSG:Charles RussellSTRACE:gw.job.QuoteProcess.requestQuote(QuoteProcess.gs:XXXSTRACERAW:-</v>
      </c>
      <c r="D3130" s="3">
        <f t="shared" si="97"/>
        <v>1</v>
      </c>
    </row>
    <row r="3131" spans="1:4" x14ac:dyDescent="0.35">
      <c r="A3131" t="s">
        <v>3206</v>
      </c>
      <c r="B3131">
        <v>1</v>
      </c>
      <c r="C3131" t="str">
        <f t="shared" si="96"/>
        <v>EMSG:Christopher ByramSTRACE:com.farmers.config.pa.validator.BrightlineValidator.validateQuoteBrightlineRules(BrightlineValidator.gs:XXXSTRACERAW:-</v>
      </c>
      <c r="D3131" s="3">
        <f t="shared" si="97"/>
        <v>1</v>
      </c>
    </row>
    <row r="3132" spans="1:4" x14ac:dyDescent="0.35">
      <c r="A3132" t="s">
        <v>3207</v>
      </c>
      <c r="B3132">
        <v>1</v>
      </c>
      <c r="C3132" t="str">
        <f t="shared" si="96"/>
        <v>EMSG:Christopher ByramSTRACE:gw.job.QuoteProcess.requestQuote(QuoteProcess.gs:XXXSTRACERAW:-</v>
      </c>
      <c r="D3132" s="3">
        <f t="shared" si="97"/>
        <v>1</v>
      </c>
    </row>
    <row r="3133" spans="1:4" x14ac:dyDescent="0.35">
      <c r="A3133" t="s">
        <v>3208</v>
      </c>
      <c r="B3133">
        <v>1</v>
      </c>
      <c r="C3133" t="str">
        <f t="shared" si="96"/>
        <v>EMSG:Christy BurdittSTRACE:com.farmers.config.pa.validator.BrightlineValidator.validateQuoteBrightlineRules(BrightlineValidator.gs:XXXSTRACERAW:-</v>
      </c>
      <c r="D3133" s="3">
        <f t="shared" si="97"/>
        <v>1</v>
      </c>
    </row>
    <row r="3134" spans="1:4" x14ac:dyDescent="0.35">
      <c r="A3134" t="s">
        <v>3209</v>
      </c>
      <c r="B3134">
        <v>1</v>
      </c>
      <c r="C3134" t="str">
        <f t="shared" si="96"/>
        <v>EMSG:Christy BurdittSTRACE:gw.job.QuoteProcess.requestQuote(QuoteProcess.gs:XXXSTRACERAW:-</v>
      </c>
      <c r="D3134" s="3">
        <f t="shared" si="97"/>
        <v>1</v>
      </c>
    </row>
    <row r="3135" spans="1:4" x14ac:dyDescent="0.35">
      <c r="A3135" t="s">
        <v>3210</v>
      </c>
      <c r="B3135">
        <v>1</v>
      </c>
      <c r="C3135" t="str">
        <f t="shared" si="96"/>
        <v>EMSG:Christy SnyderSTRACE:com.farmers.config.pa.validator.BrightlineValidator.validateQuoteBrightlineRules(BrightlineValidator.gs:XXXSTRACERAW:-</v>
      </c>
      <c r="D3135" s="3">
        <f t="shared" si="97"/>
        <v>1</v>
      </c>
    </row>
    <row r="3136" spans="1:4" x14ac:dyDescent="0.35">
      <c r="A3136" t="s">
        <v>3211</v>
      </c>
      <c r="B3136">
        <v>1</v>
      </c>
      <c r="C3136" t="str">
        <f t="shared" si="96"/>
        <v>EMSG:Christy SnyderSTRACE:gw.job.QuoteProcess.requestQuote(QuoteProcess.gs:XXXSTRACERAW:-</v>
      </c>
      <c r="D3136" s="3">
        <f t="shared" si="97"/>
        <v>1</v>
      </c>
    </row>
    <row r="3137" spans="1:4" x14ac:dyDescent="0.35">
      <c r="A3137" t="s">
        <v>3212</v>
      </c>
      <c r="B3137">
        <v>1</v>
      </c>
      <c r="C3137" t="str">
        <f t="shared" si="96"/>
        <v>EMSG:Clint MerithewSTRACE:com.farmers.config.pa.validator.BrightlineValidator.validateQuoteBrightlineRules(BrightlineValidator.gs:XXXSTRACERAW:-</v>
      </c>
      <c r="D3137" s="3">
        <f t="shared" si="97"/>
        <v>1</v>
      </c>
    </row>
    <row r="3138" spans="1:4" x14ac:dyDescent="0.35">
      <c r="A3138" t="s">
        <v>3213</v>
      </c>
      <c r="B3138">
        <v>1</v>
      </c>
      <c r="C3138" t="str">
        <f t="shared" si="96"/>
        <v>EMSG:Clint MerithewSTRACE:gw.job.QuoteProcess.requestQuote(QuoteProcess.gs:XXXSTRACERAW:-</v>
      </c>
      <c r="D3138" s="3">
        <f t="shared" si="97"/>
        <v>1</v>
      </c>
    </row>
    <row r="3139" spans="1:4" x14ac:dyDescent="0.35">
      <c r="A3139" t="s">
        <v>1166</v>
      </c>
      <c r="B3139">
        <v>1</v>
      </c>
      <c r="C3139" t="str">
        <f t="shared" ref="C3139:C3202" si="98">LEFT(A3139,255)</f>
        <v>EMSG:Correct the PNI and/or Spouse NameSTRACE:com.farmers.config.common.credit.pa.PACreditScoreProcess.persistEnterpriseISIReportData(PACreditScoreProcess.gs:XXXSTRACERAW:-</v>
      </c>
      <c r="D3139" s="3">
        <f t="shared" ref="D3139:D3202" si="99">IF(AND((B3139/10)&lt;1,(B3139/10)&gt;0),1,(B3139/10)*130%)</f>
        <v>1</v>
      </c>
    </row>
    <row r="3140" spans="1:4" x14ac:dyDescent="0.35">
      <c r="A3140" t="s">
        <v>895</v>
      </c>
      <c r="B3140">
        <v>1</v>
      </c>
      <c r="C3140" t="str">
        <f t="shared" si="98"/>
        <v>EMSG:Could not map property (entity-HomeownersLine_HOE).HighCovLvlIndSTRACE:deployment.pc.war//gw.internal.xml.gx.GxRuntime.createElement(GxRuntime.java:XXXSTRACERAW:-</v>
      </c>
      <c r="D3140" s="3">
        <f t="shared" si="99"/>
        <v>1</v>
      </c>
    </row>
    <row r="3141" spans="1:4" x14ac:dyDescent="0.35">
      <c r="A3141" t="s">
        <v>3214</v>
      </c>
      <c r="B3141">
        <v>1</v>
      </c>
      <c r="C3141" t="str">
        <f t="shared" si="98"/>
        <v>EMSG:Could not map property (entity-PolicyDriver).DriverSignal_Ext.DiscountAppliedSTRACE:deployment.pc.war//gw.internal.xml.gx.GxRuntime.createElement(GxRuntime.java:XXXSTRACERAW:-</v>
      </c>
      <c r="D3141" s="3">
        <f t="shared" si="99"/>
        <v>1</v>
      </c>
    </row>
    <row r="3142" spans="1:4" x14ac:dyDescent="0.35">
      <c r="A3142" t="s">
        <v>3215</v>
      </c>
      <c r="B3142">
        <v>1</v>
      </c>
      <c r="C3142" t="str">
        <f t="shared" si="98"/>
        <v>EMSG:Could not map property AccmNBPremium_ExtSTRACE:deployment.pc.war//gw.internal.xml.gx.GxRuntime.createElement(GxRuntime.java:XXXSTRACERAW:-</v>
      </c>
      <c r="D3142" s="3">
        <f t="shared" si="99"/>
        <v>1</v>
      </c>
    </row>
    <row r="3143" spans="1:4" x14ac:dyDescent="0.35">
      <c r="A3143" t="s">
        <v>3216</v>
      </c>
      <c r="B3143">
        <v>1</v>
      </c>
      <c r="C3143" t="str">
        <f t="shared" si="98"/>
        <v>EMSG:Could not map property AccmTrnNaturalDisMitFee_ExtSTRACE:deployment.pc.war//gw.internal.xml.gx.GxRuntime.createElement(GxRuntime.java:XXXSTRACERAW:-</v>
      </c>
      <c r="D3143" s="3">
        <f t="shared" si="99"/>
        <v>1</v>
      </c>
    </row>
    <row r="3144" spans="1:4" x14ac:dyDescent="0.35">
      <c r="A3144" t="s">
        <v>1195</v>
      </c>
      <c r="B3144">
        <v>1</v>
      </c>
      <c r="C3144" t="str">
        <f t="shared" si="98"/>
        <v>EMSG:Could not map property AccmTrnPolicyFee_ExtSTRACE:deployment.pc.war//gw.internal.xml.gx.GxRuntime.createElement(GxRuntime.java:XXXSTRACERAW:-</v>
      </c>
      <c r="D3144" s="3">
        <f t="shared" si="99"/>
        <v>1</v>
      </c>
    </row>
    <row r="3145" spans="1:4" x14ac:dyDescent="0.35">
      <c r="A3145" t="s">
        <v>3217</v>
      </c>
      <c r="B3145">
        <v>1</v>
      </c>
      <c r="C3145" t="str">
        <f t="shared" si="98"/>
        <v>EMSG:Could not map property CappingResult_Ext.ScenarioPremiums[]STRACE:deployment.pc.war//gw.internal.xml.gx.GxRuntime.createElement(GxRuntime.java:XXXSTRACERAW:-</v>
      </c>
      <c r="D3145" s="3">
        <f t="shared" si="99"/>
        <v>1</v>
      </c>
    </row>
    <row r="3146" spans="1:4" x14ac:dyDescent="0.35">
      <c r="A3146" t="s">
        <v>1167</v>
      </c>
      <c r="B3146">
        <v>1</v>
      </c>
      <c r="C3146" t="str">
        <f t="shared" si="98"/>
        <v>EMSG:Could not map property Costs[]STRACE:deployment.pc.war//gw.internal.xml.gx.GxRuntime.createElement(GxRuntime.java:XXXSTRACERAW:-</v>
      </c>
      <c r="D3146" s="3">
        <f t="shared" si="99"/>
        <v>1</v>
      </c>
    </row>
    <row r="3147" spans="1:4" x14ac:dyDescent="0.35">
      <c r="A3147" t="s">
        <v>3218</v>
      </c>
      <c r="B3147">
        <v>1</v>
      </c>
      <c r="C3147" t="str">
        <f t="shared" si="98"/>
        <v>EMSG:Could not map property Policy.LatestPeriodSTRACE:deployment.pc.war//gw.internal.xml.gx.GxRuntime.createElement(GxRuntime.java:XXXSTRACERAW:-</v>
      </c>
      <c r="D3147" s="3">
        <f t="shared" si="99"/>
        <v>1</v>
      </c>
    </row>
    <row r="3148" spans="1:4" x14ac:dyDescent="0.35">
      <c r="A3148" t="s">
        <v>3219</v>
      </c>
      <c r="B3148">
        <v>1</v>
      </c>
      <c r="C3148" t="str">
        <f t="shared" si="98"/>
        <v>EMSG:Could not map property PremiumComponents[]STRACE:deployment.pc.war//gw.internal.xml.gx.GxRuntime.createElement(GxRuntime.java:XXXSTRACERAW:-</v>
      </c>
      <c r="D3148" s="3">
        <f t="shared" si="99"/>
        <v>1</v>
      </c>
    </row>
    <row r="3149" spans="1:4" x14ac:dyDescent="0.35">
      <c r="A3149" t="s">
        <v>3220</v>
      </c>
      <c r="B3149">
        <v>1</v>
      </c>
      <c r="C3149" t="str">
        <f t="shared" si="98"/>
        <v>EMSG:Could not map property RenewalFullTermPremium_ExtSTRACE:deployment.pc.war//gw.internal.xml.gx.GxRuntime.createElement(GxRuntime.java:XXXSTRACERAW:-</v>
      </c>
      <c r="D3149" s="3">
        <f t="shared" si="99"/>
        <v>1</v>
      </c>
    </row>
    <row r="3150" spans="1:4" x14ac:dyDescent="0.35">
      <c r="A3150" t="s">
        <v>3221</v>
      </c>
      <c r="B3150">
        <v>1</v>
      </c>
      <c r="C3150" t="str">
        <f t="shared" si="98"/>
        <v>EMSG:DAT BAOSTRACE:com.farmers.config.pa.validator.BrightlineValidator.validateQuoteBrightlineRules(BrightlineValidator.gs:XXXSTRACERAW:-</v>
      </c>
      <c r="D3150" s="3">
        <f t="shared" si="99"/>
        <v>1</v>
      </c>
    </row>
    <row r="3151" spans="1:4" ht="29" x14ac:dyDescent="0.35">
      <c r="A3151" s="4" t="s">
        <v>3222</v>
      </c>
      <c r="B3151">
        <v>1</v>
      </c>
      <c r="C3151" t="str">
        <f t="shared" si="98"/>
        <v>EMSG:Database bean version conflict : XXXSTRACE:Minh Niem at XXX/XXX/XXX XXX:XXX PM. Please cancel and retry your change.
	at deployment.pc.war//com.guidewire.pl.system.database.DatabaseChangedBeanWriter.createConcurrentDataChangeException(DatabaseChanged</v>
      </c>
      <c r="D3151" s="3">
        <f t="shared" si="99"/>
        <v>1</v>
      </c>
    </row>
    <row r="3152" spans="1:4" x14ac:dyDescent="0.35">
      <c r="A3152" t="s">
        <v>3223</v>
      </c>
      <c r="B3152">
        <v>1</v>
      </c>
      <c r="C3152" t="str">
        <f t="shared" si="98"/>
        <v>EMSG:David GobboSTRACE:com.farmers.config.pa.validator.BrightlineValidator.validateQuoteBrightlineRules(BrightlineValidator.gs:XXXSTRACERAW:-</v>
      </c>
      <c r="D3152" s="3">
        <f t="shared" si="99"/>
        <v>1</v>
      </c>
    </row>
    <row r="3153" spans="1:4" x14ac:dyDescent="0.35">
      <c r="A3153" t="s">
        <v>3224</v>
      </c>
      <c r="B3153">
        <v>1</v>
      </c>
      <c r="C3153" t="str">
        <f t="shared" si="98"/>
        <v>EMSG:Delinda SotoSTRACE:com.farmers.config.pa.validator.BrightlineValidator.validateQuoteBrightlineRules(BrightlineValidator.gs:XXXSTRACERAW:-</v>
      </c>
      <c r="D3153" s="3">
        <f t="shared" si="99"/>
        <v>1</v>
      </c>
    </row>
    <row r="3154" spans="1:4" x14ac:dyDescent="0.35">
      <c r="A3154" t="s">
        <v>3225</v>
      </c>
      <c r="B3154">
        <v>1</v>
      </c>
      <c r="C3154" t="str">
        <f t="shared" si="98"/>
        <v>EMSG:Delinda SotoSTRACE:gw.job.QuoteProcess.requestQuote(QuoteProcess.gs:XXXSTRACERAW:-</v>
      </c>
      <c r="D3154" s="3">
        <f t="shared" si="99"/>
        <v>1</v>
      </c>
    </row>
    <row r="3155" spans="1:4" x14ac:dyDescent="0.35">
      <c r="A3155" t="s">
        <v>3226</v>
      </c>
      <c r="B3155">
        <v>1</v>
      </c>
      <c r="C3155" t="str">
        <f t="shared" si="98"/>
        <v>EMSG:Donna RainesSTRACE:com.farmers.config.pa.validator.BrightlineValidator.validateQuoteBrightlineRules(BrightlineValidator.gs:XXXSTRACERAW:-</v>
      </c>
      <c r="D3155" s="3">
        <f t="shared" si="99"/>
        <v>1</v>
      </c>
    </row>
    <row r="3156" spans="1:4" x14ac:dyDescent="0.35">
      <c r="A3156" t="s">
        <v>3227</v>
      </c>
      <c r="B3156">
        <v>1</v>
      </c>
      <c r="C3156" t="str">
        <f t="shared" si="98"/>
        <v>EMSG:Donna RainesSTRACE:gw.job.QuoteProcess.requestQuote(QuoteProcess.gs:XXXSTRACERAW:-</v>
      </c>
      <c r="D3156" s="3">
        <f t="shared" si="99"/>
        <v>1</v>
      </c>
    </row>
    <row r="3157" spans="1:4" ht="29" x14ac:dyDescent="0.35">
      <c r="A3157" s="4" t="s">
        <v>3228</v>
      </c>
      <c r="B3157">
        <v>1</v>
      </c>
      <c r="C3157" t="str">
        <f t="shared" si="98"/>
        <v>EMSG:Dwelling at XXXSTRACE:XXX Hawk Pride Mountain Rd, Tuscumbia, AL: Perils on Personal Property is now available and its value must be verified by the user.
	at gw.api.extension.PCExtensionInterfacesMapper$block_XXX_.invoke(PCExtensionInterfacesMapper.g</v>
      </c>
      <c r="D3157" s="3">
        <f t="shared" si="99"/>
        <v>1</v>
      </c>
    </row>
    <row r="3158" spans="1:4" ht="58" x14ac:dyDescent="0.35">
      <c r="A3158" s="4" t="s">
        <v>3229</v>
      </c>
      <c r="B3158">
        <v>1</v>
      </c>
      <c r="C3158" t="str">
        <f t="shared" si="98"/>
        <v>EMSG:Dwelling at XXXSTRACE:XXX LLAMA CT, VENTURA, CA: $XXX,XXX All Perils on Deductibles is no longer available and has been removed. Please enter a new value.; XXX, XXX/XXX/XXX, XXX/XXX/XXX, XXX: No message configured for MissingQuestionIssue; XXX, XXX/X</v>
      </c>
      <c r="D3158" s="3">
        <f t="shared" si="99"/>
        <v>1</v>
      </c>
    </row>
    <row r="3159" spans="1:4" ht="29" x14ac:dyDescent="0.35">
      <c r="A3159" s="4" t="s">
        <v>3230</v>
      </c>
      <c r="B3159">
        <v>1</v>
      </c>
      <c r="C3159" t="str">
        <f t="shared" si="98"/>
        <v>EMSG:Dwelling at XXXSTRACE:XXX Mary Ln, Coraopolis, PA: Perils on Personal Property is now available and its value must be verified by the user.
	at gw.api.extension.PCExtensionInterfacesMapper$block_XXX_.invoke(PCExtensionInterfacesMapper.gs:XXXSTRACERAW</v>
      </c>
      <c r="D3159" s="3">
        <f t="shared" si="99"/>
        <v>1</v>
      </c>
    </row>
    <row r="3160" spans="1:4" ht="58" x14ac:dyDescent="0.35">
      <c r="A3160" s="4" t="s">
        <v>3231</v>
      </c>
      <c r="B3160">
        <v>1</v>
      </c>
      <c r="C3160" t="str">
        <f t="shared" si="98"/>
        <v>EMSG:Dwelling at XXXSTRACE:XXX PINEVIEW, IRVINE, CA: $XXX,XXX All Perils on Deductibles is no longer available and has been removed. Please enter a new value.; XXX, XXX/XXX/XXX, XXX/XXX/XXX, XXX: No message configured for MissingQuestionIssue; XXX, XXX/XX</v>
      </c>
      <c r="D3160" s="3">
        <f t="shared" si="99"/>
        <v>1</v>
      </c>
    </row>
    <row r="3161" spans="1:4" ht="43.5" x14ac:dyDescent="0.35">
      <c r="A3161" s="4" t="s">
        <v>3232</v>
      </c>
      <c r="B3161">
        <v>1</v>
      </c>
      <c r="C3161" t="str">
        <f t="shared" si="98"/>
        <v>EMSG:Dwelling at XXXSTRACE:XXX Rosebud Ter, Southside, AL: Perils on Personal Property is now available and its value must be verified by the user.; Dwelling at XXX Rosebud Ter, Southside, AL: No message configured
	at gw.api.extension.PCExtensionInterfac</v>
      </c>
      <c r="D3161" s="3">
        <f t="shared" si="99"/>
        <v>1</v>
      </c>
    </row>
    <row r="3162" spans="1:4" ht="29" x14ac:dyDescent="0.35">
      <c r="A3162" s="4" t="s">
        <v>3233</v>
      </c>
      <c r="B3162">
        <v>1</v>
      </c>
      <c r="C3162" t="str">
        <f t="shared" si="98"/>
        <v>EMSG:Dwelling at XXXSTRACE:XXX XXXrd St SE, Lafayette, AL: Perils on Personal Property is now available and its value must be verified by the user.
	at gw.api.extension.PCExtensionInterfacesMapper$block_XXX_.invoke(PCExtensionInterfacesMapper.gs:XXXSTRACE</v>
      </c>
      <c r="D3162" s="3">
        <f t="shared" si="99"/>
        <v>1</v>
      </c>
    </row>
    <row r="3163" spans="1:4" ht="29" x14ac:dyDescent="0.35">
      <c r="A3163" s="4" t="s">
        <v>3234</v>
      </c>
      <c r="B3163">
        <v>1</v>
      </c>
      <c r="C3163" t="str">
        <f t="shared" si="98"/>
        <v>EMSG:Dwelling at XXXSTRACE:XXX XXXth Ave, Phenix City, AL: Perils on Personal Property is now available and its value must be verified by the user.
	at gw.api.extension.PCExtensionInterfacesMapper$block_XXX_.invoke(PCExtensionInterfacesMapper.gs:XXXSTRACE</v>
      </c>
      <c r="D3163" s="3">
        <f t="shared" si="99"/>
        <v>1</v>
      </c>
    </row>
    <row r="3164" spans="1:4" x14ac:dyDescent="0.35">
      <c r="A3164" t="s">
        <v>3235</v>
      </c>
      <c r="B3164">
        <v>1</v>
      </c>
      <c r="C3164" t="str">
        <f t="shared" si="98"/>
        <v>EMSG:EFFIE WILLINGSTRACE:com.farmers.config.pa.validator.BrightlineValidator.validateQuoteBrightlineRules(BrightlineValidator.gs:XXXSTRACERAW:-</v>
      </c>
      <c r="D3164" s="3">
        <f t="shared" si="99"/>
        <v>1</v>
      </c>
    </row>
    <row r="3165" spans="1:4" ht="43.5" x14ac:dyDescent="0.35">
      <c r="A3165" s="4" t="s">
        <v>3236</v>
      </c>
      <c r="B3165">
        <v>1</v>
      </c>
      <c r="C3165" t="str">
        <f t="shared" si="98"/>
        <v>EMSG:Effective ranges overlap for HODwellingAddlInt_HOE with BranchID XXX and with FixedID XXXSTRACE:Apr XXX XXX:XXX:XXX PDT XXX - Sun Apr XXX XXX:XXX:XXX PDT XXX, Sat Apr XXX XXX:XXX:XXX PDT XXX - Sun Apr XXX XXX:XXX:XXX PDT XXX
	at deployment.pc.war//co</v>
      </c>
      <c r="D3165" s="3">
        <f t="shared" si="99"/>
        <v>1</v>
      </c>
    </row>
    <row r="3166" spans="1:4" x14ac:dyDescent="0.35">
      <c r="A3166" t="s">
        <v>3237</v>
      </c>
      <c r="B3166">
        <v>1</v>
      </c>
      <c r="C3166" t="str">
        <f t="shared" si="98"/>
        <v>EMSG:Effective ranges overlap for IndividualDriverClassFactor_Ext with BranchID XXX and with FixedID XXXSTRACE:deployment.pc.war//com.guidewire.pl.system.entity.proxy.EffDatedBeanProxy.checkForOverlaps(EffDatedBeanProxy.java:XXXSTRACERAW:-</v>
      </c>
      <c r="D3166" s="3">
        <f t="shared" si="99"/>
        <v>1</v>
      </c>
    </row>
    <row r="3167" spans="1:4" x14ac:dyDescent="0.35">
      <c r="A3167" t="s">
        <v>3238</v>
      </c>
      <c r="B3167">
        <v>1</v>
      </c>
      <c r="C3167" t="str">
        <f t="shared" si="98"/>
        <v>EMSG:Effie WillingSTRACE:gw.job.QuoteProcess.requestQuote(QuoteProcess.gs:XXXSTRACERAW:-</v>
      </c>
      <c r="D3167" s="3">
        <f t="shared" si="99"/>
        <v>1</v>
      </c>
    </row>
    <row r="3168" spans="1:4" x14ac:dyDescent="0.35">
      <c r="A3168" t="s">
        <v>3239</v>
      </c>
      <c r="B3168">
        <v>1</v>
      </c>
      <c r="C3168" t="str">
        <f t="shared" si="98"/>
        <v>EMSG:Failed to execute a querySTRACE:com.farmers.integ.documentmgmt.ondemand.api.transformer.GetPolicyDetailsRestRequestTransformer.transform(GetPolicyDetailsRestRequestTransformer.gs:XXXSTRACERAW:-</v>
      </c>
      <c r="D3168" s="3">
        <f t="shared" si="99"/>
        <v>1</v>
      </c>
    </row>
    <row r="3169" spans="1:4" x14ac:dyDescent="0.35">
      <c r="A3169" t="s">
        <v>3240</v>
      </c>
      <c r="B3169">
        <v>1</v>
      </c>
      <c r="C3169" t="str">
        <f t="shared" si="98"/>
        <v>EMSG:Fatima Giron LazoSTRACE:com.farmers.config.pa.validator.BrightlineValidator.validateQuoteBrightlineRules(BrightlineValidator.gs:XXXSTRACERAW:-</v>
      </c>
      <c r="D3169" s="3">
        <f t="shared" si="99"/>
        <v>1</v>
      </c>
    </row>
    <row r="3170" spans="1:4" x14ac:dyDescent="0.35">
      <c r="A3170" t="s">
        <v>3241</v>
      </c>
      <c r="B3170">
        <v>1</v>
      </c>
      <c r="C3170" t="str">
        <f t="shared" si="98"/>
        <v>EMSG:Fatima Giron LazoSTRACE:gw.job.QuoteProcess.requestQuote(QuoteProcess.gs:XXXSTRACERAW:-</v>
      </c>
      <c r="D3170" s="3">
        <f t="shared" si="99"/>
        <v>1</v>
      </c>
    </row>
    <row r="3171" spans="1:4" x14ac:dyDescent="0.35">
      <c r="A3171" t="s">
        <v>3242</v>
      </c>
      <c r="B3171">
        <v>1</v>
      </c>
      <c r="C3171" t="str">
        <f t="shared" si="98"/>
        <v>EMSG:Francisco ChapaSTRACE:com.farmers.config.pa.validator.BrightlineValidator.validateQuoteBrightlineRules(BrightlineValidator.gs:XXXSTRACERAW:-</v>
      </c>
      <c r="D3171" s="3">
        <f t="shared" si="99"/>
        <v>1</v>
      </c>
    </row>
    <row r="3172" spans="1:4" x14ac:dyDescent="0.35">
      <c r="A3172" t="s">
        <v>3243</v>
      </c>
      <c r="B3172">
        <v>1</v>
      </c>
      <c r="C3172" t="str">
        <f t="shared" si="98"/>
        <v>EMSG:Francisco ChapaSTRACE:gw.job.QuoteProcess.requestQuote(QuoteProcess.gs:XXXSTRACERAW:-</v>
      </c>
      <c r="D3172" s="3">
        <f t="shared" si="99"/>
        <v>1</v>
      </c>
    </row>
    <row r="3173" spans="1:4" x14ac:dyDescent="0.35">
      <c r="A3173" t="s">
        <v>3244</v>
      </c>
      <c r="B3173">
        <v>1</v>
      </c>
      <c r="C3173" t="str">
        <f t="shared" si="98"/>
        <v>EMSG:GRETA ERDMANSTRACE:com.farmers.config.pa.validator.BrightlineValidator.validateQuoteBrightlineRules(BrightlineValidator.gs:XXXSTRACERAW:-</v>
      </c>
      <c r="D3173" s="3">
        <f t="shared" si="99"/>
        <v>1</v>
      </c>
    </row>
    <row r="3174" spans="1:4" x14ac:dyDescent="0.35">
      <c r="A3174" t="s">
        <v>3245</v>
      </c>
      <c r="B3174">
        <v>1</v>
      </c>
      <c r="C3174" t="str">
        <f t="shared" si="98"/>
        <v>EMSG:GRETA ERDMANSTRACE:gw.job.QuoteProcess.requestQuote(QuoteProcess.gs:XXXSTRACERAW:-</v>
      </c>
      <c r="D3174" s="3">
        <f t="shared" si="99"/>
        <v>1</v>
      </c>
    </row>
    <row r="3175" spans="1:4" x14ac:dyDescent="0.35">
      <c r="A3175" t="s">
        <v>3246</v>
      </c>
      <c r="B3175">
        <v>1</v>
      </c>
      <c r="C3175" t="str">
        <f t="shared" si="98"/>
        <v>EMSG:HUGO LARASTRACE:gw.job.QuoteProcess.requestQuote(QuoteProcess.gs:XXXSTRACERAW:-</v>
      </c>
      <c r="D3175" s="3">
        <f t="shared" si="99"/>
        <v>1</v>
      </c>
    </row>
    <row r="3176" spans="1:4" x14ac:dyDescent="0.35">
      <c r="A3176" t="s">
        <v>3247</v>
      </c>
      <c r="B3176">
        <v>1</v>
      </c>
      <c r="C3176" t="str">
        <f t="shared" si="98"/>
        <v>EMSG:Heather WilliamsSTRACE:com.farmers.config.pa.validator.BrightlineValidator.validateQuoteBrightlineRules(BrightlineValidator.gs:XXXSTRACERAW:-</v>
      </c>
      <c r="D3176" s="3">
        <f t="shared" si="99"/>
        <v>1</v>
      </c>
    </row>
    <row r="3177" spans="1:4" x14ac:dyDescent="0.35">
      <c r="A3177" t="s">
        <v>3248</v>
      </c>
      <c r="B3177">
        <v>1</v>
      </c>
      <c r="C3177" t="str">
        <f t="shared" si="98"/>
        <v>EMSG:Heather WilliamsSTRACE:gw.job.QuoteProcess.requestQuote(QuoteProcess.gs:XXXSTRACERAW:-</v>
      </c>
      <c r="D3177" s="3">
        <f t="shared" si="99"/>
        <v>1</v>
      </c>
    </row>
    <row r="3178" spans="1:4" x14ac:dyDescent="0.35">
      <c r="A3178" t="s">
        <v>3249</v>
      </c>
      <c r="B3178">
        <v>1</v>
      </c>
      <c r="C3178" t="str">
        <f t="shared" si="98"/>
        <v>EMSG:IP=XXX.XXX.XXX.XXXSTRACE:-STRACERAW:</v>
      </c>
      <c r="D3178" s="3">
        <f t="shared" si="99"/>
        <v>1</v>
      </c>
    </row>
    <row r="3179" spans="1:4" x14ac:dyDescent="0.35">
      <c r="A3179" t="s">
        <v>939</v>
      </c>
      <c r="B3179">
        <v>1</v>
      </c>
      <c r="C3179" t="str">
        <f t="shared" si="98"/>
        <v>EMSG:In order to continueSTRACE:gw.job.ReinstatementEnhancement.checkNOCAndMisMatch(ReinstatementEnhancement.gsx:XXXSTRACERAW:-</v>
      </c>
      <c r="D3179" s="3">
        <f t="shared" si="99"/>
        <v>1</v>
      </c>
    </row>
    <row r="3180" spans="1:4" x14ac:dyDescent="0.35">
      <c r="A3180" t="s">
        <v>3250</v>
      </c>
      <c r="B3180">
        <v>1</v>
      </c>
      <c r="C3180" t="str">
        <f t="shared" si="98"/>
        <v>EMSG:Index XXX out of bounds for length XXXSTRACE:java.base/java.util.ArrayDeque.elementAt(ArrayDeque.java:XXXSTRACERAW:-</v>
      </c>
      <c r="D3180" s="3">
        <f t="shared" si="99"/>
        <v>1</v>
      </c>
    </row>
    <row r="3181" spans="1:4" x14ac:dyDescent="0.35">
      <c r="A3181" t="s">
        <v>903</v>
      </c>
      <c r="B3181">
        <v>1</v>
      </c>
      <c r="C3181" t="str">
        <f t="shared" si="98"/>
        <v>EMSG:Internal error: bean entity.Dwelling_HOE:XXX was not staged for edit.STRACE:deployment.pc.war//com.guidewire.pl.system.bundle.EntityBundleImpl.handleBeanChange(EntityBundleImpl.java:XXXSTRACERAW:-</v>
      </c>
      <c r="D3181" s="3">
        <f t="shared" si="99"/>
        <v>1</v>
      </c>
    </row>
    <row r="3182" spans="1:4" x14ac:dyDescent="0.35">
      <c r="A3182" t="s">
        <v>3251</v>
      </c>
      <c r="B3182">
        <v>1</v>
      </c>
      <c r="C3182" t="str">
        <f t="shared" si="98"/>
        <v>EMSG:Internal error: bean entity.PolicyAddlNamedInsured:XXX was not staged for edit.STRACE:deployment.pc.war//com.guidewire.pl.system.bundle.EntityBundleImpl.handleBeanChange(EntityBundleImpl.java:XXXSTRACERAW:-</v>
      </c>
      <c r="D3182" s="3">
        <f t="shared" si="99"/>
        <v>1</v>
      </c>
    </row>
    <row r="3183" spans="1:4" x14ac:dyDescent="0.35">
      <c r="A3183" t="s">
        <v>3252</v>
      </c>
      <c r="B3183">
        <v>1</v>
      </c>
      <c r="C3183" t="str">
        <f t="shared" si="98"/>
        <v>EMSG:JASON KRUSESTRACE:com.farmers.config.pa.validator.BrightlineValidator.validateQuoteBrightlineRules(BrightlineValidator.gs:XXXSTRACERAW:-</v>
      </c>
      <c r="D3183" s="3">
        <f t="shared" si="99"/>
        <v>1</v>
      </c>
    </row>
    <row r="3184" spans="1:4" x14ac:dyDescent="0.35">
      <c r="A3184" t="s">
        <v>3253</v>
      </c>
      <c r="B3184">
        <v>1</v>
      </c>
      <c r="C3184" t="str">
        <f t="shared" si="98"/>
        <v>EMSG:JASON KRUSESTRACE:gw.job.QuoteProcess.requestQuote(QuoteProcess.gs:XXXSTRACERAW:-</v>
      </c>
      <c r="D3184" s="3">
        <f t="shared" si="99"/>
        <v>1</v>
      </c>
    </row>
    <row r="3185" spans="1:4" x14ac:dyDescent="0.35">
      <c r="A3185" t="s">
        <v>3254</v>
      </c>
      <c r="B3185">
        <v>1</v>
      </c>
      <c r="C3185" t="str">
        <f t="shared" si="98"/>
        <v>EMSG:JONATHAN LASSSTRACE:com.farmers.config.pa.validator.BrightlineValidator.validateQuoteBrightlineRules(BrightlineValidator.gs:XXXSTRACERAW:-</v>
      </c>
      <c r="D3185" s="3">
        <f t="shared" si="99"/>
        <v>1</v>
      </c>
    </row>
    <row r="3186" spans="1:4" x14ac:dyDescent="0.35">
      <c r="A3186" t="s">
        <v>3255</v>
      </c>
      <c r="B3186">
        <v>1</v>
      </c>
      <c r="C3186" t="str">
        <f t="shared" si="98"/>
        <v>EMSG:JONATHAN LASSSTRACE:gw.job.QuoteProcess.requestQuote(QuoteProcess.gs:XXXSTRACERAW:-</v>
      </c>
      <c r="D3186" s="3">
        <f t="shared" si="99"/>
        <v>1</v>
      </c>
    </row>
    <row r="3187" spans="1:4" x14ac:dyDescent="0.35">
      <c r="A3187" t="s">
        <v>3256</v>
      </c>
      <c r="B3187">
        <v>1</v>
      </c>
      <c r="C3187" t="str">
        <f t="shared" si="98"/>
        <v>EMSG:JOSE PORTILLOSTRACE:com.farmers.config.pa.validator.BrightlineValidator.validateQuoteBrightlineRules(BrightlineValidator.gs:XXXSTRACERAW:-</v>
      </c>
      <c r="D3187" s="3">
        <f t="shared" si="99"/>
        <v>1</v>
      </c>
    </row>
    <row r="3188" spans="1:4" x14ac:dyDescent="0.35">
      <c r="A3188" t="s">
        <v>3257</v>
      </c>
      <c r="B3188">
        <v>1</v>
      </c>
      <c r="C3188" t="str">
        <f t="shared" si="98"/>
        <v>EMSG:JOSE PORTILLOSTRACE:gw.job.QuoteProcess.requestQuote(QuoteProcess.gs:XXXSTRACERAW:-</v>
      </c>
      <c r="D3188" s="3">
        <f t="shared" si="99"/>
        <v>1</v>
      </c>
    </row>
    <row r="3189" spans="1:4" x14ac:dyDescent="0.35">
      <c r="A3189" t="s">
        <v>3258</v>
      </c>
      <c r="B3189">
        <v>1</v>
      </c>
      <c r="C3189" t="str">
        <f t="shared" si="98"/>
        <v>EMSG:Jack ShawSTRACE:com.farmers.config.pa.validator.BrightlineValidator.validateQuoteBrightlineRules(BrightlineValidator.gs:XXXSTRACERAW:-</v>
      </c>
      <c r="D3189" s="3">
        <f t="shared" si="99"/>
        <v>1</v>
      </c>
    </row>
    <row r="3190" spans="1:4" x14ac:dyDescent="0.35">
      <c r="A3190" t="s">
        <v>3259</v>
      </c>
      <c r="B3190">
        <v>1</v>
      </c>
      <c r="C3190" t="str">
        <f t="shared" si="98"/>
        <v>EMSG:Jack ShawSTRACE:gw.job.QuoteProcess.requestQuote(QuoteProcess.gs:XXXSTRACERAW:-</v>
      </c>
      <c r="D3190" s="3">
        <f t="shared" si="99"/>
        <v>1</v>
      </c>
    </row>
    <row r="3191" spans="1:4" x14ac:dyDescent="0.35">
      <c r="A3191" t="s">
        <v>3260</v>
      </c>
      <c r="B3191">
        <v>1</v>
      </c>
      <c r="C3191" t="str">
        <f t="shared" si="98"/>
        <v>EMSG:James KingSTRACE:com.farmers.config.pa.validator.BrightlineValidator.validateQuoteBrightlineRules(BrightlineValidator.gs:XXXSTRACERAW:-</v>
      </c>
      <c r="D3191" s="3">
        <f t="shared" si="99"/>
        <v>1</v>
      </c>
    </row>
    <row r="3192" spans="1:4" x14ac:dyDescent="0.35">
      <c r="A3192" t="s">
        <v>3261</v>
      </c>
      <c r="B3192">
        <v>1</v>
      </c>
      <c r="C3192" t="str">
        <f t="shared" si="98"/>
        <v>EMSG:James KingSTRACE:gw.job.QuoteProcess.requestQuote(QuoteProcess.gs:XXXSTRACERAW:-</v>
      </c>
      <c r="D3192" s="3">
        <f t="shared" si="99"/>
        <v>1</v>
      </c>
    </row>
    <row r="3193" spans="1:4" x14ac:dyDescent="0.35">
      <c r="A3193" t="s">
        <v>3262</v>
      </c>
      <c r="B3193">
        <v>1</v>
      </c>
      <c r="C3193" t="str">
        <f t="shared" si="98"/>
        <v>EMSG:James NealSTRACE:com.farmers.config.pa.validator.BrightlineValidator.validateQuoteBrightlineRules(BrightlineValidator.gs:XXXSTRACERAW:-</v>
      </c>
      <c r="D3193" s="3">
        <f t="shared" si="99"/>
        <v>1</v>
      </c>
    </row>
    <row r="3194" spans="1:4" x14ac:dyDescent="0.35">
      <c r="A3194" t="s">
        <v>3263</v>
      </c>
      <c r="B3194">
        <v>1</v>
      </c>
      <c r="C3194" t="str">
        <f t="shared" si="98"/>
        <v>EMSG:James NealSTRACE:gw.job.QuoteProcess.requestQuote(QuoteProcess.gs:XXXSTRACERAW:-</v>
      </c>
      <c r="D3194" s="3">
        <f t="shared" si="99"/>
        <v>1</v>
      </c>
    </row>
    <row r="3195" spans="1:4" x14ac:dyDescent="0.35">
      <c r="A3195" t="s">
        <v>1172</v>
      </c>
      <c r="B3195">
        <v>1</v>
      </c>
      <c r="C3195" t="str">
        <f t="shared" si="98"/>
        <v>EMSG:Janet Mackinnon is already a Driver.STRACE:deployment.pc.war//com.guidewire.pc.domain.policy.period.impl.PolicyPeriodImpl.checkAccountContactIsNotAlreadyAPolicyContactRoleOfType(PolicyPeriodImpl.java:XXXSTRACERAW:-</v>
      </c>
      <c r="D3195" s="3">
        <f t="shared" si="99"/>
        <v>1</v>
      </c>
    </row>
    <row r="3196" spans="1:4" x14ac:dyDescent="0.35">
      <c r="A3196" t="s">
        <v>3264</v>
      </c>
      <c r="B3196">
        <v>1</v>
      </c>
      <c r="C3196" t="str">
        <f t="shared" si="98"/>
        <v>EMSG:Jay CohenSTRACE:com.farmers.config.pa.validator.BrightlineValidator.validateQuoteBrightlineRules(BrightlineValidator.gs:XXXSTRACERAW:-</v>
      </c>
      <c r="D3196" s="3">
        <f t="shared" si="99"/>
        <v>1</v>
      </c>
    </row>
    <row r="3197" spans="1:4" x14ac:dyDescent="0.35">
      <c r="A3197" t="s">
        <v>3265</v>
      </c>
      <c r="B3197">
        <v>1</v>
      </c>
      <c r="C3197" t="str">
        <f t="shared" si="98"/>
        <v>EMSG:Jay CohenSTRACE:gw.job.QuoteProcess.requestQuote(QuoteProcess.gs:XXXSTRACERAW:-</v>
      </c>
      <c r="D3197" s="3">
        <f t="shared" si="99"/>
        <v>1</v>
      </c>
    </row>
    <row r="3198" spans="1:4" x14ac:dyDescent="0.35">
      <c r="A3198" t="s">
        <v>3266</v>
      </c>
      <c r="B3198">
        <v>1</v>
      </c>
      <c r="C3198" t="str">
        <f t="shared" si="98"/>
        <v>EMSG:Jeff DanielsSTRACE:com.farmers.config.pa.validator.BrightlineValidator.validateQuoteBrightlineRules(BrightlineValidator.gs:XXXSTRACERAW:-</v>
      </c>
      <c r="D3198" s="3">
        <f t="shared" si="99"/>
        <v>1</v>
      </c>
    </row>
    <row r="3199" spans="1:4" x14ac:dyDescent="0.35">
      <c r="A3199" t="s">
        <v>3267</v>
      </c>
      <c r="B3199">
        <v>1</v>
      </c>
      <c r="C3199" t="str">
        <f t="shared" si="98"/>
        <v>EMSG:Jeff DanielsSTRACE:gw.job.QuoteProcess.requestQuote(QuoteProcess.gs:XXXSTRACERAW:-</v>
      </c>
      <c r="D3199" s="3">
        <f t="shared" si="99"/>
        <v>1</v>
      </c>
    </row>
    <row r="3200" spans="1:4" x14ac:dyDescent="0.35">
      <c r="A3200" t="s">
        <v>3268</v>
      </c>
      <c r="B3200">
        <v>1</v>
      </c>
      <c r="C3200" t="str">
        <f t="shared" si="98"/>
        <v>EMSG:Jennifer HughesSTRACE:gw.job.QuoteProcess.requestQuote(QuoteProcess.gs:XXXSTRACERAW:-</v>
      </c>
      <c r="D3200" s="3">
        <f t="shared" si="99"/>
        <v>1</v>
      </c>
    </row>
    <row r="3201" spans="1:4" x14ac:dyDescent="0.35">
      <c r="A3201" t="s">
        <v>3269</v>
      </c>
      <c r="B3201">
        <v>1</v>
      </c>
      <c r="C3201" t="str">
        <f t="shared" si="98"/>
        <v>EMSG:Jesus Rangel TellezSTRACE:com.farmers.config.pa.validator.BrightlineValidator.validateQuoteBrightlineRules(BrightlineValidator.gs:XXXSTRACERAW:-</v>
      </c>
      <c r="D3201" s="3">
        <f t="shared" si="99"/>
        <v>1</v>
      </c>
    </row>
    <row r="3202" spans="1:4" x14ac:dyDescent="0.35">
      <c r="A3202" t="s">
        <v>3270</v>
      </c>
      <c r="B3202">
        <v>1</v>
      </c>
      <c r="C3202" t="str">
        <f t="shared" si="98"/>
        <v>EMSG:Josue ZapataSTRACE:com.farmers.config.pa.validator.BrightlineValidator.validateQuoteBrightlineRules(BrightlineValidator.gs:XXXSTRACERAW:-</v>
      </c>
      <c r="D3202" s="3">
        <f t="shared" si="99"/>
        <v>1</v>
      </c>
    </row>
    <row r="3203" spans="1:4" x14ac:dyDescent="0.35">
      <c r="A3203" t="s">
        <v>3271</v>
      </c>
      <c r="B3203">
        <v>1</v>
      </c>
      <c r="C3203" t="str">
        <f t="shared" ref="C3203:C3266" si="100">LEFT(A3203,255)</f>
        <v>EMSG:Josue ZapataSTRACE:gw.job.QuoteProcess.requestQuote(QuoteProcess.gs:XXXSTRACERAW:-</v>
      </c>
      <c r="D3203" s="3">
        <f t="shared" ref="D3203:D3266" si="101">IF(AND((B3203/10)&lt;1,(B3203/10)&gt;0),1,(B3203/10)*130%)</f>
        <v>1</v>
      </c>
    </row>
    <row r="3204" spans="1:4" x14ac:dyDescent="0.35">
      <c r="A3204" t="s">
        <v>3272</v>
      </c>
      <c r="B3204">
        <v>1</v>
      </c>
      <c r="C3204" t="str">
        <f t="shared" si="100"/>
        <v>EMSG:Juan GutierrezSTRACE:com.farmers.config.pa.validator.BrightlineValidator.validateQuoteBrightlineRules(BrightlineValidator.gs:XXXSTRACERAW:-</v>
      </c>
      <c r="D3204" s="3">
        <f t="shared" si="101"/>
        <v>1</v>
      </c>
    </row>
    <row r="3205" spans="1:4" x14ac:dyDescent="0.35">
      <c r="A3205" t="s">
        <v>3273</v>
      </c>
      <c r="B3205">
        <v>1</v>
      </c>
      <c r="C3205" t="str">
        <f t="shared" si="100"/>
        <v>EMSG:Juan GutierrezSTRACE:gw.job.QuoteProcess.requestQuote(QuoteProcess.gs:XXXSTRACERAW:-</v>
      </c>
      <c r="D3205" s="3">
        <f t="shared" si="101"/>
        <v>1</v>
      </c>
    </row>
    <row r="3206" spans="1:4" x14ac:dyDescent="0.35">
      <c r="A3206" t="s">
        <v>3274</v>
      </c>
      <c r="B3206">
        <v>1</v>
      </c>
      <c r="C3206" t="str">
        <f t="shared" si="100"/>
        <v>EMSG:KATHERINE PRUETSTRACE:com.farmers.config.pa.validator.BrightlineValidator.validateQuoteBrightlineRules(BrightlineValidator.gs:XXXSTRACERAW:-</v>
      </c>
      <c r="D3206" s="3">
        <f t="shared" si="101"/>
        <v>1</v>
      </c>
    </row>
    <row r="3207" spans="1:4" x14ac:dyDescent="0.35">
      <c r="A3207" t="s">
        <v>3275</v>
      </c>
      <c r="B3207">
        <v>1</v>
      </c>
      <c r="C3207" t="str">
        <f t="shared" si="100"/>
        <v>EMSG:KATHRYN TASHIANSTRACE:com.farmers.config.pa.validator.BrightlineValidator.validateQuoteBrightlineRules(BrightlineValidator.gs:XXXSTRACERAW:-</v>
      </c>
      <c r="D3207" s="3">
        <f t="shared" si="101"/>
        <v>1</v>
      </c>
    </row>
    <row r="3208" spans="1:4" x14ac:dyDescent="0.35">
      <c r="A3208" t="s">
        <v>3276</v>
      </c>
      <c r="B3208">
        <v>1</v>
      </c>
      <c r="C3208" t="str">
        <f t="shared" si="100"/>
        <v>EMSG:KATHRYN TASHIANSTRACE:gw.job.QuoteProcess.requestQuote(QuoteProcess.gs:XXXSTRACERAW:-</v>
      </c>
      <c r="D3208" s="3">
        <f t="shared" si="101"/>
        <v>1</v>
      </c>
    </row>
    <row r="3209" spans="1:4" x14ac:dyDescent="0.35">
      <c r="A3209" t="s">
        <v>3277</v>
      </c>
      <c r="B3209">
        <v>1</v>
      </c>
      <c r="C3209" t="str">
        <f t="shared" si="100"/>
        <v>EMSG:KELLY THOMPSONSTRACE:com.farmers.config.pa.validator.BrightlineValidator.validateQuoteBrightlineRules(BrightlineValidator.gs:XXXSTRACERAW:-</v>
      </c>
      <c r="D3209" s="3">
        <f t="shared" si="101"/>
        <v>1</v>
      </c>
    </row>
    <row r="3210" spans="1:4" x14ac:dyDescent="0.35">
      <c r="A3210" t="s">
        <v>3278</v>
      </c>
      <c r="B3210">
        <v>1</v>
      </c>
      <c r="C3210" t="str">
        <f t="shared" si="100"/>
        <v>EMSG:KELLY THOMPSONSTRACE:gw.job.QuoteProcess.requestQuote(QuoteProcess.gs:XXXSTRACERAW:-</v>
      </c>
      <c r="D3210" s="3">
        <f t="shared" si="101"/>
        <v>1</v>
      </c>
    </row>
    <row r="3211" spans="1:4" x14ac:dyDescent="0.35">
      <c r="A3211" t="s">
        <v>3279</v>
      </c>
      <c r="B3211">
        <v>1</v>
      </c>
      <c r="C3211" t="str">
        <f t="shared" si="100"/>
        <v>EMSG:LEONARD MIGUELSTRACE:com.farmers.config.pa.validator.BrightlineValidator.validateQuoteBrightlineRules(BrightlineValidator.gs:XXXSTRACERAW:-</v>
      </c>
      <c r="D3211" s="3">
        <f t="shared" si="101"/>
        <v>1</v>
      </c>
    </row>
    <row r="3212" spans="1:4" x14ac:dyDescent="0.35">
      <c r="A3212" t="s">
        <v>3280</v>
      </c>
      <c r="B3212">
        <v>1</v>
      </c>
      <c r="C3212" t="str">
        <f t="shared" si="100"/>
        <v>EMSG:LEONARD MIGUELSTRACE:gw.job.QuoteProcess.requestQuote(QuoteProcess.gs:XXXSTRACERAW:-</v>
      </c>
      <c r="D3212" s="3">
        <f t="shared" si="101"/>
        <v>1</v>
      </c>
    </row>
    <row r="3213" spans="1:4" x14ac:dyDescent="0.35">
      <c r="A3213" t="s">
        <v>3281</v>
      </c>
      <c r="B3213">
        <v>1</v>
      </c>
      <c r="C3213" t="str">
        <f t="shared" si="100"/>
        <v>EMSG:LHPI Ordering Failed due to TimeOut! - [java.lang.RuntimeException: javax.net.ssl.SSLException: Couldn't kickstart handshaking]STRACE:java.base/jdk.internal.reflect.NativeConstructorAccessorImpl.newInstanceXXX(Native MethodSTRACERAW:-</v>
      </c>
      <c r="D3213" s="3">
        <f t="shared" si="101"/>
        <v>1</v>
      </c>
    </row>
    <row r="3214" spans="1:4" x14ac:dyDescent="0.35">
      <c r="A3214" t="s">
        <v>3282</v>
      </c>
      <c r="B3214">
        <v>1</v>
      </c>
      <c r="C3214" t="str">
        <f t="shared" si="100"/>
        <v>EMSG:LILY KEESEESTRACE:com.farmers.config.pa.validator.BrightlineValidator.validateQuoteBrightlineRules(BrightlineValidator.gs:XXXSTRACERAW:-</v>
      </c>
      <c r="D3214" s="3">
        <f t="shared" si="101"/>
        <v>1</v>
      </c>
    </row>
    <row r="3215" spans="1:4" x14ac:dyDescent="0.35">
      <c r="A3215" t="s">
        <v>3283</v>
      </c>
      <c r="B3215">
        <v>1</v>
      </c>
      <c r="C3215" t="str">
        <f t="shared" si="100"/>
        <v>EMSG:LILY KEESEESTRACE:gw.job.QuoteProcess.requestQuote(QuoteProcess.gs:XXXSTRACERAW:-</v>
      </c>
      <c r="D3215" s="3">
        <f t="shared" si="101"/>
        <v>1</v>
      </c>
    </row>
    <row r="3216" spans="1:4" x14ac:dyDescent="0.35">
      <c r="A3216" t="s">
        <v>3284</v>
      </c>
      <c r="B3216">
        <v>1</v>
      </c>
      <c r="C3216" t="str">
        <f t="shared" si="100"/>
        <v>EMSG:LINDSEY CHUKKIRIYANSTRACE:com.farmers.config.pa.validator.BrightlineValidator.validateQuoteBrightlineRules(BrightlineValidator.gs:XXXSTRACERAW:-</v>
      </c>
      <c r="D3216" s="3">
        <f t="shared" si="101"/>
        <v>1</v>
      </c>
    </row>
    <row r="3217" spans="1:4" x14ac:dyDescent="0.35">
      <c r="A3217" t="s">
        <v>3285</v>
      </c>
      <c r="B3217">
        <v>1</v>
      </c>
      <c r="C3217" t="str">
        <f t="shared" si="100"/>
        <v>EMSG:LINDSEY CHUKKIRIYANSTRACE:gw.job.QuoteProcess.requestQuote(QuoteProcess.gs:XXXSTRACERAW:-</v>
      </c>
      <c r="D3217" s="3">
        <f t="shared" si="101"/>
        <v>1</v>
      </c>
    </row>
    <row r="3218" spans="1:4" x14ac:dyDescent="0.35">
      <c r="A3218" t="s">
        <v>3286</v>
      </c>
      <c r="B3218">
        <v>1</v>
      </c>
      <c r="C3218" t="str">
        <f t="shared" si="100"/>
        <v>EMSG:LUW Policy Change Job XXX: Cannot traverse in window modeSTRACE:gw.acc.luw.LUWExceptionHelper.processException(LUWExceptionHelper.gs:XXXSTRACERAW:-</v>
      </c>
      <c r="D3218" s="3">
        <f t="shared" si="101"/>
        <v>1</v>
      </c>
    </row>
    <row r="3219" spans="1:4" ht="72.5" x14ac:dyDescent="0.35">
      <c r="A3219" s="4" t="s">
        <v>3287</v>
      </c>
      <c r="B3219">
        <v>1</v>
      </c>
      <c r="C3219" t="str">
        <f t="shared" si="100"/>
        <v>EMSG:LUW Policy Change Job XXX: Effective ranges overlap for DiscountDetail_Ext with BranchID XXX and with FixedID XXXSTRACE:Feb XXX XXX:XXX:XXX PST XXX
Effective ranges overlap for DiscountDetail_Ext with BranchID XXX and with FixedID XXX: Fri Feb XXX XX</v>
      </c>
      <c r="D3219" s="3">
        <f t="shared" si="101"/>
        <v>1</v>
      </c>
    </row>
    <row r="3220" spans="1:4" x14ac:dyDescent="0.35">
      <c r="A3220" t="s">
        <v>3288</v>
      </c>
      <c r="B3220">
        <v>1</v>
      </c>
      <c r="C3220" t="str">
        <f t="shared" si="100"/>
        <v>EMSG:Laura FernandezSTRACE:com.farmers.config.pa.validator.BrightlineValidator.validateQuoteBrightlineRules(BrightlineValidator.gs:XXXSTRACERAW:-</v>
      </c>
      <c r="D3220" s="3">
        <f t="shared" si="101"/>
        <v>1</v>
      </c>
    </row>
    <row r="3221" spans="1:4" x14ac:dyDescent="0.35">
      <c r="A3221" t="s">
        <v>3289</v>
      </c>
      <c r="B3221">
        <v>1</v>
      </c>
      <c r="C3221" t="str">
        <f t="shared" si="100"/>
        <v>EMSG:MARYRYAN DEVERSTRACE:com.farmers.config.pa.validator.BrightlineValidator.validateQuoteBrightlineRules(BrightlineValidator.gs:XXXSTRACERAW:-</v>
      </c>
      <c r="D3221" s="3">
        <f t="shared" si="101"/>
        <v>1</v>
      </c>
    </row>
    <row r="3222" spans="1:4" x14ac:dyDescent="0.35">
      <c r="A3222" t="s">
        <v>3290</v>
      </c>
      <c r="B3222">
        <v>1</v>
      </c>
      <c r="C3222" t="str">
        <f t="shared" si="100"/>
        <v>EMSG:MARYRYAN DEVERSTRACE:gw.job.QuoteProcess.requestQuote(QuoteProcess.gs:XXXSTRACERAW:-</v>
      </c>
      <c r="D3222" s="3">
        <f t="shared" si="101"/>
        <v>1</v>
      </c>
    </row>
    <row r="3223" spans="1:4" x14ac:dyDescent="0.35">
      <c r="A3223" t="s">
        <v>3291</v>
      </c>
      <c r="B3223">
        <v>1</v>
      </c>
      <c r="C3223" t="str">
        <f t="shared" si="100"/>
        <v>EMSG:MVR APP ERROR: WV-LEXISNEXIS REJECT:LAST NAME INVALID OR MISSING for unit GXXXWVMVR APP ERROR: WV-LEXISNEXIS REJECT:LAST NAME INVALID OR MISSING for unit GXXXWVSTRACE:com.farmers.config.common.mvr.MVRProcess.createCacheFromResponse(MVRProcess.gs:XXXS</v>
      </c>
      <c r="D3223" s="3">
        <f t="shared" si="101"/>
        <v>1</v>
      </c>
    </row>
    <row r="3224" spans="1:4" x14ac:dyDescent="0.35">
      <c r="A3224" t="s">
        <v>3292</v>
      </c>
      <c r="B3224">
        <v>1</v>
      </c>
      <c r="C3224" t="str">
        <f t="shared" si="100"/>
        <v>EMSG:MVR APP ERROR: WV-LEXISNEXIS REJECT:LAST NAME INVALID OR MISSING for unit GXXXWVSTRACE:com.farmers.config.common.mvr.MVRProcess.createCacheFromResponse(MVRProcess.gs:XXXSTRACERAW:-</v>
      </c>
      <c r="D3224" s="3">
        <f t="shared" si="101"/>
        <v>1</v>
      </c>
    </row>
    <row r="3225" spans="1:4" x14ac:dyDescent="0.35">
      <c r="A3225" t="s">
        <v>3293</v>
      </c>
      <c r="B3225">
        <v>1</v>
      </c>
      <c r="C3225" t="str">
        <f t="shared" si="100"/>
        <v>EMSG:MVR Ordering Failed! - [java.lang.RuntimeException: javax.net.ssl.SSLException: Couldn't kickstart handshaking]STRACE:com.farmers.config.common.mvr.MVRProcess.orderMVR(MVRProcess.gs:XXXSTRACERAW:-</v>
      </c>
      <c r="D3225" s="3">
        <f t="shared" si="101"/>
        <v>1</v>
      </c>
    </row>
    <row r="3226" spans="1:4" x14ac:dyDescent="0.35">
      <c r="A3226" t="s">
        <v>3294</v>
      </c>
      <c r="B3226">
        <v>1</v>
      </c>
      <c r="C3226" t="str">
        <f t="shared" si="100"/>
        <v>EMSG:Mark TrudellSTRACE:com.farmers.config.pa.validator.BrightlineValidator.validateQuoteBrightlineRules(BrightlineValidator.gs:XXXSTRACERAW:-</v>
      </c>
      <c r="D3226" s="3">
        <f t="shared" si="101"/>
        <v>1</v>
      </c>
    </row>
    <row r="3227" spans="1:4" x14ac:dyDescent="0.35">
      <c r="A3227" t="s">
        <v>3295</v>
      </c>
      <c r="B3227">
        <v>1</v>
      </c>
      <c r="C3227" t="str">
        <f t="shared" si="100"/>
        <v>EMSG:Mark TrudellSTRACE:gw.job.QuoteProcess.requestQuote(QuoteProcess.gs:XXXSTRACERAW:-</v>
      </c>
      <c r="D3227" s="3">
        <f t="shared" si="101"/>
        <v>1</v>
      </c>
    </row>
    <row r="3228" spans="1:4" x14ac:dyDescent="0.35">
      <c r="A3228" t="s">
        <v>3296</v>
      </c>
      <c r="B3228">
        <v>1</v>
      </c>
      <c r="C3228" t="str">
        <f t="shared" si="100"/>
        <v>EMSG:Mayada BegumSTRACE:com.farmers.config.pa.validator.BrightlineValidator.validateQuoteBrightlineRules(BrightlineValidator.gs:XXXSTRACERAW:-</v>
      </c>
      <c r="D3228" s="3">
        <f t="shared" si="101"/>
        <v>1</v>
      </c>
    </row>
    <row r="3229" spans="1:4" x14ac:dyDescent="0.35">
      <c r="A3229" t="s">
        <v>3297</v>
      </c>
      <c r="B3229">
        <v>1</v>
      </c>
      <c r="C3229" t="str">
        <f t="shared" si="100"/>
        <v>EMSG:Merida SolumSTRACE:com.farmers.config.pa.validator.BrightlineValidator.validateQuoteBrightlineRules(BrightlineValidator.gs:XXXSTRACERAW:-</v>
      </c>
      <c r="D3229" s="3">
        <f t="shared" si="101"/>
        <v>1</v>
      </c>
    </row>
    <row r="3230" spans="1:4" x14ac:dyDescent="0.35">
      <c r="A3230" t="s">
        <v>3298</v>
      </c>
      <c r="B3230">
        <v>1</v>
      </c>
      <c r="C3230" t="str">
        <f t="shared" si="100"/>
        <v>EMSG:Millie MarlattSTRACE:com.farmers.config.pa.validator.BrightlineValidator.validateQuoteBrightlineRules(BrightlineValidator.gs:XXXSTRACERAW:-</v>
      </c>
      <c r="D3230" s="3">
        <f t="shared" si="101"/>
        <v>1</v>
      </c>
    </row>
    <row r="3231" spans="1:4" x14ac:dyDescent="0.35">
      <c r="A3231" t="s">
        <v>3299</v>
      </c>
      <c r="B3231">
        <v>1</v>
      </c>
      <c r="C3231" t="str">
        <f t="shared" si="100"/>
        <v>EMSG:Millie MarlattSTRACE:gw.job.QuoteProcess.requestQuote(QuoteProcess.gs:XXXSTRACERAW:-</v>
      </c>
      <c r="D3231" s="3">
        <f t="shared" si="101"/>
        <v>1</v>
      </c>
    </row>
    <row r="3232" spans="1:4" x14ac:dyDescent="0.35">
      <c r="A3232" t="s">
        <v>3300</v>
      </c>
      <c r="B3232">
        <v>1</v>
      </c>
      <c r="C3232" t="str">
        <f t="shared" si="100"/>
        <v>EMSG:One or more null constraint violations detected for MessageSTRACE:deployment.pc.war//com.guidewire.pl.system.database.entitywriter.DatabaseEntityWriterImpl.checkForNullConstraintViolation(DatabaseEntityWriterImpl.java:XXXSTRACERAW:-</v>
      </c>
      <c r="D3232" s="3">
        <f t="shared" si="101"/>
        <v>1</v>
      </c>
    </row>
    <row r="3233" spans="1:4" x14ac:dyDescent="0.35">
      <c r="A3233" t="s">
        <v>3301</v>
      </c>
      <c r="B3233">
        <v>1</v>
      </c>
      <c r="C3233" t="str">
        <f t="shared" si="100"/>
        <v>EMSG:PAMELA HUBERSTRACE:com.farmers.config.pa.validator.BrightlineValidator.validateQuoteBrightlineRules(BrightlineValidator.gs:XXXSTRACERAW:-</v>
      </c>
      <c r="D3233" s="3">
        <f t="shared" si="101"/>
        <v>1</v>
      </c>
    </row>
    <row r="3234" spans="1:4" x14ac:dyDescent="0.35">
      <c r="A3234" t="s">
        <v>3302</v>
      </c>
      <c r="B3234">
        <v>1</v>
      </c>
      <c r="C3234" t="str">
        <f t="shared" si="100"/>
        <v>EMSG:PAMELA HUBERSTRACE:gw.job.QuoteProcess.requestQuote(QuoteProcess.gs:XXXSTRACERAW:-</v>
      </c>
      <c r="D3234" s="3">
        <f t="shared" si="101"/>
        <v>1</v>
      </c>
    </row>
    <row r="3235" spans="1:4" x14ac:dyDescent="0.35">
      <c r="A3235" t="s">
        <v>3303</v>
      </c>
      <c r="B3235">
        <v>1</v>
      </c>
      <c r="C3235" t="str">
        <f t="shared" si="100"/>
        <v>EMSG:PHILLIP USHERSTRACE:com.farmers.config.pa.validator.BrightlineValidator.validateQuoteBrightlineRules(BrightlineValidator.gs:XXXSTRACERAW:-</v>
      </c>
      <c r="D3235" s="3">
        <f t="shared" si="101"/>
        <v>1</v>
      </c>
    </row>
    <row r="3236" spans="1:4" x14ac:dyDescent="0.35">
      <c r="A3236" t="s">
        <v>3304</v>
      </c>
      <c r="B3236">
        <v>1</v>
      </c>
      <c r="C3236" t="str">
        <f t="shared" si="100"/>
        <v>EMSG:PHILLIP USHERSTRACE:gw.job.QuoteProcess.requestQuote(QuoteProcess.gs:XXXSTRACERAW:-</v>
      </c>
      <c r="D3236" s="3">
        <f t="shared" si="101"/>
        <v>1</v>
      </c>
    </row>
    <row r="3237" spans="1:4" x14ac:dyDescent="0.35">
      <c r="A3237" t="s">
        <v>950</v>
      </c>
      <c r="B3237">
        <v>1</v>
      </c>
      <c r="C3237" t="str">
        <f t="shared" si="100"/>
        <v>EMSG:Personal Auto Line: UM/UIM - Property Damage is required and must be added. XXXSTRACE:-STRACERAW:</v>
      </c>
      <c r="D3237" s="3">
        <f t="shared" si="101"/>
        <v>1</v>
      </c>
    </row>
    <row r="3238" spans="1:4" x14ac:dyDescent="0.35">
      <c r="A3238" t="s">
        <v>1113</v>
      </c>
      <c r="B3238">
        <v>1</v>
      </c>
      <c r="C3238" t="str">
        <f t="shared" si="100"/>
        <v>EMSG:PolicyNumber Mismatch With Existing ClaimSTRACE:com.farmers.integ.claims.cltf.validator.ClaimValidator.checkForPolicyData(ClaimValidator.gs:XXXSTRACERAW:-</v>
      </c>
      <c r="D3238" s="3">
        <f t="shared" si="101"/>
        <v>1</v>
      </c>
    </row>
    <row r="3239" spans="1:4" x14ac:dyDescent="0.35">
      <c r="A3239" t="s">
        <v>3305</v>
      </c>
      <c r="B3239">
        <v>1</v>
      </c>
      <c r="C3239" t="str">
        <f t="shared" si="100"/>
        <v>EMSG:Question Is there a pool located on the premises? already has an answer definedSTRACE:deployment.pc.war//com.guidewire.pc.domain.question.impl.AnswerContainerImpl.createAnswer(AnswerContainerImpl.java:XXXSTRACERAW:-</v>
      </c>
      <c r="D3239" s="3">
        <f t="shared" si="101"/>
        <v>1</v>
      </c>
    </row>
    <row r="3240" spans="1:4" x14ac:dyDescent="0.35">
      <c r="A3240" t="s">
        <v>3306</v>
      </c>
      <c r="B3240">
        <v>1</v>
      </c>
      <c r="C3240" t="str">
        <f t="shared" si="100"/>
        <v>EMSG:Quote cannot be provided due to security alert message.Â  To proceed with this quoteSTRACE:com.farmers.integ.multireport.helper.ThirdPartyReportExperienceAPIHelper.handleFraudAlertForQuotesFromOtherSources(ThirdPartyReportExperienceAPIHelper.gs:XXXST</v>
      </c>
      <c r="D3240" s="3">
        <f t="shared" si="101"/>
        <v>1</v>
      </c>
    </row>
    <row r="3241" spans="1:4" x14ac:dyDescent="0.35">
      <c r="A3241" t="s">
        <v>1032</v>
      </c>
      <c r="B3241">
        <v>1</v>
      </c>
      <c r="C3241" t="str">
        <f t="shared" si="100"/>
        <v>EMSG:QuoteId not foundSTRACE:edge.capabilities.quote.submission.GatewayQuoteHandler.verifyRate(GatewayQuoteHandler.gs:XXXSTRACERAW:-</v>
      </c>
      <c r="D3241" s="3">
        <f t="shared" si="101"/>
        <v>1</v>
      </c>
    </row>
    <row r="3242" spans="1:4" x14ac:dyDescent="0.35">
      <c r="A3242" t="s">
        <v>3307</v>
      </c>
      <c r="B3242">
        <v>1</v>
      </c>
      <c r="C3242" t="str">
        <f t="shared" si="100"/>
        <v>EMSG:ROBIN ISLAMSTRACE:com.farmers.config.pa.validator.BrightlineValidator.validateQuoteBrightlineRules(BrightlineValidator.gs:XXXSTRACERAW:-</v>
      </c>
      <c r="D3242" s="3">
        <f t="shared" si="101"/>
        <v>1</v>
      </c>
    </row>
    <row r="3243" spans="1:4" x14ac:dyDescent="0.35">
      <c r="A3243" t="s">
        <v>3308</v>
      </c>
      <c r="B3243">
        <v>1</v>
      </c>
      <c r="C3243" t="str">
        <f t="shared" si="100"/>
        <v>EMSG:ROGER PARKERSTRACE:com.farmers.config.pa.validator.BrightlineValidator.validateQuoteBrightlineRules(BrightlineValidator.gs:XXXSTRACERAW:-</v>
      </c>
      <c r="D3243" s="3">
        <f t="shared" si="101"/>
        <v>1</v>
      </c>
    </row>
    <row r="3244" spans="1:4" x14ac:dyDescent="0.35">
      <c r="A3244" t="s">
        <v>3309</v>
      </c>
      <c r="B3244">
        <v>1</v>
      </c>
      <c r="C3244" t="str">
        <f t="shared" si="100"/>
        <v>EMSG:RONNIE MATTHEWSSTRACE:com.farmers.config.pa.validator.BrightlineValidator.validateQuoteBrightlineRules(BrightlineValidator.gs:XXXSTRACERAW:-</v>
      </c>
      <c r="D3244" s="3">
        <f t="shared" si="101"/>
        <v>1</v>
      </c>
    </row>
    <row r="3245" spans="1:4" x14ac:dyDescent="0.35">
      <c r="A3245" t="s">
        <v>3310</v>
      </c>
      <c r="B3245">
        <v>1</v>
      </c>
      <c r="C3245" t="str">
        <f t="shared" si="100"/>
        <v>EMSG:RONNIE MATTHEWSSTRACE:gw.job.QuoteProcess.requestQuote(QuoteProcess.gs:XXXSTRACERAW:-</v>
      </c>
      <c r="D3245" s="3">
        <f t="shared" si="101"/>
        <v>1</v>
      </c>
    </row>
    <row r="3246" spans="1:4" x14ac:dyDescent="0.35">
      <c r="A3246" t="s">
        <v>3311</v>
      </c>
      <c r="B3246">
        <v>1</v>
      </c>
      <c r="C3246" t="str">
        <f t="shared" si="100"/>
        <v>EMSG:Re-enter "License #". Duplicate License Number entered for the following Drivers Efrain TrevinoSTRACE:edge.capabilities.quote.submission.quoting.util.SubmissionUnderwritingIssuesUtil.checkVerifyRateExceptions(SubmissionUnderwritingIssuesUtil.gs:XXXST</v>
      </c>
      <c r="D3246" s="3">
        <f t="shared" si="101"/>
        <v>1</v>
      </c>
    </row>
    <row r="3247" spans="1:4" x14ac:dyDescent="0.35">
      <c r="A3247" t="s">
        <v>3312</v>
      </c>
      <c r="B3247">
        <v>1</v>
      </c>
      <c r="C3247" t="str">
        <f t="shared" si="100"/>
        <v>EMSG:Re-enter "License #". Duplicate License Number entered for the following Drivers Jay LAYCOB IISTRACE:edge.capabilities.quote.submission.quoting.util.SubmissionUnderwritingIssuesUtil.checkVerifyRateExceptions(SubmissionUnderwritingIssuesUtil.gs:XXXSTR</v>
      </c>
      <c r="D3247" s="3">
        <f t="shared" si="101"/>
        <v>1</v>
      </c>
    </row>
    <row r="3248" spans="1:4" x14ac:dyDescent="0.35">
      <c r="A3248" t="s">
        <v>3313</v>
      </c>
      <c r="B3248">
        <v>1</v>
      </c>
      <c r="C3248" t="str">
        <f t="shared" si="100"/>
        <v>EMSG:Remove Kory Phanthavong in order to add the contact as a driverSTRACE:edge.capabilities.policychange.lob.personalauto.coverables.DefaultPaCoverablePlugin.updateCoverables(DefaultPaCoverablePlugin.gs:XXXSTRACERAW:-</v>
      </c>
      <c r="D3248" s="3">
        <f t="shared" si="101"/>
        <v>1</v>
      </c>
    </row>
    <row r="3249" spans="1:4" x14ac:dyDescent="0.35">
      <c r="A3249" t="s">
        <v>3314</v>
      </c>
      <c r="B3249">
        <v>1</v>
      </c>
      <c r="C3249" t="str">
        <f t="shared" si="100"/>
        <v>EMSG:Remove Tristyn Jansen in order to add the contact as a driverSTRACE:edge.capabilities.policychange.lob.personalauto.coverables.DefaultPaCoverablePlugin.updateCoverables(DefaultPaCoverablePlugin.gs:XXXSTRACERAW:-</v>
      </c>
      <c r="D3249" s="3">
        <f t="shared" si="101"/>
        <v>1</v>
      </c>
    </row>
    <row r="3250" spans="1:4" x14ac:dyDescent="0.35">
      <c r="A3250" t="s">
        <v>3315</v>
      </c>
      <c r="B3250">
        <v>1</v>
      </c>
      <c r="C3250" t="str">
        <f t="shared" si="100"/>
        <v>EMSG:Remove duplicate driver Austin Gore. Two or more drivers with the same information exist.STRACE:edge.capabilities.policychange.lob.personalauto.coverables.DefaultPaCoverablePlugin.updateCoverables(DefaultPaCoverablePlugin.gs:XXXSTRACERAW:-</v>
      </c>
      <c r="D3250" s="3">
        <f t="shared" si="101"/>
        <v>1</v>
      </c>
    </row>
    <row r="3251" spans="1:4" x14ac:dyDescent="0.35">
      <c r="A3251" t="s">
        <v>3316</v>
      </c>
      <c r="B3251">
        <v>1</v>
      </c>
      <c r="C3251" t="str">
        <f t="shared" si="100"/>
        <v>EMSG:Remove duplicate driver Darlyn Gillespie. Two or more drivers with the same information exist.STRACE:edge.capabilities.policychange.lob.personalauto.coverables.DefaultPaCoverablePlugin.updateCoverables(DefaultPaCoverablePlugin.gs:XXXSTRACERAW:-</v>
      </c>
      <c r="D3251" s="3">
        <f t="shared" si="101"/>
        <v>1</v>
      </c>
    </row>
    <row r="3252" spans="1:4" x14ac:dyDescent="0.35">
      <c r="A3252" t="s">
        <v>3317</v>
      </c>
      <c r="B3252">
        <v>1</v>
      </c>
      <c r="C3252" t="str">
        <f t="shared" si="100"/>
        <v>EMSG:Remove duplicate driver Joon Bum Lee. Two or more non-drivers with the same information exist.STRACE:edge.capabilities.policychange.lob.personalauto.coverables.DefaultPaCoverablePlugin.updateCoverables(DefaultPaCoverablePlugin.gs:XXXSTRACERAW:-</v>
      </c>
      <c r="D3252" s="3">
        <f t="shared" si="101"/>
        <v>1</v>
      </c>
    </row>
    <row r="3253" spans="1:4" x14ac:dyDescent="0.35">
      <c r="A3253" t="s">
        <v>3318</v>
      </c>
      <c r="B3253">
        <v>1</v>
      </c>
      <c r="C3253" t="str">
        <f t="shared" si="100"/>
        <v>EMSG:Remove duplicate driver Richard Jerome De Guzman. Two or more non-drivers with the same information exist.STRACE:edge.capabilities.policychange.lob.personalauto.coverables.DefaultPaCoverablePlugin.updateCoverables(DefaultPaCoverablePlugin.gs:XXXSTRAC</v>
      </c>
      <c r="D3253" s="3">
        <f t="shared" si="101"/>
        <v>1</v>
      </c>
    </row>
    <row r="3254" spans="1:4" x14ac:dyDescent="0.35">
      <c r="A3254" t="s">
        <v>3319</v>
      </c>
      <c r="B3254">
        <v>1</v>
      </c>
      <c r="C3254" t="str">
        <f t="shared" si="100"/>
        <v>EMSG:Revise the effective date of change. Policy changes must be effective prior to the policy cancellation date.STRACE:gw.web.policyfile.PolicyFileMenuActionsUIHelper.validateChangeEffectiveDate(PolicyFileMenuActionsUIHelper.gs:XXXSTRACERAW:-</v>
      </c>
      <c r="D3254" s="3">
        <f t="shared" si="101"/>
        <v>1</v>
      </c>
    </row>
    <row r="3255" spans="1:4" x14ac:dyDescent="0.35">
      <c r="A3255" t="s">
        <v>3320</v>
      </c>
      <c r="B3255">
        <v>1</v>
      </c>
      <c r="C3255" t="str">
        <f t="shared" si="100"/>
        <v>EMSG:Rhiannon RileySTRACE:com.farmers.config.pa.validator.BrightlineValidator.validateQuoteBrightlineRules(BrightlineValidator.gs:XXXSTRACERAW:-</v>
      </c>
      <c r="D3255" s="3">
        <f t="shared" si="101"/>
        <v>1</v>
      </c>
    </row>
    <row r="3256" spans="1:4" x14ac:dyDescent="0.35">
      <c r="A3256" t="s">
        <v>3321</v>
      </c>
      <c r="B3256">
        <v>1</v>
      </c>
      <c r="C3256" t="str">
        <f t="shared" si="100"/>
        <v>EMSG:Rhiannon RileySTRACE:gw.job.QuoteProcess.requestQuote(QuoteProcess.gs:XXXSTRACERAW:-</v>
      </c>
      <c r="D3256" s="3">
        <f t="shared" si="101"/>
        <v>1</v>
      </c>
    </row>
    <row r="3257" spans="1:4" x14ac:dyDescent="0.35">
      <c r="A3257" t="s">
        <v>3322</v>
      </c>
      <c r="B3257">
        <v>1</v>
      </c>
      <c r="C3257" t="str">
        <f t="shared" si="100"/>
        <v>EMSG:Robert DominguezSTRACE:com.farmers.config.pa.validator.BrightlineValidator.validateQuoteBrightlineRules(BrightlineValidator.gs:XXXSTRACERAW:-</v>
      </c>
      <c r="D3257" s="3">
        <f t="shared" si="101"/>
        <v>1</v>
      </c>
    </row>
    <row r="3258" spans="1:4" x14ac:dyDescent="0.35">
      <c r="A3258" t="s">
        <v>3323</v>
      </c>
      <c r="B3258">
        <v>1</v>
      </c>
      <c r="C3258" t="str">
        <f t="shared" si="100"/>
        <v>EMSG:Robert DominguezSTRACE:gw.job.QuoteProcess.requestQuote(QuoteProcess.gs:XXXSTRACERAW:-</v>
      </c>
      <c r="D3258" s="3">
        <f t="shared" si="101"/>
        <v>1</v>
      </c>
    </row>
    <row r="3259" spans="1:4" x14ac:dyDescent="0.35">
      <c r="A3259" t="s">
        <v>3324</v>
      </c>
      <c r="B3259">
        <v>1</v>
      </c>
      <c r="C3259" t="str">
        <f t="shared" si="100"/>
        <v>EMSG:Roy ShueSTRACE:com.farmers.config.pa.validator.BrightlineValidator.validateQuoteBrightlineRules(BrightlineValidator.gs:XXXSTRACERAW:-</v>
      </c>
      <c r="D3259" s="3">
        <f t="shared" si="101"/>
        <v>1</v>
      </c>
    </row>
    <row r="3260" spans="1:4" x14ac:dyDescent="0.35">
      <c r="A3260" t="s">
        <v>3325</v>
      </c>
      <c r="B3260">
        <v>1</v>
      </c>
      <c r="C3260" t="str">
        <f t="shared" si="100"/>
        <v>EMSG:Roy ShueSTRACE:gw.job.QuoteProcess.requestQuote(QuoteProcess.gs:XXXSTRACERAW:-</v>
      </c>
      <c r="D3260" s="3">
        <f t="shared" si="101"/>
        <v>1</v>
      </c>
    </row>
    <row r="3261" spans="1:4" x14ac:dyDescent="0.35">
      <c r="A3261" t="s">
        <v>3326</v>
      </c>
      <c r="B3261">
        <v>1</v>
      </c>
      <c r="C3261" t="str">
        <f t="shared" si="100"/>
        <v>EMSG:SABRINA LUGOSTRACE:com.farmers.config.pa.validator.BrightlineValidator.validateQuoteBrightlineRules(BrightlineValidator.gs:XXXSTRACERAW:-</v>
      </c>
      <c r="D3261" s="3">
        <f t="shared" si="101"/>
        <v>1</v>
      </c>
    </row>
    <row r="3262" spans="1:4" x14ac:dyDescent="0.35">
      <c r="A3262" t="s">
        <v>3327</v>
      </c>
      <c r="B3262">
        <v>1</v>
      </c>
      <c r="C3262" t="str">
        <f t="shared" si="100"/>
        <v>EMSG:SABRINA LUGOSTRACE:gw.job.QuoteProcess.requestQuote(QuoteProcess.gs:XXXSTRACERAW:-</v>
      </c>
      <c r="D3262" s="3">
        <f t="shared" si="101"/>
        <v>1</v>
      </c>
    </row>
    <row r="3263" spans="1:4" x14ac:dyDescent="0.35">
      <c r="A3263" t="s">
        <v>3328</v>
      </c>
      <c r="B3263">
        <v>1</v>
      </c>
      <c r="C3263" t="str">
        <f t="shared" si="100"/>
        <v>EMSG:SUSAN BLAKESTRACE:com.farmers.config.pa.validator.BrightlineValidator.validateQuoteBrightlineRules(BrightlineValidator.gs:XXXSTRACERAW:-</v>
      </c>
      <c r="D3263" s="3">
        <f t="shared" si="101"/>
        <v>1</v>
      </c>
    </row>
    <row r="3264" spans="1:4" x14ac:dyDescent="0.35">
      <c r="A3264" t="s">
        <v>3329</v>
      </c>
      <c r="B3264">
        <v>1</v>
      </c>
      <c r="C3264" t="str">
        <f t="shared" si="100"/>
        <v>EMSG:SUSAN BLAKESTRACE:gw.job.QuoteProcess.requestQuote(QuoteProcess.gs:XXXSTRACERAW:-</v>
      </c>
      <c r="D3264" s="3">
        <f t="shared" si="101"/>
        <v>1</v>
      </c>
    </row>
    <row r="3265" spans="1:4" x14ac:dyDescent="0.35">
      <c r="A3265" t="s">
        <v>3330</v>
      </c>
      <c r="B3265">
        <v>1</v>
      </c>
      <c r="C3265" t="str">
        <f t="shared" si="100"/>
        <v>EMSG:Susan CohenSTRACE:com.farmers.config.pa.validator.BrightlineValidator.validateQuoteBrightlineRules(BrightlineValidator.gs:XXXSTRACERAW:-</v>
      </c>
      <c r="D3265" s="3">
        <f t="shared" si="101"/>
        <v>1</v>
      </c>
    </row>
    <row r="3266" spans="1:4" x14ac:dyDescent="0.35">
      <c r="A3266" t="s">
        <v>3331</v>
      </c>
      <c r="B3266">
        <v>1</v>
      </c>
      <c r="C3266" t="str">
        <f t="shared" si="100"/>
        <v>EMSG:TAKYRAH BARNESSTRACE:com.farmers.config.pa.validator.BrightlineValidator.validateQuoteBrightlineRules(BrightlineValidator.gs:XXXSTRACERAW:-</v>
      </c>
      <c r="D3266" s="3">
        <f t="shared" si="101"/>
        <v>1</v>
      </c>
    </row>
    <row r="3267" spans="1:4" x14ac:dyDescent="0.35">
      <c r="A3267" t="s">
        <v>3332</v>
      </c>
      <c r="B3267">
        <v>1</v>
      </c>
      <c r="C3267" t="str">
        <f t="shared" ref="C3267:C3330" si="102">LEFT(A3267,255)</f>
        <v>EMSG:TAKYRAH BARNESSTRACE:gw.job.QuoteProcess.requestQuote(QuoteProcess.gs:XXXSTRACERAW:-</v>
      </c>
      <c r="D3267" s="3">
        <f t="shared" ref="D3267:D3330" si="103">IF(AND((B3267/10)&lt;1,(B3267/10)&gt;0),1,(B3267/10)*130%)</f>
        <v>1</v>
      </c>
    </row>
    <row r="3268" spans="1:4" x14ac:dyDescent="0.35">
      <c r="A3268" t="s">
        <v>3333</v>
      </c>
      <c r="B3268">
        <v>1</v>
      </c>
      <c r="C3268" t="str">
        <f t="shared" si="102"/>
        <v>EMSG:Taylor SettlesSTRACE:com.farmers.config.pa.validator.BrightlineValidator.validateQuoteBrightlineRules(BrightlineValidator.gs:XXXSTRACERAW:-</v>
      </c>
      <c r="D3268" s="3">
        <f t="shared" si="103"/>
        <v>1</v>
      </c>
    </row>
    <row r="3269" spans="1:4" x14ac:dyDescent="0.35">
      <c r="A3269" t="s">
        <v>3334</v>
      </c>
      <c r="B3269">
        <v>1</v>
      </c>
      <c r="C3269" t="str">
        <f t="shared" si="102"/>
        <v>EMSG:Taylor SettlesSTRACE:gw.job.QuoteProcess.requestQuote(QuoteProcess.gs:XXXSTRACERAW:-</v>
      </c>
      <c r="D3269" s="3">
        <f t="shared" si="103"/>
        <v>1</v>
      </c>
    </row>
    <row r="3270" spans="1:4" ht="29" x14ac:dyDescent="0.35">
      <c r="A3270" s="4" t="s">
        <v>3335</v>
      </c>
      <c r="B3270">
        <v>1</v>
      </c>
      <c r="C3270" t="str">
        <f t="shared" si="102"/>
        <v>EMSG:The object you are trying to update was XXXSTRACE:at XXX/XXX/XXX XXX:XXX AM. Please cancel and retry your change.
	at edge.capabilities.quote.submission.GatewayQuoteHandler.handleOrThrowException(GatewayQuoteHandler.gs:XXXSTRACERAW:-</v>
      </c>
      <c r="D3270" s="3">
        <f t="shared" si="103"/>
        <v>1</v>
      </c>
    </row>
    <row r="3271" spans="1:4" x14ac:dyDescent="0.35">
      <c r="A3271" t="s">
        <v>3336</v>
      </c>
      <c r="B3271">
        <v>1</v>
      </c>
      <c r="C3271" t="str">
        <f t="shared" si="102"/>
        <v>EMSG:The value "&lt;?xml version="XXX.XXX" encoding="UTFXXX" standalone="no"?&gt;&lt;tns:Result xmlns:tns="urn:lnrisk:ws:wsinsurancerules:ruleplan@ver=XXX"&gt;&lt;tns:PolicyNumber&gt;XXX&lt;/tns:PolicyNumber&gt;&lt;tns:MVRReport&gt;&lt;tns:ProcessingInfo&gt;&lt;tns:OrderID&gt;XXXZNJTXXX&lt;/tns:Orde</v>
      </c>
      <c r="D3271" s="3">
        <f t="shared" si="103"/>
        <v>1</v>
      </c>
    </row>
    <row r="3272" spans="1:4" x14ac:dyDescent="0.35">
      <c r="A3272" t="s">
        <v>3337</v>
      </c>
      <c r="B3272">
        <v>1</v>
      </c>
      <c r="C3272" t="str">
        <f t="shared" si="102"/>
        <v>EMSG:The value "ARTHUR L. COLLEY AND SHIRLEY R. COLLEYSTRACE:deployment.pc.war//gw.datatype.impl.StringConstraintsHandlerBase.validateStringLength(StringConstraintsHandlerBase.java:XXXSTRACERAW:-</v>
      </c>
      <c r="D3272" s="3">
        <f t="shared" si="103"/>
        <v>1</v>
      </c>
    </row>
    <row r="3273" spans="1:4" x14ac:dyDescent="0.35">
      <c r="A3273" t="s">
        <v>3338</v>
      </c>
      <c r="B3273">
        <v>1</v>
      </c>
      <c r="C3273" t="str">
        <f t="shared" si="102"/>
        <v>EMSG:The value "BERNARD F. ASHKAR AND MICHELE ASHKARSTRACE:deployment.pc.war//gw.datatype.impl.StringConstraintsHandlerBase.validateStringLength(StringConstraintsHandlerBase.java:XXXSTRACERAW:-</v>
      </c>
      <c r="D3273" s="3">
        <f t="shared" si="103"/>
        <v>1</v>
      </c>
    </row>
    <row r="3274" spans="1:4" x14ac:dyDescent="0.35">
      <c r="A3274" t="s">
        <v>3339</v>
      </c>
      <c r="B3274">
        <v>1</v>
      </c>
      <c r="C3274" t="str">
        <f t="shared" si="102"/>
        <v>EMSG:The value "BIJAN NEIMAN AND LILA NEIMANSTRACE:deployment.pc.war//gw.datatype.impl.StringConstraintsHandlerBase.validateStringLength(StringConstraintsHandlerBase.java:XXXSTRACERAW:-</v>
      </c>
      <c r="D3274" s="3">
        <f t="shared" si="103"/>
        <v>1</v>
      </c>
    </row>
    <row r="3275" spans="1:4" x14ac:dyDescent="0.35">
      <c r="A3275" t="s">
        <v>3340</v>
      </c>
      <c r="B3275">
        <v>1</v>
      </c>
      <c r="C3275" t="str">
        <f t="shared" si="102"/>
        <v>EMSG:The value "DON K ERSHIG AND IRENE P Y INGSTRACE:deployment.pc.war//gw.datatype.impl.StringConstraintsHandlerBase.validateStringLength(StringConstraintsHandlerBase.java:XXXSTRACERAW:-</v>
      </c>
      <c r="D3275" s="3">
        <f t="shared" si="103"/>
        <v>1</v>
      </c>
    </row>
    <row r="3276" spans="1:4" x14ac:dyDescent="0.35">
      <c r="A3276" t="s">
        <v>3341</v>
      </c>
      <c r="B3276">
        <v>1</v>
      </c>
      <c r="C3276" t="str">
        <f t="shared" si="102"/>
        <v>EMSG:The value "EVETTE TAYLOR MONACHINOSTRACE:deployment.pc.war//gw.datatype.impl.StringConstraintsHandlerBase.validateStringLength(StringConstraintsHandlerBase.java:XXXSTRACERAW:-</v>
      </c>
      <c r="D3276" s="3">
        <f t="shared" si="103"/>
        <v>1</v>
      </c>
    </row>
    <row r="3277" spans="1:4" x14ac:dyDescent="0.35">
      <c r="A3277" t="s">
        <v>3342</v>
      </c>
      <c r="B3277">
        <v>1</v>
      </c>
      <c r="C3277" t="str">
        <f t="shared" si="102"/>
        <v>EMSG:The value "JEFFREY L. LEVINSON AND JEANETTE F. LEVINSONSTRACE:deployment.pc.war//gw.datatype.impl.StringConstraintsHandlerBase.validateStringLength(StringConstraintsHandlerBase.java:XXXSTRACERAW:-</v>
      </c>
      <c r="D3277" s="3">
        <f t="shared" si="103"/>
        <v>1</v>
      </c>
    </row>
    <row r="3278" spans="1:4" x14ac:dyDescent="0.35">
      <c r="A3278" t="s">
        <v>3343</v>
      </c>
      <c r="B3278">
        <v>1</v>
      </c>
      <c r="C3278" t="str">
        <f t="shared" si="102"/>
        <v>EMSG:The value "JOHN BOZIK AND PATRICIA JOE BOZIK BOZIK LIVING TRUSTSTRACE:deployment.pc.war//gw.datatype.impl.StringConstraintsHandlerBase.validateStringLength(StringConstraintsHandlerBase.java:XXXSTRACERAW:-</v>
      </c>
      <c r="D3278" s="3">
        <f t="shared" si="103"/>
        <v>1</v>
      </c>
    </row>
    <row r="3279" spans="1:4" x14ac:dyDescent="0.35">
      <c r="A3279" t="s">
        <v>3344</v>
      </c>
      <c r="B3279">
        <v>1</v>
      </c>
      <c r="C3279" t="str">
        <f t="shared" si="102"/>
        <v>EMSG:The value "JON HOWESTRACE:deployment.pc.war//gw.datatype.impl.StringConstraintsHandlerBase.validateStringLength(StringConstraintsHandlerBase.java:XXXSTRACERAW:-</v>
      </c>
      <c r="D3279" s="3">
        <f t="shared" si="103"/>
        <v>1</v>
      </c>
    </row>
    <row r="3280" spans="1:4" x14ac:dyDescent="0.35">
      <c r="A3280" t="s">
        <v>3345</v>
      </c>
      <c r="B3280">
        <v>1</v>
      </c>
      <c r="C3280" t="str">
        <f t="shared" si="102"/>
        <v>EMSG:The value "LEONARD R BRIDGESSTRACE:deployment.pc.war//gw.datatype.impl.StringConstraintsHandlerBase.validateStringLength(StringConstraintsHandlerBase.java:XXXSTRACERAW:-</v>
      </c>
      <c r="D3280" s="3">
        <f t="shared" si="103"/>
        <v>1</v>
      </c>
    </row>
    <row r="3281" spans="1:4" x14ac:dyDescent="0.35">
      <c r="A3281" t="s">
        <v>3346</v>
      </c>
      <c r="B3281">
        <v>1</v>
      </c>
      <c r="C3281" t="str">
        <f t="shared" si="102"/>
        <v>EMSG:The value "LEONARD R. BRIDGESSTRACE:deployment.pc.war//gw.datatype.impl.StringConstraintsHandlerBase.validateStringLength(StringConstraintsHandlerBase.java:XXXSTRACERAW:-</v>
      </c>
      <c r="D3281" s="3">
        <f t="shared" si="103"/>
        <v>1</v>
      </c>
    </row>
    <row r="3282" spans="1:4" ht="43.5" x14ac:dyDescent="0.35">
      <c r="A3282" s="4" t="s">
        <v>3347</v>
      </c>
      <c r="B3282">
        <v>1</v>
      </c>
      <c r="C3282" t="str">
        <f t="shared" si="102"/>
        <v>EMSG:The value "LUW Policy Change Job XXX: The object you are trying to update was XXXSTRACE:XXX/XXX/XXX XXX:XXX AM. Please cancel and retry your change.
The object you are trying to update was 'Policy:CN:1951304809023348015201XXX - CN:1951304809023348015</v>
      </c>
      <c r="D3282" s="3">
        <f t="shared" si="103"/>
        <v>1</v>
      </c>
    </row>
    <row r="3283" spans="1:4" x14ac:dyDescent="0.35">
      <c r="A3283" t="s">
        <v>3348</v>
      </c>
      <c r="B3283">
        <v>1</v>
      </c>
      <c r="C3283" t="str">
        <f t="shared" si="102"/>
        <v>EMSG:The value "MARC A. BROWN AND DIANA A. BROWNSTRACE:deployment.pc.war//gw.datatype.impl.StringConstraintsHandlerBase.validateStringLength(StringConstraintsHandlerBase.java:XXXSTRACERAW:-</v>
      </c>
      <c r="D3283" s="3">
        <f t="shared" si="103"/>
        <v>1</v>
      </c>
    </row>
    <row r="3284" spans="1:4" x14ac:dyDescent="0.35">
      <c r="A3284" t="s">
        <v>3349</v>
      </c>
      <c r="B3284">
        <v>1</v>
      </c>
      <c r="C3284" t="str">
        <f t="shared" si="102"/>
        <v>EMSG:The value "MICKEY JIMERSON AND CAROLYN JIMERSON HW FIDUCIARY REAL ESTATE SERVICESSTRACE:deployment.pc.war//gw.datatype.impl.StringConstraintsHandlerBase.validateStringLength(StringConstraintsHandlerBase.java:XXXSTRACERAW:-</v>
      </c>
      <c r="D3284" s="3">
        <f t="shared" si="103"/>
        <v>1</v>
      </c>
    </row>
    <row r="3285" spans="1:4" x14ac:dyDescent="0.35">
      <c r="A3285" t="s">
        <v>3350</v>
      </c>
      <c r="B3285">
        <v>1</v>
      </c>
      <c r="C3285" t="str">
        <f t="shared" si="102"/>
        <v>EMSG:The value "NHAN KHAC NGUYEN AND AMY PHAN TRANSTRACE:deployment.pc.war//gw.datatype.impl.StringConstraintsHandlerBase.validateStringLength(StringConstraintsHandlerBase.java:XXXSTRACERAW:-</v>
      </c>
      <c r="D3285" s="3">
        <f t="shared" si="103"/>
        <v>1</v>
      </c>
    </row>
    <row r="3286" spans="1:4" x14ac:dyDescent="0.35">
      <c r="A3286" t="s">
        <v>3351</v>
      </c>
      <c r="B3286">
        <v>1</v>
      </c>
      <c r="C3286" t="str">
        <f t="shared" si="102"/>
        <v>EMSG:The value "PAUL ROMEY AND SHEILA GARCIASTRACE:deployment.pc.war//gw.datatype.impl.StringConstraintsHandlerBase.validateStringLength(StringConstraintsHandlerBase.java:XXXSTRACERAW:-</v>
      </c>
      <c r="D3286" s="3">
        <f t="shared" si="103"/>
        <v>1</v>
      </c>
    </row>
    <row r="3287" spans="1:4" x14ac:dyDescent="0.35">
      <c r="A3287" t="s">
        <v>3352</v>
      </c>
      <c r="B3287">
        <v>1</v>
      </c>
      <c r="C3287" t="str">
        <f t="shared" si="102"/>
        <v>EMSG:The value "PETER SEEGER AND NINA SCHUYLERSTRACE:deployment.pc.war//gw.datatype.impl.StringConstraintsHandlerBase.validateStringLength(StringConstraintsHandlerBase.java:XXXSTRACERAW:-</v>
      </c>
      <c r="D3287" s="3">
        <f t="shared" si="103"/>
        <v>1</v>
      </c>
    </row>
    <row r="3288" spans="1:4" x14ac:dyDescent="0.35">
      <c r="A3288" t="s">
        <v>3353</v>
      </c>
      <c r="B3288">
        <v>1</v>
      </c>
      <c r="C3288" t="str">
        <f t="shared" si="102"/>
        <v>EMSG:The value "PHI THAI AND HELEN PHANSTRACE:deployment.pc.war//gw.datatype.impl.StringConstraintsHandlerBase.validateStringLength(StringConstraintsHandlerBase.java:XXXSTRACERAW:-</v>
      </c>
      <c r="D3288" s="3">
        <f t="shared" si="103"/>
        <v>1</v>
      </c>
    </row>
    <row r="3289" spans="1:4" x14ac:dyDescent="0.35">
      <c r="A3289" t="s">
        <v>3354</v>
      </c>
      <c r="B3289">
        <v>1</v>
      </c>
      <c r="C3289" t="str">
        <f t="shared" si="102"/>
        <v>EMSG:The value "PIERRE A. TOWNS AND ANISA D. TOWNSSTRACE:deployment.pc.war//gw.datatype.impl.StringConstraintsHandlerBase.validateStringLength(StringConstraintsHandlerBase.java:XXXSTRACERAW:-</v>
      </c>
      <c r="D3289" s="3">
        <f t="shared" si="103"/>
        <v>1</v>
      </c>
    </row>
    <row r="3290" spans="1:4" x14ac:dyDescent="0.35">
      <c r="A3290" t="s">
        <v>3355</v>
      </c>
      <c r="B3290">
        <v>1</v>
      </c>
      <c r="C3290" t="str">
        <f t="shared" si="102"/>
        <v>EMSG:The value "RAMAN NAYARSTRACE:deployment.pc.war//gw.datatype.impl.StringConstraintsHandlerBase.validateStringLength(StringConstraintsHandlerBase.java:XXXSTRACERAW:-</v>
      </c>
      <c r="D3290" s="3">
        <f t="shared" si="103"/>
        <v>1</v>
      </c>
    </row>
    <row r="3291" spans="1:4" x14ac:dyDescent="0.35">
      <c r="A3291" t="s">
        <v>3356</v>
      </c>
      <c r="B3291">
        <v>1</v>
      </c>
      <c r="C3291" t="str">
        <f t="shared" si="102"/>
        <v>EMSG:The value "TAI CHIU WONG AND POLLY LEUNGSTRACE:deployment.pc.war//gw.datatype.impl.StringConstraintsHandlerBase.validateStringLength(StringConstraintsHandlerBase.java:XXXSTRACERAW:-</v>
      </c>
      <c r="D3291" s="3">
        <f t="shared" si="103"/>
        <v>1</v>
      </c>
    </row>
    <row r="3292" spans="1:4" x14ac:dyDescent="0.35">
      <c r="A3292" t="s">
        <v>3357</v>
      </c>
      <c r="B3292">
        <v>1</v>
      </c>
      <c r="C3292" t="str">
        <f t="shared" si="102"/>
        <v>EMSG:The value "THE ANN FRANKLIN TRUSTSTRACE:deployment.pc.war//gw.datatype.impl.StringConstraintsHandlerBase.validateStringLength(StringConstraintsHandlerBase.java:XXXSTRACERAW:-</v>
      </c>
      <c r="D3292" s="3">
        <f t="shared" si="103"/>
        <v>1</v>
      </c>
    </row>
    <row r="3293" spans="1:4" x14ac:dyDescent="0.35">
      <c r="A3293" t="s">
        <v>3358</v>
      </c>
      <c r="B3293">
        <v>1</v>
      </c>
      <c r="C3293" t="str">
        <f t="shared" si="102"/>
        <v>EMSG:The value "THE GUILLERMO&amp;ANGELA TORRES REVOCABLE LIVING TRUST DATED NOV. XXXSTRACE:deployment.pc.war//gw.datatype.impl.StringConstraintsHandlerBase.validateStringLength(StringConstraintsHandlerBase.java:XXXSTRACERAW:-</v>
      </c>
      <c r="D3293" s="3">
        <f t="shared" si="103"/>
        <v>1</v>
      </c>
    </row>
    <row r="3294" spans="1:4" x14ac:dyDescent="0.35">
      <c r="A3294" t="s">
        <v>3359</v>
      </c>
      <c r="B3294">
        <v>1</v>
      </c>
      <c r="C3294" t="str">
        <f t="shared" si="102"/>
        <v>EMSG:The value XXX is not formatted correctly for the field "AddressLineXXX": Please edit address as only the following special characters are acceptable:   # STRACE:com.farmers.integ.framework.job.automatejob.AutomatedJob.executeJob(AutomatedJob.gs:XXXST</v>
      </c>
      <c r="D3294" s="3">
        <f t="shared" si="103"/>
        <v>1</v>
      </c>
    </row>
    <row r="3295" spans="1:4" x14ac:dyDescent="0.35">
      <c r="A3295" t="s">
        <v>3360</v>
      </c>
      <c r="B3295">
        <v>1</v>
      </c>
      <c r="C3295" t="str">
        <f t="shared" si="102"/>
        <v>EMSG:Too hard to try picking up all versions of version lists in disparate bundlesSTRACE:deployment.pc.war//com.google.common.base.Preconditions.checkArgument(Preconditions.java:XXXSTRACERAW:-</v>
      </c>
      <c r="D3295" s="3">
        <f t="shared" si="103"/>
        <v>1</v>
      </c>
    </row>
    <row r="3296" spans="1:4" x14ac:dyDescent="0.35">
      <c r="A3296" t="s">
        <v>3361</v>
      </c>
      <c r="B3296">
        <v>1</v>
      </c>
      <c r="C3296" t="str">
        <f t="shared" si="102"/>
        <v>EMSG:Try again later. Equifax credit reporting is unavailable.STRACE:com.farmers.integ.framework.job.automatejob.AutomatedJob.executeJob(AutomatedJob.gs:XXXSTRACERAW:-</v>
      </c>
      <c r="D3296" s="3">
        <f t="shared" si="103"/>
        <v>1</v>
      </c>
    </row>
    <row r="3297" spans="1:4" x14ac:dyDescent="0.35">
      <c r="A3297" t="s">
        <v>3362</v>
      </c>
      <c r="B3297">
        <v>1</v>
      </c>
      <c r="C3297" t="str">
        <f t="shared" si="102"/>
        <v>EMSG:Unsupported pay plan: nullSTRACE:com.farmers.enhancement.HomeownersLine_HOEEnhancement.getRatingPaymentFrequency(HomeownersLine_HOEEnhancement.gsx:XXXSTRACERAW:-</v>
      </c>
      <c r="D3297" s="3">
        <f t="shared" si="103"/>
        <v>1</v>
      </c>
    </row>
    <row r="3298" spans="1:4" x14ac:dyDescent="0.35">
      <c r="A3298" t="s">
        <v>3363</v>
      </c>
      <c r="B3298">
        <v>1</v>
      </c>
      <c r="C3298" t="str">
        <f t="shared" si="102"/>
        <v>EMSG:William JordanSTRACE:com.farmers.config.pa.validator.BrightlineValidator.validateQuoteBrightlineRules(BrightlineValidator.gs:XXXSTRACERAW:-</v>
      </c>
      <c r="D3298" s="3">
        <f t="shared" si="103"/>
        <v>1</v>
      </c>
    </row>
    <row r="3299" spans="1:4" x14ac:dyDescent="0.35">
      <c r="A3299" t="s">
        <v>3364</v>
      </c>
      <c r="B3299">
        <v>1</v>
      </c>
      <c r="C3299" t="str">
        <f t="shared" si="102"/>
        <v>EMSG:William JordanSTRACE:gw.job.QuoteProcess.requestQuote(QuoteProcess.gs:XXXSTRACERAW:-</v>
      </c>
      <c r="D3299" s="3">
        <f t="shared" si="103"/>
        <v>1</v>
      </c>
    </row>
    <row r="3300" spans="1:4" x14ac:dyDescent="0.35">
      <c r="A3300" t="s">
        <v>3365</v>
      </c>
      <c r="B3300">
        <v>1</v>
      </c>
      <c r="C3300" t="str">
        <f t="shared" si="102"/>
        <v>EMSG:XXX CHEVROLET TRUCK ASTRO EXT VAN  XXXXXXX MPV in Washington: Comprehensive is required and must be added. XXXSTRACE:gw.api.extension.PCExtensionInterfacesMapper$block_XXX_.invoke(PCExtensionInterfacesMapper.gs:XXXSTRACERAW:-</v>
      </c>
      <c r="D3300" s="3">
        <f t="shared" si="103"/>
        <v>1</v>
      </c>
    </row>
    <row r="3301" spans="1:4" x14ac:dyDescent="0.35">
      <c r="A3301" t="s">
        <v>3366</v>
      </c>
      <c r="B3301">
        <v>1</v>
      </c>
      <c r="C3301" t="str">
        <f t="shared" si="102"/>
        <v>EMSG:XXX DODGE RAM XXX CREW C PU XXXXXXX QUAD in Texas: Comprehensive is required and must be added. XXXSTRACE:gw.api.extension.PCExtensionInterfacesMapper$block_XXX_.invoke(PCExtensionInterfacesMapper.gs:XXXSTRACERAW:-</v>
      </c>
      <c r="D3301" s="3">
        <f t="shared" si="103"/>
        <v>1</v>
      </c>
    </row>
    <row r="3302" spans="1:4" x14ac:dyDescent="0.35">
      <c r="A3302" t="s">
        <v>3367</v>
      </c>
      <c r="B3302">
        <v>1</v>
      </c>
      <c r="C3302" t="str">
        <f t="shared" si="102"/>
        <v>EMSG:XXX FORD TRUCK FXXX CC P XXXXXXX SPRCRWRPTR R SVT in Colorado: Coverage is on Comprehensive is now available and its value must be verified by the user.; XXX FORD TRUCK FXXX CC P XXXXXXX SPRCRWRPTR R SVT in Colorado: Coverage is on Collision is now a</v>
      </c>
      <c r="D3302" s="3">
        <f t="shared" si="103"/>
        <v>1</v>
      </c>
    </row>
    <row r="3303" spans="1:4" x14ac:dyDescent="0.35">
      <c r="A3303" t="s">
        <v>3368</v>
      </c>
      <c r="B3303">
        <v>1</v>
      </c>
      <c r="C3303" t="str">
        <f t="shared" si="102"/>
        <v>EMSG:XXX HONDA ACCORD XXXD EX in Minnesota: Comprehensive is required and must be added. XXXSTRACE:gw.api.extension.PCExtensionInterfacesMapper$block_XXX_.invoke(PCExtensionInterfacesMapper.gs:XXXSTRACERAW:-</v>
      </c>
      <c r="D3303" s="3">
        <f t="shared" si="103"/>
        <v>1</v>
      </c>
    </row>
    <row r="3304" spans="1:4" x14ac:dyDescent="0.35">
      <c r="A3304" t="s">
        <v>3369</v>
      </c>
      <c r="B3304">
        <v>1</v>
      </c>
      <c r="C3304" t="str">
        <f t="shared" si="102"/>
        <v>EMSG:XXX HYUNDAI ACCENT XXXD GS in Colorado: Coverage is on Comprehensive is now available and its value must be verified by the user.; XXX HYUNDAI ACCENT XXXD GS in Colorado: Coverage is on Collision is now available and its value must be verified by the</v>
      </c>
      <c r="D3304" s="3">
        <f t="shared" si="103"/>
        <v>1</v>
      </c>
    </row>
    <row r="3305" spans="1:4" x14ac:dyDescent="0.35">
      <c r="A3305" t="s">
        <v>3370</v>
      </c>
      <c r="B3305">
        <v>1</v>
      </c>
      <c r="C3305" t="str">
        <f t="shared" si="102"/>
        <v>EMSG:XXX HYUNDAI SONATA HYBRID XXXD in Colorado: Coverage is on Comprehensive is now available and its value must be verified by the user.; XXX HYUNDAI SONATA HYBRID XXXD in Colorado: Coverage is on Collision is now available and its value must be verifie</v>
      </c>
      <c r="D3305" s="3">
        <f t="shared" si="103"/>
        <v>1</v>
      </c>
    </row>
    <row r="3306" spans="1:4" x14ac:dyDescent="0.35">
      <c r="A3306" t="s">
        <v>3371</v>
      </c>
      <c r="B3306">
        <v>1</v>
      </c>
      <c r="C3306" t="str">
        <f t="shared" si="102"/>
        <v xml:space="preserve">EMSG:XXX JEEP LIBERTY XXXD XXXXXXX SPORT in Colorado: Coverage is on Comprehensive is now available and its value must be verified by the user.; XXX JEEP LIBERTY XXXD XXXXXXX SPORT in Colorado: Coverage is on Collision is now available and its value must </v>
      </c>
      <c r="D3306" s="3">
        <f t="shared" si="103"/>
        <v>1</v>
      </c>
    </row>
    <row r="3307" spans="1:4" x14ac:dyDescent="0.35">
      <c r="A3307" t="s">
        <v>3372</v>
      </c>
      <c r="B3307">
        <v>1</v>
      </c>
      <c r="C3307" t="str">
        <f t="shared" si="102"/>
        <v xml:space="preserve">EMSG:XXX LEXUS GX XXX XXXD XXXXXXX in Colorado: Coverage is on Comprehensive is now available and its value must be verified by the user.; XXX LEXUS GX XXX XXXD XXXXXXX in Colorado: Coverage is on Collision is now available and its value must be verified </v>
      </c>
      <c r="D3307" s="3">
        <f t="shared" si="103"/>
        <v>1</v>
      </c>
    </row>
    <row r="3308" spans="1:4" x14ac:dyDescent="0.35">
      <c r="A3308" t="s">
        <v>3373</v>
      </c>
      <c r="B3308">
        <v>1</v>
      </c>
      <c r="C3308" t="str">
        <f t="shared" si="102"/>
        <v>EMSG:XXX MERCEDES BENZ CLA CLASS XXXD XXXWD XXX in Texas: Comprehensive is required and must be added. XXXSTRACE:gw.api.extension.PCExtensionInterfacesMapper$block_XXX_.invoke(PCExtensionInterfacesMapper.gs:XXXSTRACERAW:-</v>
      </c>
      <c r="D3308" s="3">
        <f t="shared" si="103"/>
        <v>1</v>
      </c>
    </row>
    <row r="3309" spans="1:4" x14ac:dyDescent="0.35">
      <c r="A3309" t="s">
        <v>3374</v>
      </c>
      <c r="B3309">
        <v>1</v>
      </c>
      <c r="C3309" t="str">
        <f t="shared" si="102"/>
        <v>EMSG:XXX NISSAN NV VAN XXX/XXX STANDARD ROOF in Colorado: Coverage is on Comprehensive is now available and its value must be verified by the user.; XXX NISSAN NV VAN XXX/XXX STANDARD ROOF in Colorado: Coverage is on Collision is now available and its val</v>
      </c>
      <c r="D3309" s="3">
        <f t="shared" si="103"/>
        <v>1</v>
      </c>
    </row>
    <row r="3310" spans="1:4" x14ac:dyDescent="0.35">
      <c r="A3310" t="s">
        <v>3375</v>
      </c>
      <c r="B3310">
        <v>1</v>
      </c>
      <c r="C3310" t="str">
        <f t="shared" si="102"/>
        <v>EMSG:XXX PONTIAC GXXX/WAVE XXXD in Michigan: Comprehensive is required and must be added. XXXSTRACE:gw.api.extension.PCExtensionInterfacesMapper$block_XXX_.invoke(PCExtensionInterfacesMapper.gs:XXXSTRACERAW:-</v>
      </c>
      <c r="D3310" s="3">
        <f t="shared" si="103"/>
        <v>1</v>
      </c>
    </row>
    <row r="3311" spans="1:4" x14ac:dyDescent="0.35">
      <c r="A3311" t="s">
        <v>3376</v>
      </c>
      <c r="B3311">
        <v>1</v>
      </c>
      <c r="C3311" t="str">
        <f t="shared" si="102"/>
        <v>EMSG:XXX SUBARU FORESTER XXXD XXXWD XXX.XXXI VDC in Colorado: Coverage is on Comprehensive is now available and its value must be verified by the user.; XXX SUBARU FORESTER XXXD XXXWD XXX.XXXI VDC in Colorado: Coverage is on Collision is now available and</v>
      </c>
      <c r="D3311" s="3">
        <f t="shared" si="103"/>
        <v>1</v>
      </c>
    </row>
    <row r="3312" spans="1:4" x14ac:dyDescent="0.35">
      <c r="A3312" t="s">
        <v>3377</v>
      </c>
      <c r="B3312">
        <v>1</v>
      </c>
      <c r="C3312" t="str">
        <f t="shared" si="102"/>
        <v>EMSG:XXX TESLA MODEL Y EV XXXD XXXWD STANDARD in Colorado: Coverage is on Comprehensive is now available and its value must be verified by the user.; XXX TESLA MODEL Y EV XXXD XXXWD STANDARD in Colorado: Coverage is on Collision is now available and its v</v>
      </c>
      <c r="D3312" s="3">
        <f t="shared" si="103"/>
        <v>1</v>
      </c>
    </row>
    <row r="3313" spans="1:4" x14ac:dyDescent="0.35">
      <c r="A3313" t="s">
        <v>3378</v>
      </c>
      <c r="B3313">
        <v>1</v>
      </c>
      <c r="C3313" t="str">
        <f t="shared" si="102"/>
        <v>EMSG:XXX TOYOTA CAMRY XXXD XXXWD TRD/XSE VXXX in New Mexico: UM/UIM - Bodily Injury is required and must be added. XXXSTRACE:-STRACERAW:</v>
      </c>
      <c r="D3313" s="3">
        <f t="shared" si="103"/>
        <v>1</v>
      </c>
    </row>
    <row r="3314" spans="1:4" x14ac:dyDescent="0.35">
      <c r="A3314" t="s">
        <v>3379</v>
      </c>
      <c r="B3314">
        <v>1</v>
      </c>
      <c r="C3314" t="str">
        <f t="shared" si="102"/>
        <v>EMSG:XXX TOYOTA HIGHLANDER HYBRID XXXD XXXWD in Colorado: Coverage is on Comprehensive is now available and its value must be verified by the user.; XXX TOYOTA HIGHLANDER HYBRID XXXD XXXWD in Colorado: Coverage is on Collision is now available and its val</v>
      </c>
      <c r="D3314" s="3">
        <f t="shared" si="103"/>
        <v>1</v>
      </c>
    </row>
    <row r="3315" spans="1:4" x14ac:dyDescent="0.35">
      <c r="A3315" t="s">
        <v>3380</v>
      </c>
      <c r="B3315">
        <v>1</v>
      </c>
      <c r="C3315" t="str">
        <f t="shared" si="102"/>
        <v>EMSG:XXX TOYOTA PU X CAB XXX/XXXT XXXXXXX DELUXE in Colorado: Coverage is on Comprehensive is now available and its value must be verified by the user.; XXX TOYOTA PU X CAB XXX/XXXT XXXXXXX DELUXE in Colorado: Coverage is on Collision is now available and</v>
      </c>
      <c r="D3315" s="3">
        <f t="shared" si="103"/>
        <v>1</v>
      </c>
    </row>
    <row r="3316" spans="1:4" ht="43.5" x14ac:dyDescent="0.35">
      <c r="A3316" s="4" t="s">
        <v>3381</v>
      </c>
      <c r="B3316">
        <v>1</v>
      </c>
      <c r="C3316" t="str">
        <f t="shared" si="102"/>
        <v>EMSG:XXX has exceeded the accident and/or violation threshold for eligibility in this program.STRACE:Pojanasomboon has exceeded the accident and/or violation threshold for eligibility in this program.
	at com.farmers.config.pa.validator.BrightlineValidato</v>
      </c>
      <c r="D3316" s="3">
        <f t="shared" si="103"/>
        <v>1</v>
      </c>
    </row>
    <row r="3317" spans="1:4" ht="43.5" x14ac:dyDescent="0.35">
      <c r="A3317" s="4" t="s">
        <v>3382</v>
      </c>
      <c r="B3317">
        <v>1</v>
      </c>
      <c r="C3317" t="str">
        <f t="shared" si="102"/>
        <v>EMSG:XXX has exceeded the accident and/or violation threshold for eligibility in this program.STRACE:Pojanasomboon has exceeded the accident and/or violation threshold for eligibility in this program.
	at gw.job.QuoteProcess.requestQuote(QuoteProcess.gs:X</v>
      </c>
      <c r="D3317" s="3">
        <f t="shared" si="103"/>
        <v>1</v>
      </c>
    </row>
    <row r="3318" spans="1:4" ht="29" x14ac:dyDescent="0.35">
      <c r="A3318" s="4" t="s">
        <v>3383</v>
      </c>
      <c r="B3318">
        <v>1</v>
      </c>
      <c r="C3318" t="str">
        <f t="shared" si="102"/>
        <v>EMSG:XXX has exceeded the accident and/or violation threshold for eligibility in this program.STRACE:Sama has exceeded the accident and/or violation threshold for eligibility in this program.
	at com.farmers.config.pa.validator.BrightlineValidator.validat</v>
      </c>
      <c r="D3318" s="3">
        <f t="shared" si="103"/>
        <v>1</v>
      </c>
    </row>
    <row r="3319" spans="1:4" ht="29" x14ac:dyDescent="0.35">
      <c r="A3319" s="4" t="s">
        <v>3384</v>
      </c>
      <c r="B3319">
        <v>1</v>
      </c>
      <c r="C3319" t="str">
        <f t="shared" si="102"/>
        <v>EMSG:XXX has exceeded the accident and/or violation threshold for eligibility in this program.STRACE:Tias has exceeded the accident and/or violation threshold for eligibility in this program.
	at com.farmers.config.pa.validator.BrightlineValidator.validat</v>
      </c>
      <c r="D3319" s="3">
        <f t="shared" si="103"/>
        <v>1</v>
      </c>
    </row>
    <row r="3320" spans="1:4" ht="43.5" x14ac:dyDescent="0.35">
      <c r="A3320" s="4" t="s">
        <v>3385</v>
      </c>
      <c r="B3320">
        <v>1</v>
      </c>
      <c r="C3320" t="str">
        <f t="shared" si="102"/>
        <v>EMSG:XXX has exceeded the accident and/or violation threshold for eligibility in this program.STRACE:White has exceeded the accident and/or violation threshold for eligibility in this program.
	at com.farmers.config.pa.validator.BrightlineValidator.valida</v>
      </c>
      <c r="D3320" s="3">
        <f t="shared" si="103"/>
        <v>1</v>
      </c>
    </row>
    <row r="3321" spans="1:4" ht="43.5" x14ac:dyDescent="0.35">
      <c r="A3321" s="4" t="s">
        <v>3386</v>
      </c>
      <c r="B3321">
        <v>1</v>
      </c>
      <c r="C3321" t="str">
        <f t="shared" si="102"/>
        <v>EMSG:XXX has exceeded the accident and/or violation threshold for eligibility in this program.STRACE:White has exceeded the accident and/or violation threshold for eligibility in this program.
	at gw.job.QuoteProcess.requestQuote(QuoteProcess.gs:XXXSTRACE</v>
      </c>
      <c r="D3321" s="3">
        <f t="shared" si="103"/>
        <v>1</v>
      </c>
    </row>
    <row r="3322" spans="1:4" ht="29" x14ac:dyDescent="0.35">
      <c r="A3322" s="4" t="s">
        <v>3387</v>
      </c>
      <c r="B3322">
        <v>1</v>
      </c>
      <c r="C3322" t="str">
        <f t="shared" si="102"/>
        <v>EMSG:XXX has exceeded the accident and/or violation threshold for eligibility in this program.STRACE:Zaki has exceeded the accident and/or violation threshold for eligibility in this program.
	at com.farmers.config.pa.validator.BrightlineValidator.validat</v>
      </c>
      <c r="D3322" s="3">
        <f t="shared" si="103"/>
        <v>1</v>
      </c>
    </row>
    <row r="3323" spans="1:4" ht="29" x14ac:dyDescent="0.35">
      <c r="A3323" s="4" t="s">
        <v>3388</v>
      </c>
      <c r="B3323">
        <v>1</v>
      </c>
      <c r="C3323" t="str">
        <f t="shared" si="102"/>
        <v>EMSG:XXX has exceeded the accident and/or violation threshold for eligibility in this program.STRACE:Zaki has exceeded the accident and/or violation threshold for eligibility in this program.
	at gw.job.QuoteProcess.requestQuote(QuoteProcess.gs:XXXSTRACER</v>
      </c>
      <c r="D3323" s="3">
        <f t="shared" si="103"/>
        <v>1</v>
      </c>
    </row>
    <row r="3324" spans="1:4" x14ac:dyDescent="0.35">
      <c r="A3324" t="s">
        <v>3389</v>
      </c>
      <c r="B3324">
        <v>1</v>
      </c>
      <c r="C3324" t="str">
        <f t="shared" si="102"/>
        <v>EMSG:XXX in added and removed?STRACE:deployment.pc.war//com.guidewire.pl.system.bundle.ArrayDelta.rekey(ArrayDelta.java:XXXSTRACERAW:-</v>
      </c>
      <c r="D3324" s="3">
        <f t="shared" si="103"/>
        <v>1</v>
      </c>
    </row>
    <row r="3325" spans="1:4" x14ac:dyDescent="0.35">
      <c r="A3325" t="s">
        <v>3390</v>
      </c>
      <c r="B3325">
        <v>1</v>
      </c>
      <c r="C3325" t="str">
        <f t="shared" si="102"/>
        <v>EMSG:Yongan LISTRACE:com.farmers.config.pa.validator.BrightlineValidator.validateQuoteBrightlineRules(BrightlineValidator.gs:XXXSTRACERAW:-</v>
      </c>
      <c r="D3325" s="3">
        <f t="shared" si="103"/>
        <v>1</v>
      </c>
    </row>
    <row r="3326" spans="1:4" x14ac:dyDescent="0.35">
      <c r="A3326" t="s">
        <v>3391</v>
      </c>
      <c r="B3326">
        <v>1</v>
      </c>
      <c r="C3326" t="str">
        <f t="shared" si="102"/>
        <v>EMSG:Yongan LISTRACE:gw.job.QuoteProcess.requestQuote(QuoteProcess.gs:XXXSTRACERAW:-</v>
      </c>
      <c r="D3326" s="3">
        <f t="shared" si="103"/>
        <v>1</v>
      </c>
    </row>
    <row r="3327" spans="1:4" x14ac:dyDescent="0.35">
      <c r="A3327" t="s">
        <v>3392</v>
      </c>
      <c r="B3327">
        <v>1</v>
      </c>
      <c r="C3327" t="str">
        <f t="shared" si="102"/>
        <v>EMSG:You do not have the permission required to perform this action: User doesn't have permission: STRACE:deployment.pc.war//com.guidewire.pl.domain.community.impl.UserImpl.assertPermission(UserImpl.java:XXXSTRACERAW:-</v>
      </c>
      <c r="D3327" s="3">
        <f t="shared" si="103"/>
        <v>1</v>
      </c>
    </row>
    <row r="3328" spans="1:4" x14ac:dyDescent="0.35">
      <c r="A3328" t="s">
        <v>3393</v>
      </c>
      <c r="B3328">
        <v>1</v>
      </c>
      <c r="C3328" t="str">
        <f t="shared" si="102"/>
        <v>EMSG:ZULLY CARRANZASTRACE:com.farmers.config.pa.validator.BrightlineValidator.validateQuoteBrightlineRules(BrightlineValidator.gs:XXXSTRACERAW:-</v>
      </c>
      <c r="D3328" s="3">
        <f t="shared" si="103"/>
        <v>1</v>
      </c>
    </row>
    <row r="3329" spans="1:4" x14ac:dyDescent="0.35">
      <c r="A3329" t="s">
        <v>897</v>
      </c>
      <c r="B3329">
        <v>1</v>
      </c>
      <c r="C3329" t="str">
        <f t="shared" si="102"/>
        <v>EMSG:[BUSINESS_ERROR::Agent not available adraXXX]STRACE:com.farmers.edge.capabilities.communitymodel.checkgrantaccess.processor.CheckGrantAccessProcessor.processGrantAccess(CheckGrantAccessProcessor.gs:XXXSTRACERAW:-</v>
      </c>
      <c r="D3329" s="3">
        <f t="shared" si="103"/>
        <v>1</v>
      </c>
    </row>
    <row r="3330" spans="1:4" x14ac:dyDescent="0.35">
      <c r="A3330" t="s">
        <v>3394</v>
      </c>
      <c r="B3330">
        <v>1</v>
      </c>
      <c r="C3330" t="str">
        <f t="shared" si="102"/>
        <v>EMSG:[BUSINESS_ERROR::Agent not available philXXXz]STRACE:com.farmers.edge.capabilities.communitymodel.checkgrantaccess.processor.CheckGrantAccessProcessor.processGrantAccess(CheckGrantAccessProcessor.gs:XXXSTRACERAW:-</v>
      </c>
      <c r="D3330" s="3">
        <f t="shared" si="103"/>
        <v>1</v>
      </c>
    </row>
    <row r="3331" spans="1:4" x14ac:dyDescent="0.35">
      <c r="A3331" t="s">
        <v>3395</v>
      </c>
      <c r="B3331">
        <v>1</v>
      </c>
      <c r="C3331" t="str">
        <f t="shared" ref="C3331:C3394" si="104">LEFT(A3331,255)</f>
        <v>EMSG:[BUSINESS_ERROR::Agent not available richXXXp]STRACE:com.farmers.edge.capabilities.communitymodel.checkgrantaccess.processor.CheckGrantAccessProcessor.processGrantAccess(CheckGrantAccessProcessor.gs:XXXSTRACERAW:-</v>
      </c>
      <c r="D3331" s="3">
        <f t="shared" ref="D3331:D3394" si="105">IF(AND((B3331/10)&lt;1,(B3331/10)&gt;0),1,(B3331/10)*130%)</f>
        <v>1</v>
      </c>
    </row>
    <row r="3332" spans="1:4" x14ac:dyDescent="0.35">
      <c r="A3332" t="s">
        <v>3396</v>
      </c>
      <c r="B3332">
        <v>1</v>
      </c>
      <c r="C3332" t="str">
        <f t="shared" si="104"/>
        <v>EMSG:[BUSINESS_ERROR::Agent not available utleXXX]STRACE:com.farmers.edge.capabilities.communitymodel.checkgrantaccess.processor.CheckGrantAccessProcessor.processGrantAccess(CheckGrantAccessProcessor.gs:XXXSTRACERAW:-</v>
      </c>
      <c r="D3332" s="3">
        <f t="shared" si="105"/>
        <v>1</v>
      </c>
    </row>
    <row r="3333" spans="1:4" x14ac:dyDescent="0.35">
      <c r="A3333" t="s">
        <v>3397</v>
      </c>
      <c r="B3333">
        <v>1</v>
      </c>
      <c r="C3333" t="str">
        <f t="shared" si="104"/>
        <v>EMSG:[BUSINESS_ERROR::Agent not available vancXXXv]STRACE:com.farmers.edge.capabilities.communitymodel.checkgrantaccess.processor.CheckGrantAccessProcessor.processGrantAccess(CheckGrantAccessProcessor.gs:XXXSTRACERAW:-</v>
      </c>
      <c r="D3333" s="3">
        <f t="shared" si="105"/>
        <v>1</v>
      </c>
    </row>
    <row r="3334" spans="1:4" x14ac:dyDescent="0.35">
      <c r="A3334" t="s">
        <v>3398</v>
      </c>
      <c r="B3334">
        <v>1</v>
      </c>
      <c r="C3334" t="str">
        <f t="shared" si="104"/>
        <v>EMSG:class com.guidewire.pl.system.exception.DBException cannot be cast to class edge.validation.EdgeValidationException (com.guidewire.pl.system.exception.DBException is in unnamed module of loader 'deployment.pc.war' @XXX; edge.validation.EdgeValidation</v>
      </c>
      <c r="D3334" s="3">
        <f t="shared" si="105"/>
        <v>1</v>
      </c>
    </row>
    <row r="3335" spans="1:4" x14ac:dyDescent="0.35">
      <c r="A3335" t="s">
        <v>3399</v>
      </c>
      <c r="B3335">
        <v>1</v>
      </c>
      <c r="C3335" t="str">
        <f t="shared" si="104"/>
        <v>EMSG:class com.guidewire.pl.system.exception.DBException cannot be cast to class edge.validation.EdgeValidationException (com.guidewire.pl.system.exception.DBException is in unnamed module of loader 'deployment.pc.war' @XXXfXXXe; edge.validation.EdgeValid</v>
      </c>
      <c r="D3335" s="3">
        <f t="shared" si="105"/>
        <v>1</v>
      </c>
    </row>
    <row r="3336" spans="1:4" x14ac:dyDescent="0.35">
      <c r="A3336" t="s">
        <v>3400</v>
      </c>
      <c r="B3336">
        <v>1</v>
      </c>
      <c r="C3336" t="str">
        <f t="shared" si="104"/>
        <v>EMSG:class gw.lang.parser.EvaluationException cannot be cast to class edge.validation.EdgeValidationException (gw.lang.parser.EvaluationException is in unnamed module of loader 'deployment.pc.war' @XXXfXXX; edge.validation.EdgeValidationException is in un</v>
      </c>
      <c r="D3336" s="3">
        <f t="shared" si="105"/>
        <v>1</v>
      </c>
    </row>
    <row r="3337" spans="1:4" x14ac:dyDescent="0.35">
      <c r="A3337" t="s">
        <v>3401</v>
      </c>
      <c r="B3337">
        <v>1</v>
      </c>
      <c r="C3337" t="str">
        <f t="shared" si="104"/>
        <v>EMSG:class gw.lang.parser.EvaluationException cannot be cast to class edge.validation.EdgeValidationException (gw.lang.parser.EvaluationException is in unnamed module of loader 'deployment.pc.war' @XXXfXXXdXXX; edge.validation.EdgeValidationException is i</v>
      </c>
      <c r="D3337" s="3">
        <f t="shared" si="105"/>
        <v>1</v>
      </c>
    </row>
    <row r="3338" spans="1:4" x14ac:dyDescent="0.35">
      <c r="A3338" t="s">
        <v>3402</v>
      </c>
      <c r="B3338">
        <v>1</v>
      </c>
      <c r="C3338" t="str">
        <f t="shared" si="104"/>
        <v>EMSG:error trying to execute query of type entity.PolicyContactRoleSTRACE:deployment.pc.war//com.guidewire.pl.system.database.entitysource.DatabaseEntitySource.executeQueryAndPopulateBeans(DatabaseEntitySource.java:XXXSTRACERAW:-</v>
      </c>
      <c r="D3338" s="3">
        <f t="shared" si="105"/>
        <v>1</v>
      </c>
    </row>
    <row r="3339" spans="1:4" ht="29" x14ac:dyDescent="0.35">
      <c r="A3339" s="4" t="s">
        <v>1259</v>
      </c>
      <c r="B3339">
        <v>1</v>
      </c>
      <c r="C3339" t="str">
        <f t="shared" si="104"/>
        <v>EMSG:error:entity.xxxUI-ValidationERRORMessagexxxSTRACE:least one vehicle.;error:entity.PersonalAutoLine/LUW Policy Change Job XXX: The policy must specify at least one vehicle.
	at gw.acc.luw.perf.JobQuoter.processQuoteIssues(JobQuoter.gs:XXXSTRACERAW:-</v>
      </c>
      <c r="D3339" s="3">
        <f t="shared" si="105"/>
        <v>1</v>
      </c>
    </row>
    <row r="3340" spans="1:4" x14ac:dyDescent="0.35">
      <c r="A3340" t="s">
        <v>3403</v>
      </c>
      <c r="B3340">
        <v>1</v>
      </c>
      <c r="C3340" t="str">
        <f t="shared" si="104"/>
        <v>EMSG:java.lang.IllegalStateException: Attempt to access bean of type "HomeownersLine_HOE" id=XXX with a null bundleSTRACE:com.farmers.integ.documentmgmt.ondemand.api.transformer.GetPolicyDetailsRestRequestTransformer.transform(GetPolicyDetailsRestRequestT</v>
      </c>
      <c r="D3340" s="3">
        <f t="shared" si="105"/>
        <v>1</v>
      </c>
    </row>
    <row r="3341" spans="1:4" x14ac:dyDescent="0.35">
      <c r="A3341" t="s">
        <v>985</v>
      </c>
      <c r="B3341" s="8">
        <v>2002</v>
      </c>
      <c r="C3341" t="str">
        <f t="shared" si="104"/>
        <v>EMSG:Amount cannot be null.STRACE:deployment.pc.war//com.google.common.base.Preconditions.checkArgument(Preconditions.java:XXXSTRACERAW:-</v>
      </c>
      <c r="D3341" s="3">
        <f t="shared" si="105"/>
        <v>260.26</v>
      </c>
    </row>
    <row r="3342" spans="1:4" x14ac:dyDescent="0.35">
      <c r="A3342" t="s">
        <v>986</v>
      </c>
      <c r="B3342">
        <v>20</v>
      </c>
      <c r="C3342" t="str">
        <f t="shared" si="104"/>
        <v>EMSG:, AOR=XXXSTRACE:gw.acc.luw.perf.JobCreationHelper.useParentEffectiveDateOrNot(JobCreationHelper.gs:XXXSTRACERAW:-</v>
      </c>
      <c r="D3342" s="3">
        <f t="shared" si="105"/>
        <v>2.6</v>
      </c>
    </row>
    <row r="3343" spans="1:4" x14ac:dyDescent="0.35">
      <c r="A3343" t="s">
        <v>1124</v>
      </c>
      <c r="B3343">
        <v>20</v>
      </c>
      <c r="C3343" t="str">
        <f t="shared" si="104"/>
        <v>EMSG:-STRACE:-STRACERAW:com.farmers.integ.batch.mvrreport.inbound.plugin.MVRLNInboundBatchImpl.processRecord(MVRLNInboundBatchImpl.gs:XXX</v>
      </c>
      <c r="D3343" s="3">
        <f t="shared" si="105"/>
        <v>2.6</v>
      </c>
    </row>
    <row r="3344" spans="1:4" x14ac:dyDescent="0.35">
      <c r="A3344" t="s">
        <v>1234</v>
      </c>
      <c r="B3344">
        <v>15</v>
      </c>
      <c r="C3344" t="str">
        <f t="shared" si="104"/>
        <v>EMSG:, AOR=XXXSTRACE:com.farmers.config.common.credit.pa.PACreditScoreProcess.populateAddrfromMailingAddr_Ext(PACreditScoreProcess.gs:XXXSTRACERAW:-</v>
      </c>
      <c r="D3344" s="3">
        <f t="shared" si="105"/>
        <v>1.9500000000000002</v>
      </c>
    </row>
    <row r="3345" spans="1:4" x14ac:dyDescent="0.35">
      <c r="A3345" t="s">
        <v>1236</v>
      </c>
      <c r="B3345">
        <v>15</v>
      </c>
      <c r="C3345" t="str">
        <f t="shared" si="104"/>
        <v>EMSG:-STRACE:-STRACERAW:com.farmers.config.common.credit.pa.PACreditScoreProcess.populateAddrfromMailingAddr_Ext(PACreditScoreProcess.gs:XXX</v>
      </c>
      <c r="D3345" s="3">
        <f t="shared" si="105"/>
        <v>1.9500000000000002</v>
      </c>
    </row>
    <row r="3346" spans="1:4" x14ac:dyDescent="0.35">
      <c r="A3346" t="s">
        <v>987</v>
      </c>
      <c r="B3346">
        <v>15</v>
      </c>
      <c r="C3346" t="str">
        <f t="shared" si="104"/>
        <v>EMSG:-STRACE:gw.acc.luw.perf.JobCreationHelper.useParentEffectiveDateOrNot(JobCreationHelper.gs:XXXSTRACERAW:-</v>
      </c>
      <c r="D3346" s="3">
        <f t="shared" si="105"/>
        <v>1.9500000000000002</v>
      </c>
    </row>
    <row r="3347" spans="1:4" x14ac:dyDescent="0.35">
      <c r="A3347" t="s">
        <v>3404</v>
      </c>
      <c r="B3347">
        <v>10</v>
      </c>
      <c r="C3347" t="str">
        <f t="shared" si="104"/>
        <v>EMSG:-STRACE:-STRACERAW:com.guidewire.pl.system.bundle.EntityBundleImpl.loadBeans(EntityBundleImpl.java:XXX</v>
      </c>
      <c r="D3347" s="3">
        <f t="shared" si="105"/>
        <v>1.3</v>
      </c>
    </row>
    <row r="3348" spans="1:4" x14ac:dyDescent="0.35">
      <c r="A3348" t="s">
        <v>3405</v>
      </c>
      <c r="B3348">
        <v>8</v>
      </c>
      <c r="C3348" t="str">
        <f t="shared" si="104"/>
        <v>EMSG:Re-enter "License #". Duplicate License Number entered for the following Drivers James Baker JrSTRACE:edge.capabilities.quote.submission.quoting.util.SubmissionUnderwritingIssuesUtil.checkVerifyRateExceptions(SubmissionUnderwritingIssuesUtil.gs:XXXST</v>
      </c>
      <c r="D3348" s="3">
        <f t="shared" si="105"/>
        <v>1</v>
      </c>
    </row>
    <row r="3349" spans="1:4" x14ac:dyDescent="0.35">
      <c r="A3349" t="s">
        <v>3406</v>
      </c>
      <c r="B3349">
        <v>8</v>
      </c>
      <c r="C3349" t="str">
        <f t="shared" si="104"/>
        <v>EMSG:Unable to set property '_Name' of 'com.farmers.integ.distribution.lms.wsc.uploadcustomerwsc.ecms_quote_xsd.types.complex.ClientApp_Type instance'STRACE:deployment.pc.war//gw.internal.xml.XmlSchemaProperty.setValue(XmlSchemaProperty.java:XXXSTRACERAW:</v>
      </c>
      <c r="D3349" s="3">
        <f t="shared" si="105"/>
        <v>1</v>
      </c>
    </row>
    <row r="3350" spans="1:4" ht="29" x14ac:dyDescent="0.35">
      <c r="A3350" s="4" t="s">
        <v>3407</v>
      </c>
      <c r="B3350">
        <v>6</v>
      </c>
      <c r="C3350" t="str">
        <f t="shared" si="104"/>
        <v>EMSG:A report shows that the XXXSTRACE:the  XXX FORD FXXX CHASSIS C XXXXXXX DRW has been flagged as having Vehicle History activity.;
	at edge.capabilities.quote.submission.quoting.util.SubmissionUnderwritingIssuesUtil.checkVerifyRateExceptions(Submission</v>
      </c>
      <c r="D3350" s="3">
        <f t="shared" si="105"/>
        <v>1</v>
      </c>
    </row>
    <row r="3351" spans="1:4" ht="29" x14ac:dyDescent="0.35">
      <c r="A3351" s="4" t="s">
        <v>3408</v>
      </c>
      <c r="B3351">
        <v>6</v>
      </c>
      <c r="C3351" t="str">
        <f t="shared" si="104"/>
        <v>EMSG:A report shows that the XXXSTRACE:the  XXX MERCEDES BENZ M CLASS XXXD XXXXXXX MLXXX has been flagged as having Vehicle History activity.;
	at edge.capabilities.quote.submission.quoting.util.SubmissionUnderwritingIssuesUtil.checkVerifyRateExceptions(S</v>
      </c>
      <c r="D3351" s="3">
        <f t="shared" si="105"/>
        <v>1</v>
      </c>
    </row>
    <row r="3352" spans="1:4" x14ac:dyDescent="0.35">
      <c r="A3352" t="s">
        <v>3409</v>
      </c>
      <c r="B3352">
        <v>6</v>
      </c>
      <c r="C3352" t="str">
        <f t="shared" si="104"/>
        <v>EMSG:Albert GarciaSTRACE:com.farmers.config.pa.validator.BrightlineValidator.validateQuoteBrightlineRules(BrightlineValidator.gs:XXXSTRACERAW:-</v>
      </c>
      <c r="D3352" s="3">
        <f t="shared" si="105"/>
        <v>1</v>
      </c>
    </row>
    <row r="3353" spans="1:4" x14ac:dyDescent="0.35">
      <c r="A3353" t="s">
        <v>3410</v>
      </c>
      <c r="B3353">
        <v>6</v>
      </c>
      <c r="C3353" t="str">
        <f t="shared" si="104"/>
        <v>EMSG:Could not deserialize typecode  for typelist typekey.GenderTypeSTRACE:edge.servlet.jsonrpc.marshalling.TypeKeyInstantiator.createFromString(TypeKeyInstantiator.gs:XXXSTRACERAW:-</v>
      </c>
      <c r="D3353" s="3">
        <f t="shared" si="105"/>
        <v>1</v>
      </c>
    </row>
    <row r="3354" spans="1:4" ht="43.5" x14ac:dyDescent="0.35">
      <c r="A3354" s="4" t="s">
        <v>3411</v>
      </c>
      <c r="B3354">
        <v>6</v>
      </c>
      <c r="C3354" t="str">
        <f t="shared" si="104"/>
        <v>EMSG:Dwelling at XXXSTRACE:XXX Hawthorne Ln, Grand Prairie, TX: Replacement Cost Value Valuation Method on Personal Property is no longer available and has been removed. Please enter a new value.
	at gw.api.extension.PCExtensionInterfacesMapper$block_XXX_</v>
      </c>
      <c r="D3354" s="3">
        <f t="shared" si="105"/>
        <v>1</v>
      </c>
    </row>
    <row r="3355" spans="1:4" ht="43.5" x14ac:dyDescent="0.35">
      <c r="A3355" s="4" t="s">
        <v>3412</v>
      </c>
      <c r="B3355">
        <v>6</v>
      </c>
      <c r="C3355" t="str">
        <f t="shared" si="104"/>
        <v>EMSG:Dwelling at XXXSTRACE:XXX Pecan St, Ozark, AL: Perils on Personal Property is now available and its value must be verified by the user.; Dwelling at XXX Pecan St, Ozark, AL: No message configured; Dwelling at XXX Pecan St, Ozark, AL: No message confi</v>
      </c>
      <c r="D3355" s="3">
        <f t="shared" si="105"/>
        <v>1</v>
      </c>
    </row>
    <row r="3356" spans="1:4" x14ac:dyDescent="0.35">
      <c r="A3356" t="s">
        <v>3413</v>
      </c>
      <c r="B3356">
        <v>6</v>
      </c>
      <c r="C3356" t="str">
        <f t="shared" si="104"/>
        <v>EMSG:For eligible contact John Aboumrad credit score is null. Please make sure credit is orderedSTRACE:com.farmers.config.common.credit.CreditScoreHelper.populateRatingCreditDTO(CreditScoreHelper.gs:XXXSTRACERAW:-</v>
      </c>
      <c r="D3356" s="3">
        <f t="shared" si="105"/>
        <v>1</v>
      </c>
    </row>
    <row r="3357" spans="1:4" x14ac:dyDescent="0.35">
      <c r="A3357" t="s">
        <v>3414</v>
      </c>
      <c r="B3357">
        <v>6</v>
      </c>
      <c r="C3357" t="str">
        <f t="shared" si="104"/>
        <v>EMSG:Jared QuinteroSTRACE:com.farmers.config.pa.validator.BrightlineValidator.validateQuoteBrightlineRules(BrightlineValidator.gs:XXXSTRACERAW:-</v>
      </c>
      <c r="D3357" s="3">
        <f t="shared" si="105"/>
        <v>1</v>
      </c>
    </row>
    <row r="3358" spans="1:4" x14ac:dyDescent="0.35">
      <c r="A3358" t="s">
        <v>3415</v>
      </c>
      <c r="B3358">
        <v>6</v>
      </c>
      <c r="C3358" t="str">
        <f t="shared" si="104"/>
        <v>EMSG:Jared QuinteroSTRACE:gw.job.QuoteProcess.requestQuote(QuoteProcess.gs:XXXSTRACERAW:-</v>
      </c>
      <c r="D3358" s="3">
        <f t="shared" si="105"/>
        <v>1</v>
      </c>
    </row>
    <row r="3359" spans="1:4" x14ac:dyDescent="0.35">
      <c r="A3359" t="s">
        <v>3416</v>
      </c>
      <c r="B3359">
        <v>6</v>
      </c>
      <c r="C3359" t="str">
        <f t="shared" si="104"/>
        <v>EMSG:Re-enter "License #". Duplicate License Number entered for the following Drivers James BakerSTRACE:edge.capabilities.quote.submission.quoting.util.SubmissionUnderwritingIssuesUtil.checkVerifyRateExceptions(SubmissionUnderwritingIssuesUtil.gs:XXXSTRAC</v>
      </c>
      <c r="D3359" s="3">
        <f t="shared" si="105"/>
        <v>1</v>
      </c>
    </row>
    <row r="3360" spans="1:4" x14ac:dyDescent="0.35">
      <c r="A3360" t="s">
        <v>3417</v>
      </c>
      <c r="B3360">
        <v>6</v>
      </c>
      <c r="C3360" t="str">
        <f t="shared" si="104"/>
        <v>EMSG:Unable to retrieve Mortgagee details for code - XXXHCSTRACE:com.farmers.edge.capabilities.quote.mortgagee.MortgageePlugin$block_XXX_.invoke(MortgageePlugin.gs:XXXSTRACERAW:-</v>
      </c>
      <c r="D3360" s="3">
        <f t="shared" si="105"/>
        <v>1</v>
      </c>
    </row>
    <row r="3361" spans="1:4" x14ac:dyDescent="0.35">
      <c r="A3361" t="s">
        <v>3418</v>
      </c>
      <c r="B3361">
        <v>6</v>
      </c>
      <c r="C3361" t="str">
        <f t="shared" si="104"/>
        <v>EMSG:Update Signal Phone number for JOE PAIZ. Each driver enrolled in the Signal program needs a unique cell phone number.;Update Signal Phone number for Paul Ward. Each driver enrolled in the Signal program needs a unique cell phone number.;STRACE:edge.c</v>
      </c>
      <c r="D3361" s="3">
        <f t="shared" si="105"/>
        <v>1</v>
      </c>
    </row>
    <row r="3362" spans="1:4" ht="43.5" x14ac:dyDescent="0.35">
      <c r="A3362" s="4" t="s">
        <v>3419</v>
      </c>
      <c r="B3362">
        <v>6</v>
      </c>
      <c r="C3362" t="str">
        <f t="shared" si="104"/>
        <v>EMSG:Update the Primary Driver selection for XXXSTRACE:le. Since the number of drivers is equal to or greater than the number of vehicles, a driver can only be selected as Primary Driver for one vehicle.
	at com.farmers.lob.pa.driverassignment.DriverAssig</v>
      </c>
      <c r="D3362" s="3">
        <f t="shared" si="105"/>
        <v>1</v>
      </c>
    </row>
    <row r="3363" spans="1:4" x14ac:dyDescent="0.35">
      <c r="A3363" t="s">
        <v>3420</v>
      </c>
      <c r="B3363">
        <v>6</v>
      </c>
      <c r="C3363" t="str">
        <f t="shared" si="104"/>
        <v>EMSG:Update the missing required field. Garaged ZIP Town for vehicle XXX BMW XXXX XXXD XXXWD XDRIVE XXXI needs to be selected when Garaging location ZIP code is associated with multiple town names.;STRACE:edge.capabilities.quote.submission.quoting.util.Su</v>
      </c>
      <c r="D3363" s="3">
        <f t="shared" si="105"/>
        <v>1</v>
      </c>
    </row>
    <row r="3364" spans="1:4" x14ac:dyDescent="0.35">
      <c r="A3364" t="s">
        <v>3421</v>
      </c>
      <c r="B3364">
        <v>4</v>
      </c>
      <c r="C3364" t="str">
        <f t="shared" si="104"/>
        <v>EMSG:-STRACE:-STRACERAW:com.farmers.integ.common.utils.AgentTransferHelper$block_XXX_$block_XXX_.invoke(AgentTransferHelper.gs:XXX</v>
      </c>
      <c r="D3364" s="3">
        <f t="shared" si="105"/>
        <v>1</v>
      </c>
    </row>
    <row r="3365" spans="1:4" x14ac:dyDescent="0.35">
      <c r="A3365" t="s">
        <v>3422</v>
      </c>
      <c r="B3365">
        <v>4</v>
      </c>
      <c r="C3365" t="str">
        <f t="shared" si="104"/>
        <v>EMSG:-STRACE:-STRACERAW:deployment.pc.war//gw.util.cache.FqnCache.get(FqnCache.java:XXX</v>
      </c>
      <c r="D3365" s="3">
        <f t="shared" si="105"/>
        <v>1</v>
      </c>
    </row>
    <row r="3366" spans="1:4" x14ac:dyDescent="0.35">
      <c r="A3366" t="s">
        <v>3423</v>
      </c>
      <c r="B3366">
        <v>4</v>
      </c>
      <c r="C3366" t="str">
        <f t="shared" si="104"/>
        <v>EMSG:-STRACE:-STRACERAW:gw.util.cache.FqnCache.get(FqnCache.java:XXX</v>
      </c>
      <c r="D3366" s="3">
        <f t="shared" si="105"/>
        <v>1</v>
      </c>
    </row>
    <row r="3367" spans="1:4" x14ac:dyDescent="0.35">
      <c r="A3367" t="s">
        <v>3424</v>
      </c>
      <c r="B3367">
        <v>4</v>
      </c>
      <c r="C3367" t="str">
        <f t="shared" si="104"/>
        <v>EMSG:-STRACE:-STRACERAW:java.base/java.util.WeakHashMap.getTable(WeakHashMap.java:XXX</v>
      </c>
      <c r="D3367" s="3">
        <f t="shared" si="105"/>
        <v>1</v>
      </c>
    </row>
    <row r="3368" spans="1:4" x14ac:dyDescent="0.35">
      <c r="A3368" t="s">
        <v>3425</v>
      </c>
      <c r="B3368">
        <v>4</v>
      </c>
      <c r="C3368" t="str">
        <f t="shared" si="104"/>
        <v>EMSG:-STRACE:-STRACERAW:java.util.WeakHashMap.getTable(WeakHashMap.java:XXX</v>
      </c>
      <c r="D3368" s="3">
        <f t="shared" si="105"/>
        <v>1</v>
      </c>
    </row>
    <row r="3369" spans="1:4" x14ac:dyDescent="0.35">
      <c r="A3369" t="s">
        <v>699</v>
      </c>
      <c r="B3369">
        <v>4</v>
      </c>
      <c r="C3369" t="str">
        <f t="shared" si="104"/>
        <v>EMSG:-STRACE:-STRACERAW:the end of this message with the applicant and, if it is the accurate address, please select the Click to Update Address/Click to Update Risk Address link below to continue (If no address is found, or the vendor-provided address is</v>
      </c>
      <c r="D3369" s="3">
        <f t="shared" si="105"/>
        <v>1</v>
      </c>
    </row>
    <row r="3370" spans="1:4" ht="29" x14ac:dyDescent="0.35">
      <c r="A3370" s="4" t="s">
        <v>3426</v>
      </c>
      <c r="B3370">
        <v>4</v>
      </c>
      <c r="C3370" t="str">
        <f t="shared" si="104"/>
        <v>EMSG:A report shows that the XXXSTRACE:the  XXX FORD TRUCK FXXX SUPER PU XXXXXXX  SUPER CAB has been flagged as having Vehicle History activity.
	at edge.capabilities.quote.submission.quoting.util.SubmissionUnderwritingIssuesUtil.checkSideBySideProcessExc</v>
      </c>
      <c r="D3370" s="3">
        <f t="shared" si="105"/>
        <v>1</v>
      </c>
    </row>
    <row r="3371" spans="1:4" ht="29" x14ac:dyDescent="0.35">
      <c r="A3371" s="4" t="s">
        <v>3427</v>
      </c>
      <c r="B3371">
        <v>4</v>
      </c>
      <c r="C3371" t="str">
        <f t="shared" si="104"/>
        <v>EMSG:A report shows that the XXXSTRACE:the  XXX RAM XXX CREW SHORT XXXXXXX SLT has been flagged as having Vehicle History activity.
	at edge.capabilities.quote.submission.quoting.util.SubmissionUnderwritingIssuesUtil.checkSideBySideProcessExceptions(Submi</v>
      </c>
      <c r="D3371" s="3">
        <f t="shared" si="105"/>
        <v>1</v>
      </c>
    </row>
    <row r="3372" spans="1:4" ht="29" x14ac:dyDescent="0.35">
      <c r="A3372" s="4" t="s">
        <v>3428</v>
      </c>
      <c r="B3372">
        <v>4</v>
      </c>
      <c r="C3372" t="str">
        <f t="shared" si="104"/>
        <v>EMSG:A report shows that the XXXSTRACE:the  XXX TOYOTA CAMRY SOLARA XXXD SE/SLE VXXX has been flagged as having Vehicle History activity.
	at edge.capabilities.quote.submission.quoting.util.SubmissionUnderwritingIssuesUtil.checkSideBySideProcessExceptions</v>
      </c>
      <c r="D3372" s="3">
        <f t="shared" si="105"/>
        <v>1</v>
      </c>
    </row>
    <row r="3373" spans="1:4" x14ac:dyDescent="0.35">
      <c r="A3373" t="s">
        <v>3429</v>
      </c>
      <c r="B3373">
        <v>4</v>
      </c>
      <c r="C3373" t="str">
        <f t="shared" si="104"/>
        <v>EMSG:Attempt to remove required coverage for pattern Special Limits on Personal Property  Pattern nullSTRACE:edge.capabilities.policycommon.coverage.util.CoverageUtil.updateFrom XXXSTRACERAW:-</v>
      </c>
      <c r="D3373" s="3">
        <f t="shared" si="105"/>
        <v>1</v>
      </c>
    </row>
    <row r="3374" spans="1:4" ht="87" x14ac:dyDescent="0.35">
      <c r="A3374" s="4" t="s">
        <v>3430</v>
      </c>
      <c r="B3374">
        <v>4</v>
      </c>
      <c r="C3374" t="str">
        <f t="shared" si="104"/>
        <v xml:space="preserve">EMSG:Dwelling at XXXSTRACE:XXX Martys Way, Gales Ferry, CT: Personal Property is no longer available and has been removed.; Dwelling at XXX Martys Way, Gales Ferry, CT: Loss of Use is no longer available and has been removed.; Dwelling at XXX Martys Way, </v>
      </c>
      <c r="D3374" s="3">
        <f t="shared" si="105"/>
        <v>1</v>
      </c>
    </row>
    <row r="3375" spans="1:4" x14ac:dyDescent="0.35">
      <c r="A3375" t="s">
        <v>3431</v>
      </c>
      <c r="B3375">
        <v>4</v>
      </c>
      <c r="C3375" t="str">
        <f t="shared" si="104"/>
        <v>EMSG:For eligible contact Jacob Eldredge credit score is null. Please make sure credit is orderedSTRACE:com.farmers.config.common.credit.CreditScoreHelper.populateRatingCreditDTO(CreditScoreHelper.gs:XXXSTRACERAW:-</v>
      </c>
      <c r="D3375" s="3">
        <f t="shared" si="105"/>
        <v>1</v>
      </c>
    </row>
    <row r="3376" spans="1:4" x14ac:dyDescent="0.35">
      <c r="A3376" t="s">
        <v>3432</v>
      </c>
      <c r="B3376">
        <v>4</v>
      </c>
      <c r="C3376" t="str">
        <f t="shared" si="104"/>
        <v>EMSG:For eligible contact Luis Canseco credit score is null. Please make sure credit is orderedSTRACE:com.farmers.config.common.credit.CreditScoreHelper.populateRatingCreditDTO(CreditScoreHelper.gs:XXXSTRACERAW:-</v>
      </c>
      <c r="D3376" s="3">
        <f t="shared" si="105"/>
        <v>1</v>
      </c>
    </row>
    <row r="3377" spans="1:4" x14ac:dyDescent="0.35">
      <c r="A3377" t="s">
        <v>3433</v>
      </c>
      <c r="B3377">
        <v>4</v>
      </c>
      <c r="C3377" t="str">
        <f t="shared" si="104"/>
        <v>EMSG:For eligible contact Michael Tavey credit score is null. Please make sure credit is orderedSTRACE:com.farmers.config.common.credit.CreditScoreHelper.populateRatingCreditDTO(CreditScoreHelper.gs:XXXSTRACERAW:-</v>
      </c>
      <c r="D3377" s="3">
        <f t="shared" si="105"/>
        <v>1</v>
      </c>
    </row>
    <row r="3378" spans="1:4" x14ac:dyDescent="0.35">
      <c r="A3378" t="s">
        <v>3434</v>
      </c>
      <c r="B3378">
        <v>4</v>
      </c>
      <c r="C3378" t="str">
        <f t="shared" si="104"/>
        <v>EMSG:For eligible contact Samantha Schmittinger credit score is null. Please make sure credit is orderedSTRACE:com.farmers.config.common.credit.CreditScoreHelper.populateRatingCreditDTO(CreditScoreHelper.gs:XXXSTRACERAW:-</v>
      </c>
      <c r="D3378" s="3">
        <f t="shared" si="105"/>
        <v>1</v>
      </c>
    </row>
    <row r="3379" spans="1:4" x14ac:dyDescent="0.35">
      <c r="A3379" t="s">
        <v>3435</v>
      </c>
      <c r="B3379">
        <v>4</v>
      </c>
      <c r="C3379" t="str">
        <f t="shared" si="104"/>
        <v>EMSG:For eligible contact Treshaun Brantley credit score is null. Please make sure credit is orderedSTRACE:com.farmers.config.common.credit.CreditScoreHelper.populateRatingCreditDTO(CreditScoreHelper.gs:XXXSTRACERAW:-</v>
      </c>
      <c r="D3379" s="3">
        <f t="shared" si="105"/>
        <v>1</v>
      </c>
    </row>
    <row r="3380" spans="1:4" ht="43.5" x14ac:dyDescent="0.35">
      <c r="A3380" s="4" t="s">
        <v>3436</v>
      </c>
      <c r="B3380">
        <v>4</v>
      </c>
      <c r="C3380" t="str">
        <f t="shared" si="104"/>
        <v>EMSG:Found more than one target of the property XXXSTRACE:XXX Budlong Ave, Torrance, CA': ['HOConstructionDetails_Ext:pc:XXX - Dwelling Construction Details', 'HOConstructionDetails_Ext:pc:XXX - Dwelling Construction Details']. This could be due to a conc</v>
      </c>
      <c r="D3380" s="3">
        <f t="shared" si="105"/>
        <v>1</v>
      </c>
    </row>
    <row r="3381" spans="1:4" ht="43.5" x14ac:dyDescent="0.35">
      <c r="A3381" s="4" t="s">
        <v>3437</v>
      </c>
      <c r="B3381">
        <v>4</v>
      </c>
      <c r="C3381" t="str">
        <f t="shared" si="104"/>
        <v>EMSG:Found more than one target of the property XXXSTRACE:XXX Charlemagne Ct, Tracy, CA': ['HOConstructionDetails_Ext:pc:XXX - Dwelling Construction Details', 'HOConstructionDetails_Ext:pc:XXX - Dwelling Construction Details']. This could be due to a conc</v>
      </c>
      <c r="D3381" s="3">
        <f t="shared" si="105"/>
        <v>1</v>
      </c>
    </row>
    <row r="3382" spans="1:4" ht="43.5" x14ac:dyDescent="0.35">
      <c r="A3382" s="4" t="s">
        <v>3438</v>
      </c>
      <c r="B3382">
        <v>4</v>
      </c>
      <c r="C3382" t="str">
        <f t="shared" si="104"/>
        <v>EMSG:Found more than one target of the property XXXSTRACE:XXX N Shady St, Visalia, CA': ['HOConstructionDetails_Ext:pc:XXX - Dwelling Construction Details', 'HOConstructionDetails_Ext:pc:XXX - Dwelling Construction Details']. This could be due to a concur</v>
      </c>
      <c r="D3382" s="3">
        <f t="shared" si="105"/>
        <v>1</v>
      </c>
    </row>
    <row r="3383" spans="1:4" ht="43.5" x14ac:dyDescent="0.35">
      <c r="A3383" s="4" t="s">
        <v>3439</v>
      </c>
      <c r="B3383">
        <v>4</v>
      </c>
      <c r="C3383" t="str">
        <f t="shared" si="104"/>
        <v>EMSG:Found more than one target of the property XXXSTRACE:XXX Royal St George, LA Quinta, CA': ['HOConstructionDetails_Ext:pc:XXX - Dwelling Construction Details', 'HOConstructionDetails_Ext:pc:XXX - Dwelling Construction Details']. This could be due to a</v>
      </c>
      <c r="D3383" s="3">
        <f t="shared" si="105"/>
        <v>1</v>
      </c>
    </row>
    <row r="3384" spans="1:4" ht="43.5" x14ac:dyDescent="0.35">
      <c r="A3384" s="4" t="s">
        <v>3440</v>
      </c>
      <c r="B3384">
        <v>4</v>
      </c>
      <c r="C3384" t="str">
        <f t="shared" si="104"/>
        <v>EMSG:Found more than one target of the property XXXSTRACE:XXX Vista Del Rio, Santa Maria, CA': ['HOConstructionDetails_Ext:pc:XXX - Dwelling Construction Details', 'HOConstructionDetails_Ext:pc:XXX - Dwelling Construction Details']. This could be due to a</v>
      </c>
      <c r="D3384" s="3">
        <f t="shared" si="105"/>
        <v>1</v>
      </c>
    </row>
    <row r="3385" spans="1:4" ht="43.5" x14ac:dyDescent="0.35">
      <c r="A3385" s="4" t="s">
        <v>3441</v>
      </c>
      <c r="B3385">
        <v>4</v>
      </c>
      <c r="C3385" t="str">
        <f t="shared" si="104"/>
        <v>EMSG:PolicyAddress with FixedID:XXX and window XXXSTRACE:Jan XXX XXX:XXX:XXX PST XXX - Mon Feb XXX XXX:XXX:XXX PST XXX overlaps with Sat Jan XXX XXX:XXX:XXX PST XXX - Tue Mar XXX XXX:XXX:XXX PDT XXX
	at deployment.pc.war//com.guidewire.pl.system.entity.pr</v>
      </c>
      <c r="D3385" s="3">
        <f t="shared" si="105"/>
        <v>1</v>
      </c>
    </row>
    <row r="3386" spans="1:4" x14ac:dyDescent="0.35">
      <c r="A3386" t="s">
        <v>3442</v>
      </c>
      <c r="B3386">
        <v>4</v>
      </c>
      <c r="C3386" t="str">
        <f t="shared" si="104"/>
        <v>EMSG:Re-enter "License #". Duplicate License Number entered for the following Drivers Anthony MalcolmSTRACE:edge.capabilities.quote.submission.quoting.util.SubmissionUnderwritingIssuesUtil.checkVerifyRateExceptions(SubmissionUnderwritingIssuesUtil.gs:XXXS</v>
      </c>
      <c r="D3386" s="3">
        <f t="shared" si="105"/>
        <v>1</v>
      </c>
    </row>
    <row r="3387" spans="1:4" x14ac:dyDescent="0.35">
      <c r="A3387" t="s">
        <v>3443</v>
      </c>
      <c r="B3387">
        <v>4</v>
      </c>
      <c r="C3387" t="str">
        <f t="shared" si="104"/>
        <v>EMSG:Update Signal Phone number for Jillian Jules-mcintosh. Each driver enrolled in the Signal program needs a unique cell phone number.;Update Signal Phone number for Michael R Mcintosh. Each driver enrolled in the Signal program needs a unique cell phon</v>
      </c>
      <c r="D3387" s="3">
        <f t="shared" si="105"/>
        <v>1</v>
      </c>
    </row>
    <row r="3388" spans="1:4" x14ac:dyDescent="0.35">
      <c r="A3388" t="s">
        <v>3444</v>
      </c>
      <c r="B3388">
        <v>4</v>
      </c>
      <c r="C3388" t="str">
        <f t="shared" si="104"/>
        <v>EMSG:Update Signal Phone number for Paul Ward. Each driver enrolled in the Signal program needs a unique cell phone number.;Update Signal Phone number for JOE PAIZ. Each driver enrolled in the Signal program needs a unique cell phone number.;STRACE:edge.c</v>
      </c>
      <c r="D3388" s="3">
        <f t="shared" si="105"/>
        <v>1</v>
      </c>
    </row>
    <row r="3389" spans="1:4" x14ac:dyDescent="0.35">
      <c r="A3389" t="s">
        <v>3445</v>
      </c>
      <c r="B3389">
        <v>4</v>
      </c>
      <c r="C3389" t="str">
        <f t="shared" si="104"/>
        <v>EMSG:[XXX] Cannot load a temporary id from the backing entity source: AccountLocation:XXXSTRACE:deployment.pc.war//com.guidewire.pl.system.bundle.EntityBundleImpl.loadBeans(EntityBundleImpl.java:XXXSTRACERAW:-</v>
      </c>
      <c r="D3389" s="3">
        <f t="shared" si="105"/>
        <v>1</v>
      </c>
    </row>
    <row r="3390" spans="1:4" x14ac:dyDescent="0.35">
      <c r="A3390" t="s">
        <v>659</v>
      </c>
      <c r="B3390">
        <v>3</v>
      </c>
      <c r="C3390" t="str">
        <f t="shared" si="104"/>
        <v>EMSG:, AOR=XXXSTRACE:java.base/java.lang.String.contains(String.java:XXXSTRACERAW:-</v>
      </c>
      <c r="D3390" s="3">
        <f t="shared" si="105"/>
        <v>1</v>
      </c>
    </row>
    <row r="3391" spans="1:4" x14ac:dyDescent="0.35">
      <c r="A3391" t="s">
        <v>3446</v>
      </c>
      <c r="B3391">
        <v>3</v>
      </c>
      <c r="C3391" t="str">
        <f t="shared" si="104"/>
        <v>EMSG:-STRACE:com.farmers.edge.capabilities.policyjob.lob.personalauto.util.VehicleUtil$block_XXX_$block_XXX_.invoke(VehicleUtil.gs:XXXSTRACERAW:-</v>
      </c>
      <c r="D3391" s="3">
        <f t="shared" si="105"/>
        <v>1</v>
      </c>
    </row>
    <row r="3392" spans="1:4" ht="43.5" x14ac:dyDescent="0.35">
      <c r="A3392" s="4" t="s">
        <v>3447</v>
      </c>
      <c r="B3392">
        <v>3</v>
      </c>
      <c r="C3392" t="str">
        <f t="shared" si="104"/>
        <v>EMSG:-STRACE:least one vehicle. Since the number of vehicles is greater than the number of drivers, each driver must be a Primary Driver on at least one vehicle.
Update Primary Driver on the Vehicle XXX HONDA ACCORD XXXD SPORT. Primary Driver not found on</v>
      </c>
      <c r="D3392" s="3">
        <f t="shared" si="105"/>
        <v>1</v>
      </c>
    </row>
    <row r="3393" spans="1:4" ht="58" x14ac:dyDescent="0.35">
      <c r="A3393" s="4" t="s">
        <v>3448</v>
      </c>
      <c r="B3393">
        <v>3</v>
      </c>
      <c r="C3393" t="str">
        <f t="shared" si="104"/>
        <v>EMSG:-STRACE:least one vehicle. Since the number of vehicles is greater than the number of drivers, each driver must be a Primary Driver on at least one vehicle.
Update Primary Driver on the Vehicle XXX TOYOTA COROLLA SEDAN XXXWD CE/LE/S. Primary Driver n</v>
      </c>
      <c r="D3393" s="3">
        <f t="shared" si="105"/>
        <v>1</v>
      </c>
    </row>
    <row r="3394" spans="1:4" ht="29" x14ac:dyDescent="0.35">
      <c r="A3394" s="4" t="s">
        <v>918</v>
      </c>
      <c r="B3394">
        <v>3</v>
      </c>
      <c r="C3394" t="str">
        <f t="shared" si="104"/>
        <v>EMSG:Database bean version conflict : XXXSTRACE:Kumar at XXX/XXX/XXX XXX:XXX PM. Please cancel and retry your change.
	at deployment.pc.war//com.guidewire.pl.system.database.DatabaseChangedBeanWriter.createConcurrentDataChangeException(DatabaseChangedBean</v>
      </c>
      <c r="D3394" s="3">
        <f t="shared" si="105"/>
        <v>1</v>
      </c>
    </row>
    <row r="3395" spans="1:4" ht="29" x14ac:dyDescent="0.35">
      <c r="A3395" s="4" t="s">
        <v>3449</v>
      </c>
      <c r="B3395">
        <v>3</v>
      </c>
      <c r="C3395" t="str">
        <f t="shared" ref="C3395:C3458" si="106">LEFT(A3395,255)</f>
        <v>EMSG:Dwelling at XXXSTRACE:XXX Bear Creek Rd, Madera, CA: XXX% Limit on Loss of Use is no longer available and has been removed. Please enter a new value.
	at gw.api.extension.PCExtensionInterfacesMapper$block_XXX_.invoke(PCExtensionInterfacesMapper.gs:XX</v>
      </c>
      <c r="D3395" s="3">
        <f t="shared" ref="D3395:D3458" si="107">IF(AND((B3395/10)&lt;1,(B3395/10)&gt;0),1,(B3395/10)*130%)</f>
        <v>1</v>
      </c>
    </row>
    <row r="3396" spans="1:4" ht="43.5" x14ac:dyDescent="0.35">
      <c r="A3396" s="4" t="s">
        <v>3450</v>
      </c>
      <c r="B3396">
        <v>3</v>
      </c>
      <c r="C3396" t="str">
        <f t="shared" si="106"/>
        <v>EMSG:Dwelling at XXXSTRACE:XXX Cattle Baron Rd, Fairview, TX: Replacement Cost Value Valuation Method on Personal Property is no longer available and has been removed. Please enter a new value.
	at gw.api.extension.PCExtensionInterfacesMapper$block_XXX_.i</v>
      </c>
      <c r="D3396" s="3">
        <f t="shared" si="107"/>
        <v>1</v>
      </c>
    </row>
    <row r="3397" spans="1:4" ht="29" x14ac:dyDescent="0.35">
      <c r="A3397" s="4" t="s">
        <v>3451</v>
      </c>
      <c r="B3397">
        <v>3</v>
      </c>
      <c r="C3397" t="str">
        <f t="shared" si="106"/>
        <v>EMSG:Dwelling at XXXSTRACE:XXX Claremont Dr, Concord, CA: XXX% Limit on Loss of Use is no longer available and has been removed. Please enter a new value.
	at gw.api.extension.PCExtensionInterfacesMapper$block_XXX_.invoke(PCExtensionInterfacesMapper.gs:XX</v>
      </c>
      <c r="D3397" s="3">
        <f t="shared" si="107"/>
        <v>1</v>
      </c>
    </row>
    <row r="3398" spans="1:4" ht="29" x14ac:dyDescent="0.35">
      <c r="A3398" s="4" t="s">
        <v>3452</v>
      </c>
      <c r="B3398">
        <v>3</v>
      </c>
      <c r="C3398" t="str">
        <f t="shared" si="106"/>
        <v>EMSG:Dwelling at XXXSTRACE:XXX Dehia St, Poway, CA: XXX% Limit on Loss of Use is no longer available and has been removed. Please enter a new value.
	at gw.api.extension.PCExtensionInterfacesMapper$block_XXX_.invoke(PCExtensionInterfacesMapper.gs:XXXSTRAC</v>
      </c>
      <c r="D3398" s="3">
        <f t="shared" si="107"/>
        <v>1</v>
      </c>
    </row>
    <row r="3399" spans="1:4" ht="29" x14ac:dyDescent="0.35">
      <c r="A3399" s="4" t="s">
        <v>3453</v>
      </c>
      <c r="B3399">
        <v>3</v>
      </c>
      <c r="C3399" t="str">
        <f t="shared" si="106"/>
        <v>EMSG:Dwelling at XXXSTRACE:XXX Eastvale Rd, Poway, CA: XXX% Limit on Loss of Use is no longer available and has been removed. Please enter a new value.
	at gw.api.extension.PCExtensionInterfacesMapper$block_XXX_.invoke(PCExtensionInterfacesMapper.gs:XXXST</v>
      </c>
      <c r="D3399" s="3">
        <f t="shared" si="107"/>
        <v>1</v>
      </c>
    </row>
    <row r="3400" spans="1:4" ht="29" x14ac:dyDescent="0.35">
      <c r="A3400" s="4" t="s">
        <v>3454</v>
      </c>
      <c r="B3400">
        <v>3</v>
      </c>
      <c r="C3400" t="str">
        <f t="shared" si="106"/>
        <v>EMSG:Dwelling at XXXSTRACE:XXX Grey Stone Rd, Poway, CA: XXX% Limit on Loss of Use is no longer available and has been removed. Please enter a new value.
	at gw.api.extension.PCExtensionInterfacesMapper$block_XXX_.invoke(PCExtensionInterfacesMapper.gs:XXX</v>
      </c>
      <c r="D3400" s="3">
        <f t="shared" si="107"/>
        <v>1</v>
      </c>
    </row>
    <row r="3401" spans="1:4" ht="29" x14ac:dyDescent="0.35">
      <c r="A3401" s="4" t="s">
        <v>3455</v>
      </c>
      <c r="B3401">
        <v>3</v>
      </c>
      <c r="C3401" t="str">
        <f t="shared" si="106"/>
        <v>EMSG:Dwelling at XXXSTRACE:XXX Iron Creek Dr, Friant, CA: XXX% Limit on Loss of Use is no longer available and has been removed. Please enter a new value.
	at gw.api.extension.PCExtensionInterfacesMapper$block_XXX_.invoke(PCExtensionInterfacesMapper.gs:XX</v>
      </c>
      <c r="D3401" s="3">
        <f t="shared" si="107"/>
        <v>1</v>
      </c>
    </row>
    <row r="3402" spans="1:4" ht="29" x14ac:dyDescent="0.35">
      <c r="A3402" s="4" t="s">
        <v>3456</v>
      </c>
      <c r="B3402">
        <v>3</v>
      </c>
      <c r="C3402" t="str">
        <f t="shared" si="106"/>
        <v>EMSG:Dwelling at XXXSTRACE:XXX Jenell St, Poway, CA: XXX% Limit on Loss of Use is no longer available and has been removed. Please enter a new value.
	at gw.api.extension.PCExtensionInterfacesMapper$block_XXX_.invoke(PCExtensionInterfacesMapper.gs:XXXSTRA</v>
      </c>
      <c r="D3402" s="3">
        <f t="shared" si="107"/>
        <v>1</v>
      </c>
    </row>
    <row r="3403" spans="1:4" ht="43.5" x14ac:dyDescent="0.35">
      <c r="A3403" s="4" t="s">
        <v>3457</v>
      </c>
      <c r="B3403">
        <v>3</v>
      </c>
      <c r="C3403" t="str">
        <f t="shared" si="106"/>
        <v>EMSG:Dwelling at XXXSTRACE:XXX Mistyhill Rd, North Chesterfield, VA: No message configured; Dwelling at XXX Mistyhill Rd, North Chesterfield, VA: Standard Limit on Special Limits on Personal Property is no longer available and has been removed. Please ent</v>
      </c>
      <c r="D3403" s="3">
        <f t="shared" si="107"/>
        <v>1</v>
      </c>
    </row>
    <row r="3404" spans="1:4" ht="43.5" x14ac:dyDescent="0.35">
      <c r="A3404" s="4" t="s">
        <v>3458</v>
      </c>
      <c r="B3404">
        <v>3</v>
      </c>
      <c r="C3404" t="str">
        <f t="shared" si="106"/>
        <v>EMSG:Dwelling at XXXSTRACE:XXX Mistyhill Rd, North Chesterfield, VA: Standard Limit on Special Limits on Personal Property is no longer available and has been removed. Please enter a new value.
	at gw.api.extension.PCExtensionInterfacesMapper$block_XXX_.i</v>
      </c>
      <c r="D3404" s="3">
        <f t="shared" si="107"/>
        <v>1</v>
      </c>
    </row>
    <row r="3405" spans="1:4" ht="29" x14ac:dyDescent="0.35">
      <c r="A3405" s="4" t="s">
        <v>3459</v>
      </c>
      <c r="B3405">
        <v>3</v>
      </c>
      <c r="C3405" t="str">
        <f t="shared" si="106"/>
        <v>EMSG:Dwelling at XXXSTRACE:XXX Oak Trail Ct, Alamo, CA: XXX% Limit on Loss of Use is no longer available and has been removed. Please enter a new value.
	at gw.api.extension.PCExtensionInterfacesMapper$block_XXX_.invoke(PCExtensionInterfacesMapper.gs:XXXS</v>
      </c>
      <c r="D3405" s="3">
        <f t="shared" si="107"/>
        <v>1</v>
      </c>
    </row>
    <row r="3406" spans="1:4" ht="29" x14ac:dyDescent="0.35">
      <c r="A3406" s="4" t="s">
        <v>3460</v>
      </c>
      <c r="B3406">
        <v>3</v>
      </c>
      <c r="C3406" t="str">
        <f t="shared" si="106"/>
        <v>EMSG:Dwelling at XXXSTRACE:XXX Overview Rd, Poway, CA: XXX% Limit on Loss of Use is no longer available and has been removed. Please enter a new value.
	at gw.api.extension.PCExtensionInterfacesMapper$block_XXX_.invoke(PCExtensionInterfacesMapper.gs:XXXST</v>
      </c>
      <c r="D3406" s="3">
        <f t="shared" si="107"/>
        <v>1</v>
      </c>
    </row>
    <row r="3407" spans="1:4" ht="29" x14ac:dyDescent="0.35">
      <c r="A3407" s="4" t="s">
        <v>3461</v>
      </c>
      <c r="B3407">
        <v>3</v>
      </c>
      <c r="C3407" t="str">
        <f t="shared" si="106"/>
        <v>EMSG:Dwelling at XXXSTRACE:XXX Ranger Rd, Clovis, CA: XXX% Limit on Loss of Use is no longer available and has been removed. Please enter a new value.
	at gw.api.extension.PCExtensionInterfacesMapper$block_XXX_.invoke(PCExtensionInterfacesMapper.gs:XXXSTR</v>
      </c>
      <c r="D3407" s="3">
        <f t="shared" si="107"/>
        <v>1</v>
      </c>
    </row>
    <row r="3408" spans="1:4" ht="29" x14ac:dyDescent="0.35">
      <c r="A3408" s="4" t="s">
        <v>3462</v>
      </c>
      <c r="B3408">
        <v>3</v>
      </c>
      <c r="C3408" t="str">
        <f t="shared" si="106"/>
        <v>EMSG:Dwelling at XXXSTRACE:XXX Sagewood Dr, Poway, CA: XXX% Limit on Loss of Use is no longer available and has been removed. Please enter a new value.
	at gw.api.extension.PCExtensionInterfacesMapper$block_XXX_.invoke(PCExtensionInterfacesMapper.gs:XXXST</v>
      </c>
      <c r="D3408" s="3">
        <f t="shared" si="107"/>
        <v>1</v>
      </c>
    </row>
    <row r="3409" spans="1:4" ht="29" x14ac:dyDescent="0.35">
      <c r="A3409" s="4" t="s">
        <v>3463</v>
      </c>
      <c r="B3409">
        <v>3</v>
      </c>
      <c r="C3409" t="str">
        <f t="shared" si="106"/>
        <v>EMSG:Dwelling at XXXSTRACE:XXX Whisonant Ln, Warrior, AL: Perils on Personal Property is now available and its value must be verified by the user.
	at gw.api.extension.PCExtensionInterfacesMapper$block_XXX_.invoke(PCExtensionInterfacesMapper.gs:XXXSTRACER</v>
      </c>
      <c r="D3409" s="3">
        <f t="shared" si="107"/>
        <v>1</v>
      </c>
    </row>
    <row r="3410" spans="1:4" ht="29" x14ac:dyDescent="0.35">
      <c r="A3410" s="4" t="s">
        <v>3464</v>
      </c>
      <c r="B3410">
        <v>3</v>
      </c>
      <c r="C3410" t="str">
        <f t="shared" si="106"/>
        <v>EMSG:Dwelling at XXXSTRACE:XXX White Ave, King Of Prussia, PA: Perils on Personal Property is now available and its value must be verified by the user.
	at gw.api.extension.PCExtensionInterfacesMapper$block_XXX_.invoke(PCExtensionInterfacesMapper.gs:XXXST</v>
      </c>
      <c r="D3410" s="3">
        <f t="shared" si="107"/>
        <v>1</v>
      </c>
    </row>
    <row r="3411" spans="1:4" x14ac:dyDescent="0.35">
      <c r="A3411" t="s">
        <v>3465</v>
      </c>
      <c r="B3411">
        <v>3</v>
      </c>
      <c r="C3411" t="str">
        <f t="shared" si="106"/>
        <v>EMSG:For eligible contact VANNESSA THOMAS credit score is null. Please make sure credit is orderedSTRACE:com.farmers.config.common.credit.CreditScoreHelper.populateRatingCreditDTO(CreditScoreHelper.gs:XXXSTRACERAW:-</v>
      </c>
      <c r="D3411" s="3">
        <f t="shared" si="107"/>
        <v>1</v>
      </c>
    </row>
    <row r="3412" spans="1:4" ht="58" x14ac:dyDescent="0.35">
      <c r="A3412" s="4" t="s">
        <v>3466</v>
      </c>
      <c r="B3412">
        <v>3</v>
      </c>
      <c r="C3412" t="str">
        <f t="shared" si="106"/>
        <v>EMSG:LUW Policy Change Job XXX: The object you are trying to update was XXXSTRACE:XXX/XXX/XXX XXX:XXX AM. Please cancel and retry your change.
The object you are trying to update was 'Policy:CN:0529771367094XXX - CN:0529771367094XXX', and it was changed b</v>
      </c>
      <c r="D3412" s="3">
        <f t="shared" si="107"/>
        <v>1</v>
      </c>
    </row>
    <row r="3413" spans="1:4" ht="58" x14ac:dyDescent="0.35">
      <c r="A3413" s="4" t="s">
        <v>3467</v>
      </c>
      <c r="B3413">
        <v>3</v>
      </c>
      <c r="C3413" t="str">
        <f t="shared" si="106"/>
        <v xml:space="preserve">EMSG:LUW Policy Change Job XXX: The object you are trying to update was XXXSTRACE:XXX/XXX/XXX XXX:XXX AM. Please cancel and retry your change.
The object you are trying to update was 'Policy:CN:19041655250789680011063XXX - CN:19041655250789680011063XXX', </v>
      </c>
      <c r="D3413" s="3">
        <f t="shared" si="107"/>
        <v>1</v>
      </c>
    </row>
    <row r="3414" spans="1:4" ht="43.5" x14ac:dyDescent="0.35">
      <c r="A3414" s="4" t="s">
        <v>915</v>
      </c>
      <c r="B3414">
        <v>3</v>
      </c>
      <c r="C3414" t="str">
        <f t="shared" si="106"/>
        <v>EMSG:LUW Policy Change Job XXX: The object you are trying to update was XXXSTRACE:XXX/XXX/XXX XXX:XXX AM. Please cancel and retry your change.
The object you are trying to update was 'Policy:pc:XXX - pc:XXX', and it was changed by LUW u at XXX/XXX/XXX XXX</v>
      </c>
      <c r="D3414" s="3">
        <f t="shared" si="107"/>
        <v>1</v>
      </c>
    </row>
    <row r="3415" spans="1:4" ht="58" x14ac:dyDescent="0.35">
      <c r="A3415" s="4" t="s">
        <v>3468</v>
      </c>
      <c r="B3415">
        <v>3</v>
      </c>
      <c r="C3415" t="str">
        <f t="shared" si="106"/>
        <v>EMSG:LUW Policy Change Job XXX: The object you are trying to update was XXXSTRACE:XXX/XXX/XXX XXX:XXX PM. Please cancel and retry your change.
The object you are trying to update was 'Policy:CN:010043445106256545560262XXX - CN:010043445106256545560262XXX'</v>
      </c>
      <c r="D3415" s="3">
        <f t="shared" si="107"/>
        <v>1</v>
      </c>
    </row>
    <row r="3416" spans="1:4" ht="58" x14ac:dyDescent="0.35">
      <c r="A3416" s="4" t="s">
        <v>3469</v>
      </c>
      <c r="B3416">
        <v>3</v>
      </c>
      <c r="C3416" t="str">
        <f t="shared" si="106"/>
        <v xml:space="preserve">EMSG:LUW Policy Change Job XXX: The object you are trying to update was XXXSTRACE:XXX/XXX/XXX XXX:XXX PM. Please cancel and retry your change.
The object you are trying to update was 'Policy:CN:01014251730011203564001XXX - CN:01014251730011203564001XXX', </v>
      </c>
      <c r="D3416" s="3">
        <f t="shared" si="107"/>
        <v>1</v>
      </c>
    </row>
    <row r="3417" spans="1:4" ht="58" x14ac:dyDescent="0.35">
      <c r="A3417" s="4" t="s">
        <v>3470</v>
      </c>
      <c r="B3417">
        <v>3</v>
      </c>
      <c r="C3417" t="str">
        <f t="shared" si="106"/>
        <v>EMSG:LUW Policy Change Job XXX: The object you are trying to update was XXXSTRACE:XXX/XXX/XXX XXX:XXX PM. Please cancel and retry your change.
The object you are trying to update was 'Policy:CN:093390259900919368750092XXX - CN:093390259900919368750092XXX'</v>
      </c>
      <c r="D3417" s="3">
        <f t="shared" si="107"/>
        <v>1</v>
      </c>
    </row>
    <row r="3418" spans="1:4" ht="58" x14ac:dyDescent="0.35">
      <c r="A3418" s="4" t="s">
        <v>3471</v>
      </c>
      <c r="B3418">
        <v>3</v>
      </c>
      <c r="C3418" t="str">
        <f t="shared" si="106"/>
        <v>EMSG:LUW Policy Change Job XXX: The object you are trying to update was XXXSTRACE:XXX/XXX/XXX XXX:XXX PM. Please cancel and retry your change.
The object you are trying to update was 'Policy:CN:202778541805254647050201XXX - CN:202778541805254647050201XXX'</v>
      </c>
      <c r="D3418" s="3">
        <f t="shared" si="107"/>
        <v>1</v>
      </c>
    </row>
    <row r="3419" spans="1:4" x14ac:dyDescent="0.35">
      <c r="A3419" t="s">
        <v>3472</v>
      </c>
      <c r="B3419">
        <v>3</v>
      </c>
      <c r="C3419" t="str">
        <f t="shared" si="106"/>
        <v>EMSG:MADISYNE SYKESSTRACE:com.farmers.config.pa.validator.BrightlineValidator.validateQuoteBrightlineRules(BrightlineValidator.gs:XXXSTRACERAW:-</v>
      </c>
      <c r="D3419" s="3">
        <f t="shared" si="107"/>
        <v>1</v>
      </c>
    </row>
    <row r="3420" spans="1:4" x14ac:dyDescent="0.35">
      <c r="A3420" t="s">
        <v>3473</v>
      </c>
      <c r="B3420">
        <v>3</v>
      </c>
      <c r="C3420" t="str">
        <f t="shared" si="106"/>
        <v>EMSG:MADISYNE SYKESSTRACE:gw.job.QuoteProcess.requestQuote(QuoteProcess.gs:XXXSTRACERAW:-</v>
      </c>
      <c r="D3420" s="3">
        <f t="shared" si="107"/>
        <v>1</v>
      </c>
    </row>
    <row r="3421" spans="1:4" x14ac:dyDescent="0.35">
      <c r="A3421" t="s">
        <v>3474</v>
      </c>
      <c r="B3421">
        <v>3</v>
      </c>
      <c r="C3421" t="str">
        <f t="shared" si="106"/>
        <v>EMSG:MVR APP ERROR: OH-LEXISNEXIS REJECT:LAST NAME INVALID OR MISSING for unit VQXXXOHSTRACE:com.farmers.config.common.mvr.MVRProcess.createCacheFromResponse(MVRProcess.gs:XXXSTRACERAW:-</v>
      </c>
      <c r="D3421" s="3">
        <f t="shared" si="107"/>
        <v>1</v>
      </c>
    </row>
    <row r="3422" spans="1:4" x14ac:dyDescent="0.35">
      <c r="A3422" t="s">
        <v>3475</v>
      </c>
      <c r="B3422">
        <v>3</v>
      </c>
      <c r="C3422" t="str">
        <f t="shared" si="106"/>
        <v>EMSG:One or more null constraint violations detected for PAIncidentRecord_ExtSTRACE:deployment.pc.war//com.guidewire.pl.system.database.entitywriter.DatabaseEntityWriterImpl.checkForNullConstraintViolation(DatabaseEntityWriterImpl.java:XXXSTRACERAW:-</v>
      </c>
      <c r="D3422" s="3">
        <f t="shared" si="107"/>
        <v>1</v>
      </c>
    </row>
    <row r="3423" spans="1:4" ht="72.5" x14ac:dyDescent="0.35">
      <c r="A3423" s="4" t="s">
        <v>3476</v>
      </c>
      <c r="B3423">
        <v>3</v>
      </c>
      <c r="C3423" t="str">
        <f t="shared" si="106"/>
        <v>EMSG:Select XXX as the Primary Driver on at least one vehicle. Since the number of vehicles is greater than the number of driversSTRACE:least one vehicle. Since the number of vehicles is greater than the number of drivers, each driver must be a Primary Dr</v>
      </c>
      <c r="D3423" s="3">
        <f t="shared" si="107"/>
        <v>1</v>
      </c>
    </row>
    <row r="3424" spans="1:4" ht="72.5" x14ac:dyDescent="0.35">
      <c r="A3424" s="4" t="s">
        <v>3477</v>
      </c>
      <c r="B3424">
        <v>3</v>
      </c>
      <c r="C3424" t="str">
        <f t="shared" si="106"/>
        <v>EMSG:Select XXX as the Primary Driver on at least one vehicle. Since the number of vehicles is greater than the number of driversSTRACE:least one vehicle. Since the number of vehicles is greater than the number of drivers, each driver must be a Primary Dr</v>
      </c>
      <c r="D3424" s="3">
        <f t="shared" si="107"/>
        <v>1</v>
      </c>
    </row>
    <row r="3425" spans="1:4" ht="43.5" x14ac:dyDescent="0.35">
      <c r="A3425" s="4" t="s">
        <v>3478</v>
      </c>
      <c r="B3425">
        <v>3</v>
      </c>
      <c r="C3425" t="str">
        <f t="shared" si="106"/>
        <v>EMSG:Update the Primary Driver selection for XXXSTRACE:Brar. Since the number of drivers is equal to or greater than the number of vehicles, a driver can only be selected as Primary Driver for one vehicle.
	at com.farmers.lob.pa.driverassignment.DriverAss</v>
      </c>
      <c r="D3425" s="3">
        <f t="shared" si="107"/>
        <v>1</v>
      </c>
    </row>
    <row r="3426" spans="1:4" ht="43.5" x14ac:dyDescent="0.35">
      <c r="A3426" s="4" t="s">
        <v>3479</v>
      </c>
      <c r="B3426">
        <v>3</v>
      </c>
      <c r="C3426" t="str">
        <f t="shared" si="106"/>
        <v>EMSG:XXX has exceeded the accident and/or violation threshold for eligibility in this program.STRACE:Selshtut has exceeded the accident and/or violation threshold for eligibility in this program.
	at com.farmers.config.pa.validator.BrightlineValidator.val</v>
      </c>
      <c r="D3426" s="3">
        <f t="shared" si="107"/>
        <v>1</v>
      </c>
    </row>
    <row r="3427" spans="1:4" x14ac:dyDescent="0.35">
      <c r="A3427" t="s">
        <v>3480</v>
      </c>
      <c r="B3427">
        <v>2</v>
      </c>
      <c r="C3427" t="str">
        <f t="shared" si="106"/>
        <v>EMSG:, AOR=XXXSTRACE:deployment.pc.war//com.guidewire.pc.domain.account.impl.AccountImpl.beforeUpdate(AccountImpl.java:XXXSTRACERAW:-</v>
      </c>
      <c r="D3427" s="3">
        <f t="shared" si="107"/>
        <v>1</v>
      </c>
    </row>
    <row r="3428" spans="1:4" x14ac:dyDescent="0.35">
      <c r="A3428" t="s">
        <v>3481</v>
      </c>
      <c r="B3428">
        <v>2</v>
      </c>
      <c r="C3428" t="str">
        <f t="shared" si="106"/>
        <v>EMSG:, AOR=XXXSTRACE:deployment.pc.war//entity.AutoCheckReportDetail_Ext.&lt;init&gt;(AutoCheckReportDetail_Ext.java:XXXSTRACERAW:-</v>
      </c>
      <c r="D3428" s="3">
        <f t="shared" si="107"/>
        <v>1</v>
      </c>
    </row>
    <row r="3429" spans="1:4" x14ac:dyDescent="0.35">
      <c r="A3429" t="s">
        <v>3482</v>
      </c>
      <c r="B3429">
        <v>2</v>
      </c>
      <c r="C3429" t="str">
        <f t="shared" si="106"/>
        <v>EMSG:-STRACE:-STRACERAW:Feb XXX XXX:XXX:XXX PST XXX (attempted merging values Dwelling at XXX Lechuga Rd, Vado, NM and Dwelling at XXX Lechuga Rd, Vado, NM</v>
      </c>
      <c r="D3429" s="3">
        <f t="shared" si="107"/>
        <v>1</v>
      </c>
    </row>
    <row r="3430" spans="1:4" x14ac:dyDescent="0.35">
      <c r="A3430" t="s">
        <v>3483</v>
      </c>
      <c r="B3430">
        <v>2</v>
      </c>
      <c r="C3430" t="str">
        <f t="shared" si="106"/>
        <v>EMSG:-STRACE:-STRACERAW:com.farmers.rating.util.FarmersRatingUtility.closestRenewalTerm(FarmersRatingUtility.gs:XXX</v>
      </c>
      <c r="D3430" s="3">
        <f t="shared" si="107"/>
        <v>1</v>
      </c>
    </row>
    <row r="3431" spans="1:4" x14ac:dyDescent="0.35">
      <c r="A3431" t="s">
        <v>3484</v>
      </c>
      <c r="B3431">
        <v>2</v>
      </c>
      <c r="C3431" t="str">
        <f t="shared" si="106"/>
        <v>EMSG:-STRACE:-STRACERAW:com.guidewire.pc.domain.account.impl.AccountImpl.beforeUpdate(AccountImpl.java:XXX</v>
      </c>
      <c r="D3431" s="3">
        <f t="shared" si="107"/>
        <v>1</v>
      </c>
    </row>
    <row r="3432" spans="1:4" x14ac:dyDescent="0.35">
      <c r="A3432" t="s">
        <v>956</v>
      </c>
      <c r="B3432">
        <v>2</v>
      </c>
      <c r="C3432" t="str">
        <f t="shared" si="106"/>
        <v>EMSG:-STRACE:-STRACERAW:gw.job.ReinstatementEnhancement.startReinstatePolicy(ReinstatementEnhancement.gsx:XXX</v>
      </c>
      <c r="D3432" s="3">
        <f t="shared" si="107"/>
        <v>1</v>
      </c>
    </row>
    <row r="3433" spans="1:4" x14ac:dyDescent="0.35">
      <c r="A3433" t="s">
        <v>547</v>
      </c>
      <c r="B3433">
        <v>2</v>
      </c>
      <c r="C3433" t="str">
        <f t="shared" si="106"/>
        <v>EMSG:-STRACE:-STRACERAW:java.util.AbstractCollection.addAll(AbstractCollection.java:XXX</v>
      </c>
      <c r="D3433" s="3">
        <f t="shared" si="107"/>
        <v>1</v>
      </c>
    </row>
    <row r="3434" spans="1:4" ht="29" x14ac:dyDescent="0.35">
      <c r="A3434" s="4" t="s">
        <v>3485</v>
      </c>
      <c r="B3434">
        <v>2</v>
      </c>
      <c r="C3434" t="str">
        <f t="shared" si="106"/>
        <v>EMSG:A report shows that the XXXSTRACE:the  XXX BUICK ENCORE GX XXXD XXXWD SELECT has been flagged as having Vehicle History activity.
	at edge.capabilities.quote.submission.quoting.util.SubmissionUnderwritingIssuesUtil.checkSideBySideProcessExceptions(Su</v>
      </c>
      <c r="D3434" s="3">
        <f t="shared" si="107"/>
        <v>1</v>
      </c>
    </row>
    <row r="3435" spans="1:4" ht="29" x14ac:dyDescent="0.35">
      <c r="A3435" s="4" t="s">
        <v>3486</v>
      </c>
      <c r="B3435">
        <v>2</v>
      </c>
      <c r="C3435" t="str">
        <f t="shared" si="106"/>
        <v>EMSG:A report shows that the XXXSTRACE:the  XXX CHEVROLET CRUZE XXXD LS has been flagged as having Vehicle History activity.
	at edge.capabilities.quote.submission.quoting.util.SubmissionUnderwritingIssuesUtil.checkSideBySideProcessExceptions(SubmissionUn</v>
      </c>
      <c r="D3435" s="3">
        <f t="shared" si="107"/>
        <v>1</v>
      </c>
    </row>
    <row r="3436" spans="1:4" ht="29" x14ac:dyDescent="0.35">
      <c r="A3436" s="4" t="s">
        <v>3487</v>
      </c>
      <c r="B3436">
        <v>2</v>
      </c>
      <c r="C3436" t="str">
        <f t="shared" si="106"/>
        <v>EMSG:A report shows that the XXXSTRACE:the  XXX CHEVROLET TRUCK SLVRDO XXX CR XXXXXXX LTZ has been flagged as having Vehicle History activity.
	at edge.capabilities.quote.submission.quoting.util.SubmissionUnderwritingIssuesUtil.checkSideBySideProcessExcep</v>
      </c>
      <c r="D3436" s="3">
        <f t="shared" si="107"/>
        <v>1</v>
      </c>
    </row>
    <row r="3437" spans="1:4" ht="29" x14ac:dyDescent="0.35">
      <c r="A3437" s="4" t="s">
        <v>3488</v>
      </c>
      <c r="B3437">
        <v>2</v>
      </c>
      <c r="C3437" t="str">
        <f t="shared" si="106"/>
        <v>EMSG:A report shows that the XXXSTRACE:the  XXX DODGE TRUCK GRAND CARAVAN XXXWD SXT has been flagged as having Vehicle History activity.
	at edge.capabilities.quote.submission.quoting.util.SubmissionUnderwritingIssuesUtil.checkSideBySideProcessExceptions(</v>
      </c>
      <c r="D3437" s="3">
        <f t="shared" si="107"/>
        <v>1</v>
      </c>
    </row>
    <row r="3438" spans="1:4" ht="29" x14ac:dyDescent="0.35">
      <c r="A3438" s="4" t="s">
        <v>3489</v>
      </c>
      <c r="B3438">
        <v>2</v>
      </c>
      <c r="C3438" t="str">
        <f t="shared" si="106"/>
        <v>EMSG:A report shows that the XXXSTRACE:the  XXX HONDA ELEMENT XXXD XXXWD SC has been flagged as having Vehicle History activity.
	at edge.capabilities.quote.submission.quoting.util.SubmissionUnderwritingIssuesUtil.checkSideBySideProcessExceptions(Submissi</v>
      </c>
      <c r="D3438" s="3">
        <f t="shared" si="107"/>
        <v>1</v>
      </c>
    </row>
    <row r="3439" spans="1:4" ht="29" x14ac:dyDescent="0.35">
      <c r="A3439" s="4" t="s">
        <v>3490</v>
      </c>
      <c r="B3439">
        <v>2</v>
      </c>
      <c r="C3439" t="str">
        <f t="shared" si="106"/>
        <v>EMSG:A report shows that the XXXSTRACE:the  XXX TOYOTA TACOMA PU DBL CAB SH XXXXXXX PRE has been flagged as having Vehicle History activity.
	at edge.capabilities.quote.submission.quoting.util.SubmissionUnderwritingIssuesUtil.checkSideBySideProcessExcepti</v>
      </c>
      <c r="D3439" s="3">
        <f t="shared" si="107"/>
        <v>1</v>
      </c>
    </row>
    <row r="3440" spans="1:4" x14ac:dyDescent="0.35">
      <c r="A3440" t="s">
        <v>3491</v>
      </c>
      <c r="B3440">
        <v>2</v>
      </c>
      <c r="C3440" t="str">
        <f t="shared" si="106"/>
        <v>EMSG:Attempt to access bean of type "CreditScore_Ext" id=XXX with a null bundleSTRACE:deployment.pc.war//com.guidewire.pl.system.entity.proxy.BeanProxy.checkIsInBundle(BeanProxy.java:XXXSTRACERAW:-</v>
      </c>
      <c r="D3440" s="3">
        <f t="shared" si="107"/>
        <v>1</v>
      </c>
    </row>
    <row r="3441" spans="1:4" x14ac:dyDescent="0.35">
      <c r="A3441" t="s">
        <v>3492</v>
      </c>
      <c r="B3441">
        <v>2</v>
      </c>
      <c r="C3441" t="str">
        <f t="shared" si="106"/>
        <v>EMSG:Avistine ParkerSTRACE:com.farmers.config.pa.validator.BrightlineValidator.validateQuoteBrightlineRules(BrightlineValidator.gs:XXXSTRACERAW:-</v>
      </c>
      <c r="D3441" s="3">
        <f t="shared" si="107"/>
        <v>1</v>
      </c>
    </row>
    <row r="3442" spans="1:4" x14ac:dyDescent="0.35">
      <c r="A3442" t="s">
        <v>3493</v>
      </c>
      <c r="B3442">
        <v>2</v>
      </c>
      <c r="C3442" t="str">
        <f t="shared" si="106"/>
        <v>EMSG:Avistine ParkerSTRACE:gw.job.QuoteProcess.requestQuote(QuoteProcess.gs:XXXSTRACERAW:-</v>
      </c>
      <c r="D3442" s="3">
        <f t="shared" si="107"/>
        <v>1</v>
      </c>
    </row>
    <row r="3443" spans="1:4" ht="29" x14ac:dyDescent="0.35">
      <c r="A3443" s="4" t="s">
        <v>3494</v>
      </c>
      <c r="B3443">
        <v>2</v>
      </c>
      <c r="C3443" t="str">
        <f t="shared" si="106"/>
        <v>EMSG:Database bean version conflict : XXXSTRACE:XXXXXXXXX XXX:XXX a.m.. Please cancel and retry your change.
	at deployment.pc.war//com.guidewire.pl.system.database.DatabaseChangedBeanWriter.createConcurrentDataChangeException(DatabaseChangedBeanWriter.ja</v>
      </c>
      <c r="D3443" s="3">
        <f t="shared" si="107"/>
        <v>1</v>
      </c>
    </row>
    <row r="3444" spans="1:4" x14ac:dyDescent="0.35">
      <c r="A3444" t="s">
        <v>1094</v>
      </c>
      <c r="B3444">
        <v>2</v>
      </c>
      <c r="C3444" t="str">
        <f t="shared" si="106"/>
        <v>EMSG:Database bean version conflict : XXXSTRACE:com.farmers.config.common.credit.pa.PACreditScoreProcess.invokeService(PACreditScoreProcess.gs:XXXSTRACERAW:-</v>
      </c>
      <c r="D3444" s="3">
        <f t="shared" si="107"/>
        <v>1</v>
      </c>
    </row>
    <row r="3445" spans="1:4" ht="43.5" x14ac:dyDescent="0.35">
      <c r="A3445" s="4" t="s">
        <v>3495</v>
      </c>
      <c r="B3445">
        <v>2</v>
      </c>
      <c r="C3445" t="str">
        <f t="shared" si="106"/>
        <v xml:space="preserve">EMSG:Dwelling at XXXSTRACE:XXX Martys Way, Gales Ferry, CT: Scheduled Payment Valuation Method on Roof is no longer available and has been removed. Please enter a new value.; Dwelling at XXX Martys Way, Gales Ferry, CT: Actual Cash Value Valuation Method </v>
      </c>
      <c r="D3445" s="3">
        <f t="shared" si="107"/>
        <v>1</v>
      </c>
    </row>
    <row r="3446" spans="1:4" ht="43.5" x14ac:dyDescent="0.35">
      <c r="A3446" s="4" t="s">
        <v>3496</v>
      </c>
      <c r="B3446">
        <v>2</v>
      </c>
      <c r="C3446" t="str">
        <f t="shared" si="106"/>
        <v>EMSG:Dwelling at XXXSTRACE:XXX Roxbury Rd, Niantic, CT: Scheduled Payment Valuation Method on Roof is no longer available and has been removed. Please enter a new value.; Dwelling at XXX Roxbury Rd, Niantic, CT: Actual Cash Value Valuation Method on Fence</v>
      </c>
      <c r="D3446" s="3">
        <f t="shared" si="107"/>
        <v>1</v>
      </c>
    </row>
    <row r="3447" spans="1:4" ht="29" x14ac:dyDescent="0.35">
      <c r="A3447" s="4" t="s">
        <v>3497</v>
      </c>
      <c r="B3447">
        <v>2</v>
      </c>
      <c r="C3447" t="str">
        <f t="shared" si="106"/>
        <v>EMSG:Dwelling at XXXSTRACE:XXX Whippoorwill Rd, Old Lyme, CT: Scheduled Payment Valuation Method on Roof is no longer available and has been removed. Please enter a new value.
	at gw.api.extension.PCExtensionInterfacesMapper$block_XXX_.invoke(PCExtensionI</v>
      </c>
      <c r="D3447" s="3">
        <f t="shared" si="107"/>
        <v>1</v>
      </c>
    </row>
    <row r="3448" spans="1:4" ht="43.5" x14ac:dyDescent="0.35">
      <c r="A3448" s="4" t="s">
        <v>3498</v>
      </c>
      <c r="B3448">
        <v>2</v>
      </c>
      <c r="C3448" t="str">
        <f t="shared" si="106"/>
        <v>EMSG:Dwelling at XXXSTRACE:XXX Whippoorwill Rd, Old Lyme, CT: Scheduled Payment Valuation Method on Roof is no longer available and has been removed. Please enter a new value.; Dwelling at XXX Whippoorwill Rd, Old Lyme, CT: Actual Cash Value Valuation Met</v>
      </c>
      <c r="D3448" s="3">
        <f t="shared" si="107"/>
        <v>1</v>
      </c>
    </row>
    <row r="3449" spans="1:4" x14ac:dyDescent="0.35">
      <c r="A3449" t="s">
        <v>3499</v>
      </c>
      <c r="B3449">
        <v>2</v>
      </c>
      <c r="C3449" t="str">
        <f t="shared" si="106"/>
        <v>EMSG:Effective ranges overlap for AutoCheckReportDetail_Ext with BranchID XXX and with FixedID XXXSTRACE:deployment.pc.war//com.guidewire.pl.system.entity.proxy.EffDatedBeanProxy.checkForOverlaps(EffDatedBeanProxy.java:XXXSTRACERAW:-</v>
      </c>
      <c r="D3449" s="3">
        <f t="shared" si="107"/>
        <v>1</v>
      </c>
    </row>
    <row r="3450" spans="1:4" x14ac:dyDescent="0.35">
      <c r="A3450" t="s">
        <v>3500</v>
      </c>
      <c r="B3450">
        <v>2</v>
      </c>
      <c r="C3450" t="str">
        <f t="shared" si="106"/>
        <v>EMSG:Error : XXXSTRACE:deployment.pc.war//gw.pl.util.ExceptionUtil.convertToRuntimeException(ExceptionUtil.java:XXXSTRACERAW:-</v>
      </c>
      <c r="D3450" s="3">
        <f t="shared" si="107"/>
        <v>1</v>
      </c>
    </row>
    <row r="3451" spans="1:4" x14ac:dyDescent="0.35">
      <c r="A3451" t="s">
        <v>3501</v>
      </c>
      <c r="B3451">
        <v>2</v>
      </c>
      <c r="C3451" t="str">
        <f t="shared" si="106"/>
        <v>EMSG:Exception occurs while transforming response for RetrieveMVRReportResponseInfo STRACE:com.farmers.integ.erti.riskanalysis.riskreports.transformer.MVRReportResponseTransformer.transform(MVRReportResponseTransformer.gs:XXXSTRACERAW:-</v>
      </c>
      <c r="D3451" s="3">
        <f t="shared" si="107"/>
        <v>1</v>
      </c>
    </row>
    <row r="3452" spans="1:4" x14ac:dyDescent="0.35">
      <c r="A3452" t="s">
        <v>3502</v>
      </c>
      <c r="B3452">
        <v>2</v>
      </c>
      <c r="C3452" t="str">
        <f t="shared" si="106"/>
        <v>EMSG:FarmersRatingUtility:closestRenewalTerm(XXXSTRACE:com.farmers.rating.util.FarmersRatingUtility.closestRenewalTerm(FarmersRatingUtility.gs:XXXSTRACERAW:-</v>
      </c>
      <c r="D3452" s="3">
        <f t="shared" si="107"/>
        <v>1</v>
      </c>
    </row>
    <row r="3453" spans="1:4" x14ac:dyDescent="0.35">
      <c r="A3453" t="s">
        <v>3503</v>
      </c>
      <c r="B3453">
        <v>2</v>
      </c>
      <c r="C3453" t="str">
        <f t="shared" si="106"/>
        <v>EMSG:For eligible contact Alaiham Alkamakhly credit score is null. Please make sure credit is orderedSTRACE:com.farmers.config.common.credit.CreditScoreHelper.populateRatingCreditDTO(CreditScoreHelper.gs:XXXSTRACERAW:-</v>
      </c>
      <c r="D3453" s="3">
        <f t="shared" si="107"/>
        <v>1</v>
      </c>
    </row>
    <row r="3454" spans="1:4" x14ac:dyDescent="0.35">
      <c r="A3454" t="s">
        <v>3504</v>
      </c>
      <c r="B3454">
        <v>2</v>
      </c>
      <c r="C3454" t="str">
        <f t="shared" si="106"/>
        <v>EMSG:For eligible contact Angel Hodges credit score is null. Please make sure credit is orderedSTRACE:com.farmers.config.common.credit.CreditScoreHelper.populateRatingCreditDTO(CreditScoreHelper.gs:XXXSTRACERAW:-</v>
      </c>
      <c r="D3454" s="3">
        <f t="shared" si="107"/>
        <v>1</v>
      </c>
    </row>
    <row r="3455" spans="1:4" x14ac:dyDescent="0.35">
      <c r="A3455" t="s">
        <v>3505</v>
      </c>
      <c r="B3455">
        <v>2</v>
      </c>
      <c r="C3455" t="str">
        <f t="shared" si="106"/>
        <v>EMSG:For eligible contact Anthony Alvarado credit score is null. Please make sure credit is orderedSTRACE:com.farmers.config.common.credit.CreditScoreHelper.populateRatingCreditDTO(CreditScoreHelper.gs:XXXSTRACERAW:-</v>
      </c>
      <c r="D3455" s="3">
        <f t="shared" si="107"/>
        <v>1</v>
      </c>
    </row>
    <row r="3456" spans="1:4" x14ac:dyDescent="0.35">
      <c r="A3456" t="s">
        <v>3506</v>
      </c>
      <c r="B3456">
        <v>2</v>
      </c>
      <c r="C3456" t="str">
        <f t="shared" si="106"/>
        <v>EMSG:For eligible contact Audrey James credit score is null. Please make sure credit is orderedSTRACE:com.farmers.config.common.credit.CreditScoreHelper.populateRatingCreditDTO(CreditScoreHelper.gs:XXXSTRACERAW:-</v>
      </c>
      <c r="D3456" s="3">
        <f t="shared" si="107"/>
        <v>1</v>
      </c>
    </row>
    <row r="3457" spans="1:4" x14ac:dyDescent="0.35">
      <c r="A3457" t="s">
        <v>3507</v>
      </c>
      <c r="B3457">
        <v>2</v>
      </c>
      <c r="C3457" t="str">
        <f t="shared" si="106"/>
        <v>EMSG:For eligible contact Bryan Kolppa credit score is null. Please make sure credit is orderedSTRACE:com.farmers.config.common.credit.CreditScoreHelper.populateRatingCreditDTO(CreditScoreHelper.gs:XXXSTRACERAW:-</v>
      </c>
      <c r="D3457" s="3">
        <f t="shared" si="107"/>
        <v>1</v>
      </c>
    </row>
    <row r="3458" spans="1:4" x14ac:dyDescent="0.35">
      <c r="A3458" t="s">
        <v>3508</v>
      </c>
      <c r="B3458">
        <v>2</v>
      </c>
      <c r="C3458" t="str">
        <f t="shared" si="106"/>
        <v>EMSG:For eligible contact Chad Robertson credit score is null. Please make sure credit is orderedSTRACE:com.farmers.config.common.credit.CreditScoreHelper.populateRatingCreditDTO(CreditScoreHelper.gs:XXXSTRACERAW:-</v>
      </c>
      <c r="D3458" s="3">
        <f t="shared" si="107"/>
        <v>1</v>
      </c>
    </row>
    <row r="3459" spans="1:4" x14ac:dyDescent="0.35">
      <c r="A3459" t="s">
        <v>3509</v>
      </c>
      <c r="B3459">
        <v>2</v>
      </c>
      <c r="C3459" t="str">
        <f t="shared" ref="C3459:C3522" si="108">LEFT(A3459,255)</f>
        <v>EMSG:For eligible contact Danny Bowles credit score is null. Please make sure credit is orderedSTRACE:com.farmers.config.common.credit.CreditScoreHelper.populateRatingCreditDTO(CreditScoreHelper.gs:XXXSTRACERAW:-</v>
      </c>
      <c r="D3459" s="3">
        <f t="shared" ref="D3459:D3522" si="109">IF(AND((B3459/10)&lt;1,(B3459/10)&gt;0),1,(B3459/10)*130%)</f>
        <v>1</v>
      </c>
    </row>
    <row r="3460" spans="1:4" x14ac:dyDescent="0.35">
      <c r="A3460" t="s">
        <v>3510</v>
      </c>
      <c r="B3460">
        <v>2</v>
      </c>
      <c r="C3460" t="str">
        <f t="shared" si="108"/>
        <v>EMSG:For eligible contact David Huerta credit score is null. Please make sure credit is orderedSTRACE:com.farmers.config.common.credit.CreditScoreHelper.populateRatingCreditDTO(CreditScoreHelper.gs:XXXSTRACERAW:-</v>
      </c>
      <c r="D3460" s="3">
        <f t="shared" si="109"/>
        <v>1</v>
      </c>
    </row>
    <row r="3461" spans="1:4" x14ac:dyDescent="0.35">
      <c r="A3461" t="s">
        <v>3511</v>
      </c>
      <c r="B3461">
        <v>2</v>
      </c>
      <c r="C3461" t="str">
        <f t="shared" si="108"/>
        <v>EMSG:For eligible contact Dongho Hyun credit score is null. Please make sure credit is orderedSTRACE:com.farmers.config.common.credit.CreditScoreHelper.populateRatingCreditDTO(CreditScoreHelper.gs:XXXSTRACERAW:-</v>
      </c>
      <c r="D3461" s="3">
        <f t="shared" si="109"/>
        <v>1</v>
      </c>
    </row>
    <row r="3462" spans="1:4" x14ac:dyDescent="0.35">
      <c r="A3462" t="s">
        <v>3512</v>
      </c>
      <c r="B3462">
        <v>2</v>
      </c>
      <c r="C3462" t="str">
        <f t="shared" si="108"/>
        <v>EMSG:For eligible contact Eathan Morales credit score is null. Please make sure credit is orderedSTRACE:com.farmers.config.common.credit.CreditScoreHelper.populateRatingCreditDTO(CreditScoreHelper.gs:XXXSTRACERAW:-</v>
      </c>
      <c r="D3462" s="3">
        <f t="shared" si="109"/>
        <v>1</v>
      </c>
    </row>
    <row r="3463" spans="1:4" x14ac:dyDescent="0.35">
      <c r="A3463" t="s">
        <v>3513</v>
      </c>
      <c r="B3463">
        <v>2</v>
      </c>
      <c r="C3463" t="str">
        <f t="shared" si="108"/>
        <v>EMSG:For eligible contact Erika Corrales credit score is null. Please make sure credit is orderedSTRACE:com.farmers.config.common.credit.CreditScoreHelper.populateRatingCreditDTO(CreditScoreHelper.gs:XXXSTRACERAW:-</v>
      </c>
      <c r="D3463" s="3">
        <f t="shared" si="109"/>
        <v>1</v>
      </c>
    </row>
    <row r="3464" spans="1:4" x14ac:dyDescent="0.35">
      <c r="A3464" t="s">
        <v>3514</v>
      </c>
      <c r="B3464">
        <v>2</v>
      </c>
      <c r="C3464" t="str">
        <f t="shared" si="108"/>
        <v>EMSG:For eligible contact Hayley Douglas credit score is null. Please make sure credit is orderedSTRACE:com.farmers.config.common.credit.CreditScoreHelper.populateRatingCreditDTO(CreditScoreHelper.gs:XXXSTRACERAW:-</v>
      </c>
      <c r="D3464" s="3">
        <f t="shared" si="109"/>
        <v>1</v>
      </c>
    </row>
    <row r="3465" spans="1:4" x14ac:dyDescent="0.35">
      <c r="A3465" t="s">
        <v>3515</v>
      </c>
      <c r="B3465">
        <v>2</v>
      </c>
      <c r="C3465" t="str">
        <f t="shared" si="108"/>
        <v>EMSG:For eligible contact Hilda Sahagian credit score is null. Please make sure credit is orderedSTRACE:com.farmers.config.common.credit.CreditScoreHelper.populateRatingCreditDTO(CreditScoreHelper.gs:XXXSTRACERAW:-</v>
      </c>
      <c r="D3465" s="3">
        <f t="shared" si="109"/>
        <v>1</v>
      </c>
    </row>
    <row r="3466" spans="1:4" x14ac:dyDescent="0.35">
      <c r="A3466" t="s">
        <v>3516</v>
      </c>
      <c r="B3466">
        <v>2</v>
      </c>
      <c r="C3466" t="str">
        <f t="shared" si="108"/>
        <v>EMSG:For eligible contact Jayprakash Patel credit score is null. Please make sure credit is orderedSTRACE:com.farmers.config.common.credit.CreditScoreHelper.populateRatingCreditDTO(CreditScoreHelper.gs:XXXSTRACERAW:-</v>
      </c>
      <c r="D3466" s="3">
        <f t="shared" si="109"/>
        <v>1</v>
      </c>
    </row>
    <row r="3467" spans="1:4" x14ac:dyDescent="0.35">
      <c r="A3467" t="s">
        <v>3517</v>
      </c>
      <c r="B3467">
        <v>2</v>
      </c>
      <c r="C3467" t="str">
        <f t="shared" si="108"/>
        <v>EMSG:For eligible contact Julie Tripp credit score is null. Please make sure credit is orderedSTRACE:com.farmers.config.common.credit.CreditScoreHelper.populateRatingCreditDTO(CreditScoreHelper.gs:XXXSTRACERAW:-</v>
      </c>
      <c r="D3467" s="3">
        <f t="shared" si="109"/>
        <v>1</v>
      </c>
    </row>
    <row r="3468" spans="1:4" x14ac:dyDescent="0.35">
      <c r="A3468" t="s">
        <v>3518</v>
      </c>
      <c r="B3468">
        <v>2</v>
      </c>
      <c r="C3468" t="str">
        <f t="shared" si="108"/>
        <v>EMSG:For eligible contact Kara Powlison credit score is null. Please make sure credit is orderedSTRACE:com.farmers.config.common.credit.CreditScoreHelper.populateRatingCreditDTO(CreditScoreHelper.gs:XXXSTRACERAW:-</v>
      </c>
      <c r="D3468" s="3">
        <f t="shared" si="109"/>
        <v>1</v>
      </c>
    </row>
    <row r="3469" spans="1:4" x14ac:dyDescent="0.35">
      <c r="A3469" t="s">
        <v>3519</v>
      </c>
      <c r="B3469">
        <v>2</v>
      </c>
      <c r="C3469" t="str">
        <f t="shared" si="108"/>
        <v>EMSG:For eligible contact Keith Mitchell credit score is null. Please make sure credit is orderedSTRACE:com.farmers.config.common.credit.CreditScoreHelper.populateRatingCreditDTO(CreditScoreHelper.gs:XXXSTRACERAW:-</v>
      </c>
      <c r="D3469" s="3">
        <f t="shared" si="109"/>
        <v>1</v>
      </c>
    </row>
    <row r="3470" spans="1:4" x14ac:dyDescent="0.35">
      <c r="A3470" t="s">
        <v>3520</v>
      </c>
      <c r="B3470">
        <v>2</v>
      </c>
      <c r="C3470" t="str">
        <f t="shared" si="108"/>
        <v>EMSG:For eligible contact Ladwaun Turk credit score is null. Please make sure credit is orderedSTRACE:com.farmers.config.common.credit.CreditScoreHelper.populateRatingCreditDTO(CreditScoreHelper.gs:XXXSTRACERAW:-</v>
      </c>
      <c r="D3470" s="3">
        <f t="shared" si="109"/>
        <v>1</v>
      </c>
    </row>
    <row r="3471" spans="1:4" x14ac:dyDescent="0.35">
      <c r="A3471" t="s">
        <v>3521</v>
      </c>
      <c r="B3471">
        <v>2</v>
      </c>
      <c r="C3471" t="str">
        <f t="shared" si="108"/>
        <v>EMSG:For eligible contact Melanie Joseph credit score is null. Please make sure credit is orderedSTRACE:com.farmers.config.common.credit.CreditScoreHelper.populateRatingCreditDTO(CreditScoreHelper.gs:XXXSTRACERAW:-</v>
      </c>
      <c r="D3471" s="3">
        <f t="shared" si="109"/>
        <v>1</v>
      </c>
    </row>
    <row r="3472" spans="1:4" x14ac:dyDescent="0.35">
      <c r="A3472" t="s">
        <v>3522</v>
      </c>
      <c r="B3472">
        <v>2</v>
      </c>
      <c r="C3472" t="str">
        <f t="shared" si="108"/>
        <v>EMSG:For eligible contact Meridith Childers credit score is null. Please make sure credit is orderedSTRACE:com.farmers.config.common.credit.CreditScoreHelper.populateRatingCreditDTO(CreditScoreHelper.gs:XXXSTRACERAW:-</v>
      </c>
      <c r="D3472" s="3">
        <f t="shared" si="109"/>
        <v>1</v>
      </c>
    </row>
    <row r="3473" spans="1:4" x14ac:dyDescent="0.35">
      <c r="A3473" t="s">
        <v>3523</v>
      </c>
      <c r="B3473">
        <v>2</v>
      </c>
      <c r="C3473" t="str">
        <f t="shared" si="108"/>
        <v>EMSG:For eligible contact Michael Tilus credit score is null. Please make sure credit is orderedSTRACE:com.farmers.config.common.credit.CreditScoreHelper.populateRatingCreditDTO(CreditScoreHelper.gs:XXXSTRACERAW:-</v>
      </c>
      <c r="D3473" s="3">
        <f t="shared" si="109"/>
        <v>1</v>
      </c>
    </row>
    <row r="3474" spans="1:4" x14ac:dyDescent="0.35">
      <c r="A3474" t="s">
        <v>3524</v>
      </c>
      <c r="B3474">
        <v>2</v>
      </c>
      <c r="C3474" t="str">
        <f t="shared" si="108"/>
        <v>EMSG:For eligible contact Mohame Hrimich credit score is null. Please make sure credit is orderedSTRACE:com.farmers.config.common.credit.CreditScoreHelper.populateRatingCreditDTO(CreditScoreHelper.gs:XXXSTRACERAW:-</v>
      </c>
      <c r="D3474" s="3">
        <f t="shared" si="109"/>
        <v>1</v>
      </c>
    </row>
    <row r="3475" spans="1:4" x14ac:dyDescent="0.35">
      <c r="A3475" t="s">
        <v>3525</v>
      </c>
      <c r="B3475">
        <v>2</v>
      </c>
      <c r="C3475" t="str">
        <f t="shared" si="108"/>
        <v>EMSG:For eligible contact Patricia Hawkins credit score is null. Please make sure credit is orderedSTRACE:com.farmers.config.common.credit.CreditScoreHelper.populateRatingCreditDTO(CreditScoreHelper.gs:XXXSTRACERAW:-</v>
      </c>
      <c r="D3475" s="3">
        <f t="shared" si="109"/>
        <v>1</v>
      </c>
    </row>
    <row r="3476" spans="1:4" x14ac:dyDescent="0.35">
      <c r="A3476" t="s">
        <v>3526</v>
      </c>
      <c r="B3476">
        <v>2</v>
      </c>
      <c r="C3476" t="str">
        <f t="shared" si="108"/>
        <v>EMSG:For eligible contact Qiong Yang credit score is null. Please make sure credit is orderedSTRACE:com.farmers.config.common.credit.CreditScoreHelper.populateRatingCreditDTO(CreditScoreHelper.gs:XXXSTRACERAW:-</v>
      </c>
      <c r="D3476" s="3">
        <f t="shared" si="109"/>
        <v>1</v>
      </c>
    </row>
    <row r="3477" spans="1:4" x14ac:dyDescent="0.35">
      <c r="A3477" t="s">
        <v>3527</v>
      </c>
      <c r="B3477">
        <v>2</v>
      </c>
      <c r="C3477" t="str">
        <f t="shared" si="108"/>
        <v>EMSG:For eligible contact Rick Potterton credit score is null. Please make sure credit is orderedSTRACE:com.farmers.config.common.credit.CreditScoreHelper.populateRatingCreditDTO(CreditScoreHelper.gs:XXXSTRACERAW:-</v>
      </c>
      <c r="D3477" s="3">
        <f t="shared" si="109"/>
        <v>1</v>
      </c>
    </row>
    <row r="3478" spans="1:4" x14ac:dyDescent="0.35">
      <c r="A3478" t="s">
        <v>3528</v>
      </c>
      <c r="B3478">
        <v>2</v>
      </c>
      <c r="C3478" t="str">
        <f t="shared" si="108"/>
        <v>EMSG:For eligible contact Rosa Barcenas credit score is null. Please make sure credit is orderedSTRACE:com.farmers.config.common.credit.CreditScoreHelper.populateRatingCreditDTO(CreditScoreHelper.gs:XXXSTRACERAW:-</v>
      </c>
      <c r="D3478" s="3">
        <f t="shared" si="109"/>
        <v>1</v>
      </c>
    </row>
    <row r="3479" spans="1:4" x14ac:dyDescent="0.35">
      <c r="A3479" t="s">
        <v>3529</v>
      </c>
      <c r="B3479">
        <v>2</v>
      </c>
      <c r="C3479" t="str">
        <f t="shared" si="108"/>
        <v>EMSG:For eligible contact Ryan Hargis credit score is null. Please make sure credit is orderedSTRACE:com.farmers.config.common.credit.CreditScoreHelper.populateRatingCreditDTO(CreditScoreHelper.gs:XXXSTRACERAW:-</v>
      </c>
      <c r="D3479" s="3">
        <f t="shared" si="109"/>
        <v>1</v>
      </c>
    </row>
    <row r="3480" spans="1:4" x14ac:dyDescent="0.35">
      <c r="A3480" t="s">
        <v>3530</v>
      </c>
      <c r="B3480">
        <v>2</v>
      </c>
      <c r="C3480" t="str">
        <f t="shared" si="108"/>
        <v>EMSG:For eligible contact Samuel Holm credit score is null. Please make sure credit is orderedSTRACE:com.farmers.config.common.credit.CreditScoreHelper.populateRatingCreditDTO(CreditScoreHelper.gs:XXXSTRACERAW:-</v>
      </c>
      <c r="D3480" s="3">
        <f t="shared" si="109"/>
        <v>1</v>
      </c>
    </row>
    <row r="3481" spans="1:4" x14ac:dyDescent="0.35">
      <c r="A3481" t="s">
        <v>3531</v>
      </c>
      <c r="B3481">
        <v>2</v>
      </c>
      <c r="C3481" t="str">
        <f t="shared" si="108"/>
        <v>EMSG:For eligible contact Shelby Linze credit score is null. Please make sure credit is orderedSTRACE:com.farmers.config.common.credit.CreditScoreHelper.populateRatingCreditDTO(CreditScoreHelper.gs:XXXSTRACERAW:-</v>
      </c>
      <c r="D3481" s="3">
        <f t="shared" si="109"/>
        <v>1</v>
      </c>
    </row>
    <row r="3482" spans="1:4" x14ac:dyDescent="0.35">
      <c r="A3482" t="s">
        <v>3532</v>
      </c>
      <c r="B3482">
        <v>2</v>
      </c>
      <c r="C3482" t="str">
        <f t="shared" si="108"/>
        <v>EMSG:For eligible contact Steven Kukla credit score is null. Please make sure credit is orderedSTRACE:com.farmers.config.common.credit.CreditScoreHelper.populateRatingCreditDTO(CreditScoreHelper.gs:XXXSTRACERAW:-</v>
      </c>
      <c r="D3482" s="3">
        <f t="shared" si="109"/>
        <v>1</v>
      </c>
    </row>
    <row r="3483" spans="1:4" x14ac:dyDescent="0.35">
      <c r="A3483" t="s">
        <v>3533</v>
      </c>
      <c r="B3483">
        <v>2</v>
      </c>
      <c r="C3483" t="str">
        <f t="shared" si="108"/>
        <v>EMSG:For eligible contact Taylor Black credit score is null. Please make sure credit is orderedSTRACE:com.farmers.config.common.credit.CreditScoreHelper.populateRatingCreditDTO(CreditScoreHelper.gs:XXXSTRACERAW:-</v>
      </c>
      <c r="D3483" s="3">
        <f t="shared" si="109"/>
        <v>1</v>
      </c>
    </row>
    <row r="3484" spans="1:4" x14ac:dyDescent="0.35">
      <c r="A3484" t="s">
        <v>3534</v>
      </c>
      <c r="B3484">
        <v>2</v>
      </c>
      <c r="C3484" t="str">
        <f t="shared" si="108"/>
        <v>EMSG:For eligible contact Thanh Phan credit score is null. Please make sure credit is orderedSTRACE:com.farmers.config.common.credit.CreditScoreHelper.populateRatingCreditDTO(CreditScoreHelper.gs:XXXSTRACERAW:-</v>
      </c>
      <c r="D3484" s="3">
        <f t="shared" si="109"/>
        <v>1</v>
      </c>
    </row>
    <row r="3485" spans="1:4" x14ac:dyDescent="0.35">
      <c r="A3485" t="s">
        <v>3535</v>
      </c>
      <c r="B3485">
        <v>2</v>
      </c>
      <c r="C3485" t="str">
        <f t="shared" si="108"/>
        <v>EMSG:For eligible contact Todd Cutlip credit score is null. Please make sure credit is orderedSTRACE:com.farmers.config.common.credit.CreditScoreHelper.populateRatingCreditDTO(CreditScoreHelper.gs:XXXSTRACERAW:-</v>
      </c>
      <c r="D3485" s="3">
        <f t="shared" si="109"/>
        <v>1</v>
      </c>
    </row>
    <row r="3486" spans="1:4" ht="43.5" x14ac:dyDescent="0.35">
      <c r="A3486" s="4" t="s">
        <v>3536</v>
      </c>
      <c r="B3486">
        <v>2</v>
      </c>
      <c r="C3486" t="str">
        <f t="shared" si="108"/>
        <v>EMSG:Found more than one target of the property XXXSTRACE:XXX Alburtis Ave, Lakewood, CA': ['HOConstructionDetails_Ext:pc:XXX - Dwelling Construction Details', 'HOConstructionDetails_Ext:pc:XXX - Dwelling Construction Details']. This could be due to a con</v>
      </c>
      <c r="D3486" s="3">
        <f t="shared" si="109"/>
        <v>1</v>
      </c>
    </row>
    <row r="3487" spans="1:4" ht="43.5" x14ac:dyDescent="0.35">
      <c r="A3487" s="4" t="s">
        <v>3537</v>
      </c>
      <c r="B3487">
        <v>2</v>
      </c>
      <c r="C3487" t="str">
        <f t="shared" si="108"/>
        <v>EMSG:Found more than one target of the property XXXSTRACE:XXX Alliston Loop, Dublin, CA': ['HOConstructionDetails_Ext:pc:XXX - Dwelling Construction Details', 'HOConstructionDetails_Ext:pc:XXX - Dwelling Construction Details']. This could be due to a conc</v>
      </c>
      <c r="D3487" s="3">
        <f t="shared" si="109"/>
        <v>1</v>
      </c>
    </row>
    <row r="3488" spans="1:4" ht="43.5" x14ac:dyDescent="0.35">
      <c r="A3488" s="4" t="s">
        <v>3538</v>
      </c>
      <c r="B3488">
        <v>2</v>
      </c>
      <c r="C3488" t="str">
        <f t="shared" si="108"/>
        <v>EMSG:Found more than one target of the property XXXSTRACE:XXX Avignon, Irvine, CA': ['HOConstructionDetails_Ext:pc:XXX - Dwelling Construction Details', 'HOConstructionDetails_Ext:pc:XXX - Dwelling Construction Details']. This could be due to a concurrent</v>
      </c>
      <c r="D3488" s="3">
        <f t="shared" si="109"/>
        <v>1</v>
      </c>
    </row>
    <row r="3489" spans="1:4" ht="43.5" x14ac:dyDescent="0.35">
      <c r="A3489" s="4" t="s">
        <v>3539</v>
      </c>
      <c r="B3489">
        <v>2</v>
      </c>
      <c r="C3489" t="str">
        <f t="shared" si="108"/>
        <v>EMSG:Found more than one target of the property XXXSTRACE:XXX Aztec St, Sylmar, CA': ['HOConstructionDetails_Ext:pc:XXX - Dwelling Construction Details', 'HOConstructionDetails_Ext:pc:XXX - Dwelling Construction Details']. This could be due to a concurren</v>
      </c>
      <c r="D3489" s="3">
        <f t="shared" si="109"/>
        <v>1</v>
      </c>
    </row>
    <row r="3490" spans="1:4" ht="43.5" x14ac:dyDescent="0.35">
      <c r="A3490" s="4" t="s">
        <v>3540</v>
      </c>
      <c r="B3490">
        <v>2</v>
      </c>
      <c r="C3490" t="str">
        <f t="shared" si="108"/>
        <v>EMSG:Found more than one target of the property XXXSTRACE:XXX Caballero Rd, Apple Valley, CA': ['HOConstructionDetails_Ext:pc:XXX - Dwelling Construction Details', 'HOConstructionDetails_Ext:pc:XXX - Dwelling Construction Details']. This could be due to a</v>
      </c>
      <c r="D3490" s="3">
        <f t="shared" si="109"/>
        <v>1</v>
      </c>
    </row>
    <row r="3491" spans="1:4" ht="43.5" x14ac:dyDescent="0.35">
      <c r="A3491" s="4" t="s">
        <v>3541</v>
      </c>
      <c r="B3491">
        <v>2</v>
      </c>
      <c r="C3491" t="str">
        <f t="shared" si="108"/>
        <v>EMSG:Found more than one target of the property XXXSTRACE:XXX Canyon Blvd, Mammoth Lakes, CA': ['HOConstructionDetails_Ext:pc:XXX - Dwelling Construction Details', 'HOConstructionDetails_Ext:pc:XXX - Dwelling Construction Details']. This could be due to a</v>
      </c>
      <c r="D3491" s="3">
        <f t="shared" si="109"/>
        <v>1</v>
      </c>
    </row>
    <row r="3492" spans="1:4" ht="43.5" x14ac:dyDescent="0.35">
      <c r="A3492" s="4" t="s">
        <v>3542</v>
      </c>
      <c r="B3492">
        <v>2</v>
      </c>
      <c r="C3492" t="str">
        <f t="shared" si="108"/>
        <v>EMSG:Found more than one target of the property XXXSTRACE:XXX Clara Rd, Bakersfield, CA': ['HOConstructionDetails_Ext:pc:XXX - Dwelling Construction Details', 'HOConstructionDetails_Ext:pc:XXX - Dwelling Construction Details']. This could be due to a conc</v>
      </c>
      <c r="D3492" s="3">
        <f t="shared" si="109"/>
        <v>1</v>
      </c>
    </row>
    <row r="3493" spans="1:4" ht="43.5" x14ac:dyDescent="0.35">
      <c r="A3493" s="4" t="s">
        <v>3543</v>
      </c>
      <c r="B3493">
        <v>2</v>
      </c>
      <c r="C3493" t="str">
        <f t="shared" si="108"/>
        <v>EMSG:Found more than one target of the property XXXSTRACE:XXX E Avenue T # XXX, Littlerock, CA': ['HOConstructionDetails_Ext:pc:XXX - Dwelling Construction Details', 'HOConstructionDetails_Ext:pc:XXX - Dwelling Construction Details']. This could be due to</v>
      </c>
      <c r="D3493" s="3">
        <f t="shared" si="109"/>
        <v>1</v>
      </c>
    </row>
    <row r="3494" spans="1:4" ht="43.5" x14ac:dyDescent="0.35">
      <c r="A3494" s="4" t="s">
        <v>3544</v>
      </c>
      <c r="B3494">
        <v>2</v>
      </c>
      <c r="C3494" t="str">
        <f t="shared" si="108"/>
        <v>EMSG:Found more than one target of the property XXXSTRACE:XXX E Avenue TXXX, Palmdale, CA': ['HOConstructionDetails_Ext:pc:XXX - Dwelling Construction Details', 'HOConstructionDetails_Ext:pc:XXX - Dwelling Construction Details']. This could be due to a co</v>
      </c>
      <c r="D3494" s="3">
        <f t="shared" si="109"/>
        <v>1</v>
      </c>
    </row>
    <row r="3495" spans="1:4" ht="43.5" x14ac:dyDescent="0.35">
      <c r="A3495" s="4" t="s">
        <v>3545</v>
      </c>
      <c r="B3495">
        <v>2</v>
      </c>
      <c r="C3495" t="str">
        <f t="shared" si="108"/>
        <v>EMSG:Found more than one target of the property XXXSTRACE:XXX E Buena Vista Ave, Visalia, CA': ['HOConstructionDetails_Ext:pc:XXX - Dwelling Construction Details', 'HOConstructionDetails_Ext:pc:XXX - Dwelling Construction Details']. This could be due to a</v>
      </c>
      <c r="D3495" s="3">
        <f t="shared" si="109"/>
        <v>1</v>
      </c>
    </row>
    <row r="3496" spans="1:4" ht="43.5" x14ac:dyDescent="0.35">
      <c r="A3496" s="4" t="s">
        <v>3546</v>
      </c>
      <c r="B3496">
        <v>2</v>
      </c>
      <c r="C3496" t="str">
        <f t="shared" si="108"/>
        <v>EMSG:Found more than one target of the property XXXSTRACE:XXX Electra Dr, Los Angeles, CA': ['HOConstructionDetails_Ext:pc:XXX - Dwelling Construction Details', 'HOConstructionDetails_Ext:pc:XXX - Dwelling Construction Details']. This could be due to a co</v>
      </c>
      <c r="D3496" s="3">
        <f t="shared" si="109"/>
        <v>1</v>
      </c>
    </row>
    <row r="3497" spans="1:4" ht="43.5" x14ac:dyDescent="0.35">
      <c r="A3497" s="4" t="s">
        <v>3547</v>
      </c>
      <c r="B3497">
        <v>2</v>
      </c>
      <c r="C3497" t="str">
        <f t="shared" si="108"/>
        <v>EMSG:Found more than one target of the property XXXSTRACE:XXX Estate Way, Victorville, CA': ['HOConstructionDetails_Ext:pc:XXX - Dwelling Construction Details', 'HOConstructionDetails_Ext:pc:XXX - Dwelling Construction Details']. This could be due to a co</v>
      </c>
      <c r="D3497" s="3">
        <f t="shared" si="109"/>
        <v>1</v>
      </c>
    </row>
    <row r="3498" spans="1:4" ht="43.5" x14ac:dyDescent="0.35">
      <c r="A3498" s="4" t="s">
        <v>3548</v>
      </c>
      <c r="B3498">
        <v>2</v>
      </c>
      <c r="C3498" t="str">
        <f t="shared" si="108"/>
        <v>EMSG:Found more than one target of the property XXXSTRACE:XXX Fairview Pl, Hanford, CA': ['HOConstructionDetails_Ext:pc:XXX - Dwelling Construction Details', 'HOConstructionDetails_Ext:pc:XXX - Dwelling Construction Details']. This could be due to a concu</v>
      </c>
      <c r="D3498" s="3">
        <f t="shared" si="109"/>
        <v>1</v>
      </c>
    </row>
    <row r="3499" spans="1:4" ht="43.5" x14ac:dyDescent="0.35">
      <c r="A3499" s="4" t="s">
        <v>3549</v>
      </c>
      <c r="B3499">
        <v>2</v>
      </c>
      <c r="C3499" t="str">
        <f t="shared" si="108"/>
        <v>EMSG:Found more than one target of the property XXXSTRACE:XXX Falcon Ave, Long Beach, CA': ['HOConstructionDetails_Ext:pc:XXX - Dwelling Construction Details', 'HOConstructionDetails_Ext:pc:XXX - Dwelling Construction Details']. This could be due to a con</v>
      </c>
      <c r="D3499" s="3">
        <f t="shared" si="109"/>
        <v>1</v>
      </c>
    </row>
    <row r="3500" spans="1:4" ht="43.5" x14ac:dyDescent="0.35">
      <c r="A3500" s="4" t="s">
        <v>3550</v>
      </c>
      <c r="B3500">
        <v>2</v>
      </c>
      <c r="C3500" t="str">
        <f t="shared" si="108"/>
        <v>EMSG:Found more than one target of the property XXXSTRACE:XXX Forest Ave, Chico, CA': ['HOConstructionDetails_Ext:pc:XXX - Dwelling Construction Details', 'HOConstructionDetails_Ext:pc:XXX - Dwelling Construction Details']. This could be due to a concurre</v>
      </c>
      <c r="D3500" s="3">
        <f t="shared" si="109"/>
        <v>1</v>
      </c>
    </row>
    <row r="3501" spans="1:4" ht="43.5" x14ac:dyDescent="0.35">
      <c r="A3501" s="4" t="s">
        <v>3551</v>
      </c>
      <c r="B3501">
        <v>2</v>
      </c>
      <c r="C3501" t="str">
        <f t="shared" si="108"/>
        <v>EMSG:Found more than one target of the property XXXSTRACE:XXX Grace Ave, Carson, CA': ['HOConstructionDetails_Ext:pc:XXX - Dwelling Construction Details', 'HOConstructionDetails_Ext:pc:XXX - Dwelling Construction Details']. This could be due to a concurre</v>
      </c>
      <c r="D3501" s="3">
        <f t="shared" si="109"/>
        <v>1</v>
      </c>
    </row>
    <row r="3502" spans="1:4" ht="43.5" x14ac:dyDescent="0.35">
      <c r="A3502" s="4" t="s">
        <v>3552</v>
      </c>
      <c r="B3502">
        <v>2</v>
      </c>
      <c r="C3502" t="str">
        <f t="shared" si="108"/>
        <v>EMSG:Found more than one target of the property XXXSTRACE:XXX Hacienda St, San Mateo, CA': ['HOConstructionDetails_Ext:pc:XXX - Dwelling Construction Details', 'HOConstructionDetails_Ext:pc:XXX - Dwelling Construction Details']. This could be due to a con</v>
      </c>
      <c r="D3502" s="3">
        <f t="shared" si="109"/>
        <v>1</v>
      </c>
    </row>
    <row r="3503" spans="1:4" ht="43.5" x14ac:dyDescent="0.35">
      <c r="A3503" s="4" t="s">
        <v>3553</v>
      </c>
      <c r="B3503">
        <v>2</v>
      </c>
      <c r="C3503" t="str">
        <f t="shared" si="108"/>
        <v>EMSG:Found more than one target of the property XXXSTRACE:XXX Hazel Way, Paradise, CA': ['HOConstructionDetails_Ext:pc:XXX - Dwelling Construction Details', 'HOConstructionDetails_Ext:pc:XXX - Dwelling Construction Details']. This could be due to a concur</v>
      </c>
      <c r="D3503" s="3">
        <f t="shared" si="109"/>
        <v>1</v>
      </c>
    </row>
    <row r="3504" spans="1:4" ht="43.5" x14ac:dyDescent="0.35">
      <c r="A3504" s="4" t="s">
        <v>3554</v>
      </c>
      <c r="B3504">
        <v>2</v>
      </c>
      <c r="C3504" t="str">
        <f t="shared" si="108"/>
        <v>EMSG:Found more than one target of the property XXXSTRACE:XXX Hunter Ct, Alpine, CA': ['HOConstructionDetails_Ext:pc:XXX - Dwelling Construction Details', 'HOConstructionDetails_Ext:pc:XXX - Dwelling Construction Details']. This could be due to a concurre</v>
      </c>
      <c r="D3504" s="3">
        <f t="shared" si="109"/>
        <v>1</v>
      </c>
    </row>
    <row r="3505" spans="1:4" ht="43.5" x14ac:dyDescent="0.35">
      <c r="A3505" s="4" t="s">
        <v>3555</v>
      </c>
      <c r="B3505">
        <v>2</v>
      </c>
      <c r="C3505" t="str">
        <f t="shared" si="108"/>
        <v>EMSG:Found more than one target of the property XXXSTRACE:XXX Isleta St, Los Angeles, CA': ['HOConstructionDetails_Ext:pc:XXX - Dwelling Construction Details', 'HOConstructionDetails_Ext:pc:XXX - Dwelling Construction Details']. This could be due to a con</v>
      </c>
      <c r="D3505" s="3">
        <f t="shared" si="109"/>
        <v>1</v>
      </c>
    </row>
    <row r="3506" spans="1:4" ht="43.5" x14ac:dyDescent="0.35">
      <c r="A3506" s="4" t="s">
        <v>3556</v>
      </c>
      <c r="B3506">
        <v>2</v>
      </c>
      <c r="C3506" t="str">
        <f t="shared" si="108"/>
        <v>EMSG:Found more than one target of the property XXXSTRACE:XXX Laguna Trl, Pine Valley, CA': ['HOConstructionDetails_Ext:pc:XXX - Dwelling Construction Details', 'HOConstructionDetails_Ext:pc:XXX - Dwelling Construction Details']. This could be due to a co</v>
      </c>
      <c r="D3506" s="3">
        <f t="shared" si="109"/>
        <v>1</v>
      </c>
    </row>
    <row r="3507" spans="1:4" ht="43.5" x14ac:dyDescent="0.35">
      <c r="A3507" s="4" t="s">
        <v>3557</v>
      </c>
      <c r="B3507">
        <v>2</v>
      </c>
      <c r="C3507" t="str">
        <f t="shared" si="108"/>
        <v>EMSG:Found more than one target of the property XXXSTRACE:XXX Limestone Cir, Yreka, CA': ['HOConstructionDetails_Ext:pc:XXX - Dwelling Construction Details', 'HOConstructionDetails_Ext:pc:XXX - Dwelling Construction Details']. This could be due to a concu</v>
      </c>
      <c r="D3507" s="3">
        <f t="shared" si="109"/>
        <v>1</v>
      </c>
    </row>
    <row r="3508" spans="1:4" ht="43.5" x14ac:dyDescent="0.35">
      <c r="A3508" s="4" t="s">
        <v>3558</v>
      </c>
      <c r="B3508">
        <v>2</v>
      </c>
      <c r="C3508" t="str">
        <f t="shared" si="108"/>
        <v>EMSG:Found more than one target of the property XXXSTRACE:XXX Madison St, Cambria, CA': ['HOConstructionDetails_Ext:pc:XXX - Dwelling Construction Details', 'HOConstructionDetails_Ext:pc:XXX - Dwelling Construction Details']. This could be due to a concur</v>
      </c>
      <c r="D3508" s="3">
        <f t="shared" si="109"/>
        <v>1</v>
      </c>
    </row>
    <row r="3509" spans="1:4" ht="43.5" x14ac:dyDescent="0.35">
      <c r="A3509" s="4" t="s">
        <v>3559</v>
      </c>
      <c r="B3509">
        <v>2</v>
      </c>
      <c r="C3509" t="str">
        <f t="shared" si="108"/>
        <v>EMSG:Found more than one target of the property XXXSTRACE:XXX Oakengate Dr, San Dimas, CA': ['HOConstructionDetails_Ext:pc:XXX - Dwelling Construction Details', 'HOConstructionDetails_Ext:pc:XXX - Dwelling Construction Details']. This could be due to a co</v>
      </c>
      <c r="D3509" s="3">
        <f t="shared" si="109"/>
        <v>1</v>
      </c>
    </row>
    <row r="3510" spans="1:4" ht="43.5" x14ac:dyDescent="0.35">
      <c r="A3510" s="4" t="s">
        <v>3560</v>
      </c>
      <c r="B3510">
        <v>2</v>
      </c>
      <c r="C3510" t="str">
        <f t="shared" si="108"/>
        <v>EMSG:Found more than one target of the property XXXSTRACE:XXX Orange Ave, Beaumont, CA': ['HOConstructionDetails_Ext:pc:XXX - Dwelling Construction Details', 'HOConstructionDetails_Ext:pc:XXX - Dwelling Construction Details']. This could be due to a concu</v>
      </c>
      <c r="D3510" s="3">
        <f t="shared" si="109"/>
        <v>1</v>
      </c>
    </row>
    <row r="3511" spans="1:4" ht="43.5" x14ac:dyDescent="0.35">
      <c r="A3511" s="4" t="s">
        <v>3561</v>
      </c>
      <c r="B3511">
        <v>2</v>
      </c>
      <c r="C3511" t="str">
        <f t="shared" si="108"/>
        <v>EMSG:Found more than one target of the property XXXSTRACE:XXX Oxford Ln, Santa Clarita, CA': ['HOConstructionDetails_Ext:pc:XXX - Dwelling Construction Details', 'HOConstructionDetails_Ext:pc:XXX - Dwelling Construction Details']. This could be due to a c</v>
      </c>
      <c r="D3511" s="3">
        <f t="shared" si="109"/>
        <v>1</v>
      </c>
    </row>
    <row r="3512" spans="1:4" ht="43.5" x14ac:dyDescent="0.35">
      <c r="A3512" s="4" t="s">
        <v>3562</v>
      </c>
      <c r="B3512">
        <v>2</v>
      </c>
      <c r="C3512" t="str">
        <f t="shared" si="108"/>
        <v>EMSG:Found more than one target of the property XXXSTRACE:XXX Pevero Ct, Palmdale, CA': ['HOConstructionDetails_Ext:pc:XXX - Dwelling Construction Details', 'HOConstructionDetails_Ext:pc:XXX - Dwelling Construction Details']. This could be due to a concur</v>
      </c>
      <c r="D3512" s="3">
        <f t="shared" si="109"/>
        <v>1</v>
      </c>
    </row>
    <row r="3513" spans="1:4" ht="43.5" x14ac:dyDescent="0.35">
      <c r="A3513" s="4" t="s">
        <v>3563</v>
      </c>
      <c r="B3513">
        <v>2</v>
      </c>
      <c r="C3513" t="str">
        <f t="shared" si="108"/>
        <v>EMSG:Found more than one target of the property XXXSTRACE:XXX Redondo Norte, Coachella, CA': ['HOConstructionDetails_Ext:pc:XXX - Dwelling Construction Details', 'HOConstructionDetails_Ext:pc:XXX - Dwelling Construction Details']. This could be due to a c</v>
      </c>
      <c r="D3513" s="3">
        <f t="shared" si="109"/>
        <v>1</v>
      </c>
    </row>
    <row r="3514" spans="1:4" ht="43.5" x14ac:dyDescent="0.35">
      <c r="A3514" s="4" t="s">
        <v>3564</v>
      </c>
      <c r="B3514">
        <v>2</v>
      </c>
      <c r="C3514" t="str">
        <f t="shared" si="108"/>
        <v>EMSG:Found more than one target of the property XXXSTRACE:XXX Saint Andrews Way, Livermore, CA': ['HOConstructionDetails_Ext:pc:XXX - Dwelling Construction Details', 'HOConstructionDetails_Ext:pc:XXX - Dwelling Construction Details']. This could be due to</v>
      </c>
      <c r="D3514" s="3">
        <f t="shared" si="109"/>
        <v>1</v>
      </c>
    </row>
    <row r="3515" spans="1:4" ht="43.5" x14ac:dyDescent="0.35">
      <c r="A3515" s="4" t="s">
        <v>3565</v>
      </c>
      <c r="B3515">
        <v>2</v>
      </c>
      <c r="C3515" t="str">
        <f t="shared" si="108"/>
        <v>EMSG:Found more than one target of the property XXXSTRACE:XXX Soda Canyon Ct, Ceres, CA': ['HOConstructionDetails_Ext:pc:XXX - Dwelling Construction Details', 'HOConstructionDetails_Ext:pc:XXX - Dwelling Construction Details']. This could be due to a conc</v>
      </c>
      <c r="D3515" s="3">
        <f t="shared" si="109"/>
        <v>1</v>
      </c>
    </row>
    <row r="3516" spans="1:4" ht="43.5" x14ac:dyDescent="0.35">
      <c r="A3516" s="4" t="s">
        <v>3566</v>
      </c>
      <c r="B3516">
        <v>2</v>
      </c>
      <c r="C3516" t="str">
        <f t="shared" si="108"/>
        <v>EMSG:Found more than one target of the property XXXSTRACE:XXX Stonethrow Ct, Redding, CA': ['HOConstructionDetails_Ext:pc:XXX - Dwelling Construction Details', 'HOConstructionDetails_Ext:pc:XXX - Dwelling Construction Details']. This could be due to a con</v>
      </c>
      <c r="D3516" s="3">
        <f t="shared" si="109"/>
        <v>1</v>
      </c>
    </row>
    <row r="3517" spans="1:4" ht="43.5" x14ac:dyDescent="0.35">
      <c r="A3517" s="4" t="s">
        <v>3567</v>
      </c>
      <c r="B3517">
        <v>2</v>
      </c>
      <c r="C3517" t="str">
        <f t="shared" si="108"/>
        <v>EMSG:Found more than one target of the property XXXSTRACE:XXX Torch St, Baldwin Park, CA': ['HOConstructionDetails_Ext:pc:XXX - Dwelling Construction Details', 'HOConstructionDetails_Ext:pc:XXX - Dwelling Construction Details']. This could be due to a con</v>
      </c>
      <c r="D3517" s="3">
        <f t="shared" si="109"/>
        <v>1</v>
      </c>
    </row>
    <row r="3518" spans="1:4" ht="43.5" x14ac:dyDescent="0.35">
      <c r="A3518" s="4" t="s">
        <v>3568</v>
      </c>
      <c r="B3518">
        <v>2</v>
      </c>
      <c r="C3518" t="str">
        <f t="shared" si="108"/>
        <v xml:space="preserve">EMSG:Found more than one target of the property XXXSTRACE:XXX Valley Crest Ter, Apple Valley, CA': ['HOConstructionDetails_Ext:pc:XXX - Dwelling Construction Details', 'HOConstructionDetails_Ext:pc:XXX - Dwelling Construction Details']. This could be due </v>
      </c>
      <c r="D3518" s="3">
        <f t="shared" si="109"/>
        <v>1</v>
      </c>
    </row>
    <row r="3519" spans="1:4" ht="43.5" x14ac:dyDescent="0.35">
      <c r="A3519" s="4" t="s">
        <v>3569</v>
      </c>
      <c r="B3519">
        <v>2</v>
      </c>
      <c r="C3519" t="str">
        <f t="shared" si="108"/>
        <v xml:space="preserve">EMSG:Found more than one target of the property XXXSTRACE:XXX W Foothill Blvd, Glendora, CA': ['HOConstructionDetails_Ext:pc:XXX - Dwelling Construction Details', 'HOConstructionDetails_Ext:pc:XXX - Dwelling Construction Details']. This could be due to a </v>
      </c>
      <c r="D3519" s="3">
        <f t="shared" si="109"/>
        <v>1</v>
      </c>
    </row>
    <row r="3520" spans="1:4" ht="43.5" x14ac:dyDescent="0.35">
      <c r="A3520" s="4" t="s">
        <v>3570</v>
      </c>
      <c r="B3520">
        <v>2</v>
      </c>
      <c r="C3520" t="str">
        <f t="shared" si="108"/>
        <v>EMSG:Found more than one target of the property XXXSTRACE:XXX W Wagstaff Rd, Paradise, CA': ['HOConstructionDetails_Ext:pc:XXX - Dwelling Construction Details', 'HOConstructionDetails_Ext:pc:XXX - Dwelling Construction Details']. This could be due to a co</v>
      </c>
      <c r="D3520" s="3">
        <f t="shared" si="109"/>
        <v>1</v>
      </c>
    </row>
    <row r="3521" spans="1:4" ht="43.5" x14ac:dyDescent="0.35">
      <c r="A3521" s="4" t="s">
        <v>3571</v>
      </c>
      <c r="B3521">
        <v>2</v>
      </c>
      <c r="C3521" t="str">
        <f t="shared" si="108"/>
        <v>EMSG:Found more than one target of the property XXXSTRACE:XXX XXXth Ave Unit XXX, San Diego, CA': ['HOConstructionDetails_Ext:pc:XXX - Dwelling Construction Details', 'HOConstructionDetails_Ext:pc:XXX - Dwelling Construction Details']. This could be due t</v>
      </c>
      <c r="D3521" s="3">
        <f t="shared" si="109"/>
        <v>1</v>
      </c>
    </row>
    <row r="3522" spans="1:4" x14ac:dyDescent="0.35">
      <c r="A3522" t="s">
        <v>3572</v>
      </c>
      <c r="B3522">
        <v>2</v>
      </c>
      <c r="C3522" t="str">
        <f t="shared" si="108"/>
        <v>EMSG:Illegal value for keySTRACE:com.farmers.integ.framework.job.automatejob.AutomatedJob.executeJob(AutomatedJob.gs:XXXSTRACERAW:-</v>
      </c>
      <c r="D3522" s="3">
        <f t="shared" si="109"/>
        <v>1</v>
      </c>
    </row>
    <row r="3523" spans="1:4" x14ac:dyDescent="0.35">
      <c r="A3523" t="s">
        <v>3573</v>
      </c>
      <c r="B3523">
        <v>2</v>
      </c>
      <c r="C3523" t="str">
        <f t="shared" ref="C3523:C3586" si="110">LEFT(A3523,255)</f>
        <v>EMSG:JEFFREY SUTTONSTRACE:com.farmers.config.pa.validator.BrightlineValidator.validateQuoteBrightlineRules(BrightlineValidator.gs:XXXSTRACERAW:-</v>
      </c>
      <c r="D3523" s="3">
        <f t="shared" ref="D3523:D3586" si="111">IF(AND((B3523/10)&lt;1,(B3523/10)&gt;0),1,(B3523/10)*130%)</f>
        <v>1</v>
      </c>
    </row>
    <row r="3524" spans="1:4" x14ac:dyDescent="0.35">
      <c r="A3524" t="s">
        <v>3574</v>
      </c>
      <c r="B3524">
        <v>2</v>
      </c>
      <c r="C3524" t="str">
        <f t="shared" si="110"/>
        <v>EMSG:JOSEPH MERHAISTRACE:com.farmers.config.pa.validator.BrightlineValidator.validateQuoteBrightlineRules(BrightlineValidator.gs:XXXSTRACERAW:-</v>
      </c>
      <c r="D3524" s="3">
        <f t="shared" si="111"/>
        <v>1</v>
      </c>
    </row>
    <row r="3525" spans="1:4" x14ac:dyDescent="0.35">
      <c r="A3525" t="s">
        <v>3575</v>
      </c>
      <c r="B3525">
        <v>2</v>
      </c>
      <c r="C3525" t="str">
        <f t="shared" si="110"/>
        <v>EMSG:JOSEPH MERHAISTRACE:gw.job.QuoteProcess.requestQuote(QuoteProcess.gs:XXXSTRACERAW:-</v>
      </c>
      <c r="D3525" s="3">
        <f t="shared" si="111"/>
        <v>1</v>
      </c>
    </row>
    <row r="3526" spans="1:4" ht="43.5" x14ac:dyDescent="0.35">
      <c r="A3526" s="4" t="s">
        <v>917</v>
      </c>
      <c r="B3526">
        <v>2</v>
      </c>
      <c r="C3526" t="str">
        <f t="shared" si="110"/>
        <v>EMSG:LUW Policy Change Job XXX: The object you are trying to update was XXXSTRACE:XXX/XXX/XXX XXX:XXX AM. Please cancel and retry your change.
The object you are trying to update was 'Policy:pc:XXX - pc:XXX', and it was changed by LUW u at XXX/XXX/XXX XXX</v>
      </c>
      <c r="D3526" s="3">
        <f t="shared" si="111"/>
        <v>1</v>
      </c>
    </row>
    <row r="3527" spans="1:4" ht="29" x14ac:dyDescent="0.35">
      <c r="A3527" s="4" t="s">
        <v>3576</v>
      </c>
      <c r="B3527">
        <v>2</v>
      </c>
      <c r="C3527" t="str">
        <f t="shared" si="110"/>
        <v>EMSG:LUW Policy Change Job XXX: The object you are trying to update was XXXSTRACE:XXX/XXX/XXX XXX:XXX PM. Please cancel and retry your change.
	at com.farmers.integ.framework.job.automatejob.AutomatedJob.executeJob(AutomatedJob.gs:XXXSTRACERAW:-</v>
      </c>
      <c r="D3527" s="3">
        <f t="shared" si="111"/>
        <v>1</v>
      </c>
    </row>
    <row r="3528" spans="1:4" ht="58" x14ac:dyDescent="0.35">
      <c r="A3528" s="4" t="s">
        <v>3577</v>
      </c>
      <c r="B3528">
        <v>2</v>
      </c>
      <c r="C3528" t="str">
        <f t="shared" si="110"/>
        <v>EMSG:LUW Policy Change Job XXX: The object you are trying to update was XXXSTRACE:XXX/XXX/XXX XXX:XXX PM. Please cancel and retry your change.
The object you are trying to update was 'Policy:CN:2370248450080735227305XXX - CN:2370248450080735227305XXX', an</v>
      </c>
      <c r="D3528" s="3">
        <f t="shared" si="111"/>
        <v>1</v>
      </c>
    </row>
    <row r="3529" spans="1:4" x14ac:dyDescent="0.35">
      <c r="A3529" t="s">
        <v>3578</v>
      </c>
      <c r="B3529">
        <v>2</v>
      </c>
      <c r="C3529" t="str">
        <f t="shared" si="110"/>
        <v>EMSG:Missing/Invalid Mandatory Fields - LicenseExpDateSTRACE:com.farmers.integ.framework.annotations.WsiAnnotationValidationHandler.validateInboundService(WsiAnnotationValidationHandler.gs:XXXSTRACERAW:-</v>
      </c>
      <c r="D3529" s="3">
        <f t="shared" si="111"/>
        <v>1</v>
      </c>
    </row>
    <row r="3530" spans="1:4" x14ac:dyDescent="0.35">
      <c r="A3530" t="s">
        <v>3579</v>
      </c>
      <c r="B3530">
        <v>2</v>
      </c>
      <c r="C3530" t="str">
        <f t="shared" si="110"/>
        <v>EMSG:RONALD POSEYSTRACE:com.farmers.config.pa.validator.BrightlineValidator.validateQuoteBrightlineRules(BrightlineValidator.gs:XXXSTRACERAW:-</v>
      </c>
      <c r="D3530" s="3">
        <f t="shared" si="111"/>
        <v>1</v>
      </c>
    </row>
    <row r="3531" spans="1:4" x14ac:dyDescent="0.35">
      <c r="A3531" t="s">
        <v>3580</v>
      </c>
      <c r="B3531">
        <v>2</v>
      </c>
      <c r="C3531" t="str">
        <f t="shared" si="110"/>
        <v>EMSG:RONALD POSEYSTRACE:gw.job.QuoteProcess.requestQuote(QuoteProcess.gs:XXXSTRACERAW:-</v>
      </c>
      <c r="D3531" s="3">
        <f t="shared" si="111"/>
        <v>1</v>
      </c>
    </row>
    <row r="3532" spans="1:4" x14ac:dyDescent="0.35">
      <c r="A3532" t="s">
        <v>3581</v>
      </c>
      <c r="B3532">
        <v>2</v>
      </c>
      <c r="C3532" t="str">
        <f t="shared" si="110"/>
        <v>EMSG:Re-enter "License #". Duplicate License Number entered for the following Drivers Anthony Malcolm JRSTRACE:edge.capabilities.quote.submission.quoting.util.SubmissionUnderwritingIssuesUtil.checkVerifyRateExceptions(SubmissionUnderwritingIssuesUtil.gs:X</v>
      </c>
      <c r="D3532" s="3">
        <f t="shared" si="111"/>
        <v>1</v>
      </c>
    </row>
    <row r="3533" spans="1:4" x14ac:dyDescent="0.35">
      <c r="A3533" t="s">
        <v>3582</v>
      </c>
      <c r="B3533">
        <v>2</v>
      </c>
      <c r="C3533" t="str">
        <f t="shared" si="110"/>
        <v>EMSG:Re-enter "License #". Duplicate License Number entered for the following Drivers KELLYN CASTILLO ALVARDOSTRACE:edge.capabilities.quote.submission.quoting.util.SubmissionUnderwritingIssuesUtil.checkVerifyRateExceptions(SubmissionUnderwritingIssuesUtil</v>
      </c>
      <c r="D3533" s="3">
        <f t="shared" si="111"/>
        <v>1</v>
      </c>
    </row>
    <row r="3534" spans="1:4" x14ac:dyDescent="0.35">
      <c r="A3534" t="s">
        <v>3583</v>
      </c>
      <c r="B3534">
        <v>2</v>
      </c>
      <c r="C3534" t="str">
        <f t="shared" si="110"/>
        <v>EMSG:Remove duplicate driver Felipe Vasquez. Two or more non-drivers with the same information exist.STRACE:edge.capabilities.policychange.lob.personalauto.coverables.DefaultPaCoverablePlugin.updateCoverables(DefaultPaCoverablePlugin.gs:XXXSTRACERAW:-</v>
      </c>
      <c r="D3534" s="3">
        <f t="shared" si="111"/>
        <v>1</v>
      </c>
    </row>
    <row r="3535" spans="1:4" x14ac:dyDescent="0.35">
      <c r="A3535" t="s">
        <v>3584</v>
      </c>
      <c r="B3535">
        <v>2</v>
      </c>
      <c r="C3535" t="str">
        <f t="shared" si="110"/>
        <v>EMSG:Review the Valuation ID. XXX Value was unable to locate a match.STRACE:com.farmers.config.ho.dwelling.propertyvaluation.process.HOPropertyValuationProcess.retrieveEvaluationProcess(HOPropertyValuationProcess.gs:XXXSTRACERAW:-</v>
      </c>
      <c r="D3535" s="3">
        <f t="shared" si="111"/>
        <v>1</v>
      </c>
    </row>
    <row r="3536" spans="1:4" x14ac:dyDescent="0.35">
      <c r="A3536" t="s">
        <v>3585</v>
      </c>
      <c r="B3536">
        <v>2</v>
      </c>
      <c r="C3536" t="str">
        <f t="shared" si="110"/>
        <v>EMSG:The value "BERTHA VAZQUEZSTRACE:deployment.pc.war//gw.datatype.impl.StringConstraintsHandlerBase.validateStringLength(StringConstraintsHandlerBase.java:XXXSTRACERAW:-</v>
      </c>
      <c r="D3536" s="3">
        <f t="shared" si="111"/>
        <v>1</v>
      </c>
    </row>
    <row r="3537" spans="1:4" x14ac:dyDescent="0.35">
      <c r="A3537" t="s">
        <v>3586</v>
      </c>
      <c r="B3537">
        <v>2</v>
      </c>
      <c r="C3537" t="str">
        <f t="shared" si="110"/>
        <v>EMSG:The value "CHARLES E GRIFFINSTRACE:deployment.pc.war//gw.datatype.impl.StringConstraintsHandlerBase.validateStringLength(StringConstraintsHandlerBase.java:XXXSTRACERAW:-</v>
      </c>
      <c r="D3537" s="3">
        <f t="shared" si="111"/>
        <v>1</v>
      </c>
    </row>
    <row r="3538" spans="1:4" x14ac:dyDescent="0.35">
      <c r="A3538" t="s">
        <v>3587</v>
      </c>
      <c r="B3538">
        <v>2</v>
      </c>
      <c r="C3538" t="str">
        <f t="shared" si="110"/>
        <v>EMSG:Timothy BowmanSTRACE:com.farmers.config.pa.validator.BrightlineValidator.validateQuoteBrightlineRules(BrightlineValidator.gs:XXXSTRACERAW:-</v>
      </c>
      <c r="D3538" s="3">
        <f t="shared" si="111"/>
        <v>1</v>
      </c>
    </row>
    <row r="3539" spans="1:4" x14ac:dyDescent="0.35">
      <c r="A3539" t="s">
        <v>3588</v>
      </c>
      <c r="B3539">
        <v>2</v>
      </c>
      <c r="C3539" t="str">
        <f t="shared" si="110"/>
        <v>EMSG:Unable to retrieve Mortgagee details for code - XXXFESTRACE:com.farmers.edge.capabilities.quote.mortgagee.MortgageePlugin$block_XXX_.invoke(MortgageePlugin.gs:XXXSTRACERAW:-</v>
      </c>
      <c r="D3539" s="3">
        <f t="shared" si="111"/>
        <v>1</v>
      </c>
    </row>
    <row r="3540" spans="1:4" ht="43.5" x14ac:dyDescent="0.35">
      <c r="A3540" s="4" t="s">
        <v>3589</v>
      </c>
      <c r="B3540">
        <v>2</v>
      </c>
      <c r="C3540" t="str">
        <f t="shared" si="110"/>
        <v>EMSG:Update 'What vehicle do you customarily drive?' for Tara Nehring. This is required for active drivers.STRACE:vehicle do you customarily drive?' for Tara Nehring. This is required for active drivers.
	at edge.capabilities.quote.submission.quoting.util</v>
      </c>
      <c r="D3540" s="3">
        <f t="shared" si="111"/>
        <v>1</v>
      </c>
    </row>
    <row r="3541" spans="1:4" x14ac:dyDescent="0.35">
      <c r="A3541" t="s">
        <v>3590</v>
      </c>
      <c r="B3541">
        <v>2</v>
      </c>
      <c r="C3541" t="str">
        <f t="shared" si="110"/>
        <v>EMSG:Update Signal Phone number for Michael R Mcintosh. Each driver enrolled in the Signal program needs a unique cell phone number.;Update Signal Phone number for Jillian Jules-mcintosh. Each driver enrolled in the Signal program needs a unique cell phon</v>
      </c>
      <c r="D3541" s="3">
        <f t="shared" si="111"/>
        <v>1</v>
      </c>
    </row>
    <row r="3542" spans="1:4" x14ac:dyDescent="0.35">
      <c r="A3542" t="s">
        <v>3591</v>
      </c>
      <c r="B3542">
        <v>2</v>
      </c>
      <c r="C3542" t="str">
        <f t="shared" si="110"/>
        <v>EMSG:Update the Age First Licensed for Betty Sanders. This is required for active drivers.STRACE:edge.capabilities.quote.submission.quoting.util.SubmissionUnderwritingIssuesUtil.checkSideBySideProcessExceptions(SubmissionUnderwritingIssuesUtil.gs:XXXSTRAC</v>
      </c>
      <c r="D3542" s="3">
        <f t="shared" si="111"/>
        <v>1</v>
      </c>
    </row>
    <row r="3543" spans="1:4" ht="29" x14ac:dyDescent="0.35">
      <c r="A3543" s="4" t="s">
        <v>3592</v>
      </c>
      <c r="B3543">
        <v>2</v>
      </c>
      <c r="C3543" t="str">
        <f t="shared" si="110"/>
        <v>EMSG:Update the First Foreign Licensed Date for Jose Zuno. The date must be at least XXX years or more from the Date of BirthSTRACE:least XXX years or more from the Date of Birth
	at edge.capabilities.quote.submission.quoting.util.SubmissionUnderwritingIs</v>
      </c>
      <c r="D3543" s="3">
        <f t="shared" si="111"/>
        <v>1</v>
      </c>
    </row>
    <row r="3544" spans="1:4" x14ac:dyDescent="0.35">
      <c r="A3544" t="s">
        <v>3593</v>
      </c>
      <c r="B3544">
        <v>2</v>
      </c>
      <c r="C3544" t="str">
        <f t="shared" si="110"/>
        <v>EMSG:Warren RossSTRACE:com.farmers.config.pa.validator.BrightlineValidator.validateQuoteBrightlineRules(BrightlineValidator.gs:XXXSTRACERAW:-</v>
      </c>
      <c r="D3544" s="3">
        <f t="shared" si="111"/>
        <v>1</v>
      </c>
    </row>
    <row r="3545" spans="1:4" x14ac:dyDescent="0.35">
      <c r="A3545" t="s">
        <v>3594</v>
      </c>
      <c r="B3545">
        <v>2</v>
      </c>
      <c r="C3545" t="str">
        <f t="shared" si="110"/>
        <v>EMSG:XXX CHEVROLET EQUINOX XXXD XXXWD FLEET in Colorado: Coverage is on Comprehensive is now available and its value must be verified by the user.; XXX CHEVROLET EQUINOX XXXD XXXWD FLEET in Colorado: Coverage is on Collision is now available and its value</v>
      </c>
      <c r="D3545" s="3">
        <f t="shared" si="111"/>
        <v>1</v>
      </c>
    </row>
    <row r="3546" spans="1:4" x14ac:dyDescent="0.35">
      <c r="A3546" t="s">
        <v>3595</v>
      </c>
      <c r="B3546">
        <v>2</v>
      </c>
      <c r="C3546" t="str">
        <f t="shared" si="110"/>
        <v>EMSG:XXX FORD EXPLORER XXXD XXXXXXX PLATINUM has a lienholder/lessor.  Remove lienholder/lessorSTRACE:edge.capabilities.quote.submission.quoting.util.SubmissionUnderwritingIssuesUtil.checkVerifyRateExceptions(SubmissionUnderwritingIssuesUtil.gs:XXXSTRACER</v>
      </c>
      <c r="D3546" s="3">
        <f t="shared" si="111"/>
        <v>1</v>
      </c>
    </row>
    <row r="3547" spans="1:4" x14ac:dyDescent="0.35">
      <c r="A3547" t="s">
        <v>3596</v>
      </c>
      <c r="B3547">
        <v>2</v>
      </c>
      <c r="C3547" t="str">
        <f t="shared" si="110"/>
        <v>EMSG:XXX GMC TRUCK YUKON XXXD XXXXXXX DENALI in Kansas: Comprehensive is required and must be added. XXXSTRACE:gw.api.extension.PCExtensionInterfacesMapper$block_XXX_.invoke(PCExtensionInterfacesMapper.gs:XXXSTRACERAW:-</v>
      </c>
      <c r="D3547" s="3">
        <f t="shared" si="111"/>
        <v>1</v>
      </c>
    </row>
    <row r="3548" spans="1:4" ht="43.5" x14ac:dyDescent="0.35">
      <c r="A3548" s="4" t="s">
        <v>3597</v>
      </c>
      <c r="B3548">
        <v>2</v>
      </c>
      <c r="C3548" t="str">
        <f t="shared" si="110"/>
        <v>EMSG:XXX has exceeded the accident and/or violation threshold for eligibility in this program.STRACE:Munir has exceeded the accident and/or violation threshold for eligibility in this program.
	at com.farmers.config.pa.validator.BrightlineValidator.valida</v>
      </c>
      <c r="D3548" s="3">
        <f t="shared" si="111"/>
        <v>1</v>
      </c>
    </row>
    <row r="3549" spans="1:4" x14ac:dyDescent="0.35">
      <c r="A3549" t="s">
        <v>3598</v>
      </c>
      <c r="B3549">
        <v>2</v>
      </c>
      <c r="C3549" t="str">
        <f t="shared" si="110"/>
        <v>EMSG:XXX is unable to be reinstated based on underwriting guidelines and a new policy cannot be issued.STRACE:gw.job.ReinstatementEnhancement.startReinstatePolicy(ReinstatementEnhancement.gsx:XXXSTRACERAW:-</v>
      </c>
      <c r="D3549" s="3">
        <f t="shared" si="111"/>
        <v>1</v>
      </c>
    </row>
    <row r="3550" spans="1:4" x14ac:dyDescent="0.35">
      <c r="A3550" t="s">
        <v>3599</v>
      </c>
      <c r="B3550">
        <v>2</v>
      </c>
      <c r="C3550" t="str">
        <f t="shared" si="110"/>
        <v>EMSG:java.lang.StringIndexOutOfBoundsException: begin XXXSTRACE:com.farmers.integ.documentmgmt.vipdocument.multilobformgen.transformer.VIPFormGenRequestTransformer.transform(VIPFormGenRequestTransformer.gs:XXXSTRACERAW:-</v>
      </c>
      <c r="D3550" s="3">
        <f t="shared" si="111"/>
        <v>1</v>
      </c>
    </row>
    <row r="3551" spans="1:4" x14ac:dyDescent="0.35">
      <c r="A3551" t="s">
        <v>3600</v>
      </c>
      <c r="B3551">
        <v>1</v>
      </c>
      <c r="C3551" t="str">
        <f t="shared" si="110"/>
        <v>EMSG:, AOR=XXXSTRACE:com.farmers.config.ho.productmodel.enhancements.Dwelling_HOEEnhancement.valCADeductables(Dwelling_HOEEnhancement.gsx:XXXSTRACERAW:-</v>
      </c>
      <c r="D3551" s="3">
        <f t="shared" si="111"/>
        <v>1</v>
      </c>
    </row>
    <row r="3552" spans="1:4" x14ac:dyDescent="0.35">
      <c r="A3552" t="s">
        <v>1179</v>
      </c>
      <c r="B3552">
        <v>1</v>
      </c>
      <c r="C3552" t="str">
        <f t="shared" si="110"/>
        <v>EMSG:, AOR=XXXSTRACE:deployment.pc.war//com.guidewire.pc.domain.account.impl.AccountContactImpl.markContactForAutoSync(AccountContactImpl.java:XXXSTRACERAW:-</v>
      </c>
      <c r="D3552" s="3">
        <f t="shared" si="111"/>
        <v>1</v>
      </c>
    </row>
    <row r="3553" spans="1:4" x14ac:dyDescent="0.35">
      <c r="A3553" t="s">
        <v>3601</v>
      </c>
      <c r="B3553">
        <v>1</v>
      </c>
      <c r="C3553" t="str">
        <f t="shared" si="110"/>
        <v>EMSG:-STRACE:-STRACERAW:May XXX XXX:XXX:XXX PDT XXX (attempted merging values Homeowners Line and Homeowners Line</v>
      </c>
      <c r="D3553" s="3">
        <f t="shared" si="111"/>
        <v>1</v>
      </c>
    </row>
    <row r="3554" spans="1:4" x14ac:dyDescent="0.35">
      <c r="A3554" t="s">
        <v>3602</v>
      </c>
      <c r="B3554">
        <v>1</v>
      </c>
      <c r="C3554" t="str">
        <f t="shared" si="110"/>
        <v>EMSG:-STRACE:-STRACERAW:com.farmers.config.common.ydd.dao.YouthfulDriverDiscoveryDAO.getAgeRecord(YouthfulDriverDiscoveryDAO.gs:XXX</v>
      </c>
      <c r="D3554" s="3">
        <f t="shared" si="111"/>
        <v>1</v>
      </c>
    </row>
    <row r="3555" spans="1:4" x14ac:dyDescent="0.35">
      <c r="A3555" t="s">
        <v>3603</v>
      </c>
      <c r="B3555">
        <v>1</v>
      </c>
      <c r="C3555" t="str">
        <f t="shared" si="110"/>
        <v>EMSG:-STRACE:-STRACERAW:com.guidewire.pl.persistence.code.DelegateMap.getImplType(DelegateMap.java:XXX</v>
      </c>
      <c r="D3555" s="3">
        <f t="shared" si="111"/>
        <v>1</v>
      </c>
    </row>
    <row r="3556" spans="1:4" x14ac:dyDescent="0.35">
      <c r="A3556" t="s">
        <v>3604</v>
      </c>
      <c r="B3556">
        <v>1</v>
      </c>
      <c r="C3556" t="str">
        <f t="shared" si="110"/>
        <v>EMSG:-STRACE:-STRACERAW:deployment.pc.war//gw.internal.gosu.parser.TypeLoaderAccess.getIntrinsicTypeFromObject(TypeLoaderAccess.java:XXX</v>
      </c>
      <c r="D3556" s="3">
        <f t="shared" si="111"/>
        <v>1</v>
      </c>
    </row>
    <row r="3557" spans="1:4" x14ac:dyDescent="0.35">
      <c r="A3557" t="s">
        <v>3605</v>
      </c>
      <c r="B3557">
        <v>1</v>
      </c>
      <c r="C3557" t="str">
        <f t="shared" si="110"/>
        <v>EMSG:-STRACE:-STRACERAW:deployment.pc.war//gw.lang.reflect.TypeSystem.get(TypeSystem.java:XXX</v>
      </c>
      <c r="D3557" s="3">
        <f t="shared" si="111"/>
        <v>1</v>
      </c>
    </row>
    <row r="3558" spans="1:4" x14ac:dyDescent="0.35">
      <c r="A3558" t="s">
        <v>3606</v>
      </c>
      <c r="B3558">
        <v>1</v>
      </c>
      <c r="C3558" t="str">
        <f t="shared" si="110"/>
        <v>EMSG:-STRACE:-STRACERAW:deployment.pc.war//gw.lang.reflect.TypeSystem.popGlobalModule(TypeSystem.java:XXX</v>
      </c>
      <c r="D3558" s="3">
        <f t="shared" si="111"/>
        <v>1</v>
      </c>
    </row>
    <row r="3559" spans="1:4" x14ac:dyDescent="0.35">
      <c r="A3559" t="s">
        <v>3607</v>
      </c>
      <c r="B3559">
        <v>1</v>
      </c>
      <c r="C3559" t="str">
        <f t="shared" si="110"/>
        <v>EMSG:-STRACE:-STRACERAW:gw.internal.gosu.parser.TypeLoaderAccess.getIntrinsicTypeFromObject(TypeLoaderAccess.java:XXX</v>
      </c>
      <c r="D3559" s="3">
        <f t="shared" si="111"/>
        <v>1</v>
      </c>
    </row>
    <row r="3560" spans="1:4" x14ac:dyDescent="0.35">
      <c r="A3560" t="s">
        <v>3608</v>
      </c>
      <c r="B3560">
        <v>1</v>
      </c>
      <c r="C3560" t="str">
        <f t="shared" si="110"/>
        <v>EMSG:-STRACE:-STRACERAW:gw.lang.reflect.TypeSystem.get(TypeSystem.java:XXX</v>
      </c>
      <c r="D3560" s="3">
        <f t="shared" si="111"/>
        <v>1</v>
      </c>
    </row>
    <row r="3561" spans="1:4" x14ac:dyDescent="0.35">
      <c r="A3561" t="s">
        <v>3609</v>
      </c>
      <c r="B3561">
        <v>1</v>
      </c>
      <c r="C3561" t="str">
        <f t="shared" si="110"/>
        <v>EMSG:-STRACE:-STRACERAW:gw.lang.reflect.TypeSystem.popGlobalModule(TypeSystem.java:XXX</v>
      </c>
      <c r="D3561" s="3">
        <f t="shared" si="111"/>
        <v>1</v>
      </c>
    </row>
    <row r="3562" spans="1:4" x14ac:dyDescent="0.35">
      <c r="A3562" t="s">
        <v>3610</v>
      </c>
      <c r="B3562">
        <v>1</v>
      </c>
      <c r="C3562" t="str">
        <f t="shared" si="110"/>
        <v>EMSG:-STRACE:-STRACERAW:gwservices.pc.dm.api.DMSubmissionAPI.processRecordInternal(DMSubmissionAPI.gs:XXX</v>
      </c>
      <c r="D3562" s="3">
        <f t="shared" si="111"/>
        <v>1</v>
      </c>
    </row>
    <row r="3563" spans="1:4" x14ac:dyDescent="0.35">
      <c r="A3563" t="s">
        <v>3611</v>
      </c>
      <c r="B3563">
        <v>1</v>
      </c>
      <c r="C3563" t="str">
        <f t="shared" si="110"/>
        <v>EMSG:-STRACE:-STRACERAW:includes: Arena, Auto Water, Barn, Corral(S</v>
      </c>
      <c r="D3563" s="3">
        <f t="shared" si="111"/>
        <v>1</v>
      </c>
    </row>
    <row r="3564" spans="1:4" x14ac:dyDescent="0.35">
      <c r="A3564" t="s">
        <v>1186</v>
      </c>
      <c r="B3564">
        <v>1</v>
      </c>
      <c r="C3564" t="str">
        <f t="shared" si="110"/>
        <v>EMSG:-STRACE:-STRACERAW:io.undertow.servlet.spec.ServletContextImpl.getSession(ServletContextImpl.java:XXX</v>
      </c>
      <c r="D3564" s="3">
        <f t="shared" si="111"/>
        <v>1</v>
      </c>
    </row>
    <row r="3565" spans="1:4" x14ac:dyDescent="0.35">
      <c r="A3565" t="s">
        <v>1241</v>
      </c>
      <c r="B3565">
        <v>1</v>
      </c>
      <c r="C3565" t="str">
        <f t="shared" si="110"/>
        <v>EMSG:-STRACE:-STRACERAW:java.base/java.util.concurrent.FutureTask.report(FutureTask.java:XXX</v>
      </c>
      <c r="D3565" s="3">
        <f t="shared" si="111"/>
        <v>1</v>
      </c>
    </row>
    <row r="3566" spans="1:4" x14ac:dyDescent="0.35">
      <c r="A3566" t="s">
        <v>3612</v>
      </c>
      <c r="B3566">
        <v>1</v>
      </c>
      <c r="C3566" t="str">
        <f t="shared" si="110"/>
        <v>EMSG:-STRACE:-STRACERAW:pcfc.expressions.CostOverridesWarningPanelSetExpressions$CostOverridesWarningPanelSetExpressionsImpl.visible_XXX(CostOverridesWarningPanelSetExpressions.gs:XXX</v>
      </c>
      <c r="D3566" s="3">
        <f t="shared" si="111"/>
        <v>1</v>
      </c>
    </row>
    <row r="3567" spans="1:4" x14ac:dyDescent="0.35">
      <c r="A3567" t="s">
        <v>3613</v>
      </c>
      <c r="B3567">
        <v>1</v>
      </c>
      <c r="C3567" t="str">
        <f t="shared" si="110"/>
        <v>EMSG:-STRACE:-STRACERAW:pcfc.expressions.PolicyFile_ParticipantsExpressions$PolicyFile_ParticipantsExpressionsImpl.getGroupBasedonUser(PolicyFile_ParticipantsExpressions.gs:XXX</v>
      </c>
      <c r="D3567" s="3">
        <f t="shared" si="111"/>
        <v>1</v>
      </c>
    </row>
    <row r="3568" spans="1:4" x14ac:dyDescent="0.35">
      <c r="A3568" t="s">
        <v>3614</v>
      </c>
      <c r="B3568">
        <v>1</v>
      </c>
      <c r="C3568" t="str">
        <f t="shared" si="110"/>
        <v>EMSG:ALVARO ARRIOLA JIMENEZSTRACE:com.farmers.config.pa.validator.BrightlineValidator.validateQuoteBrightlineRules(BrightlineValidator.gs:XXXSTRACERAW:-</v>
      </c>
      <c r="D3568" s="3">
        <f t="shared" si="111"/>
        <v>1</v>
      </c>
    </row>
    <row r="3569" spans="1:4" x14ac:dyDescent="0.35">
      <c r="A3569" t="s">
        <v>3615</v>
      </c>
      <c r="B3569">
        <v>1</v>
      </c>
      <c r="C3569" t="str">
        <f t="shared" si="110"/>
        <v>EMSG:AMELIA CORDOVASTRACE:com.farmers.config.pa.validator.BrightlineValidator.validateQuoteBrightlineRules(BrightlineValidator.gs:XXXSTRACERAW:-</v>
      </c>
      <c r="D3569" s="3">
        <f t="shared" si="111"/>
        <v>1</v>
      </c>
    </row>
    <row r="3570" spans="1:4" x14ac:dyDescent="0.35">
      <c r="A3570" t="s">
        <v>3616</v>
      </c>
      <c r="B3570">
        <v>1</v>
      </c>
      <c r="C3570" t="str">
        <f t="shared" si="110"/>
        <v>EMSG:AMELIA CORDOVASTRACE:gw.job.QuoteProcess.requestQuote(QuoteProcess.gs:XXXSTRACERAW:-</v>
      </c>
      <c r="D3570" s="3">
        <f t="shared" si="111"/>
        <v>1</v>
      </c>
    </row>
    <row r="3571" spans="1:4" x14ac:dyDescent="0.35">
      <c r="A3571" t="s">
        <v>3617</v>
      </c>
      <c r="B3571">
        <v>1</v>
      </c>
      <c r="C3571" t="str">
        <f t="shared" si="110"/>
        <v>EMSG:Adriana BerumenSTRACE:com.farmers.config.pa.validator.BrightlineValidator.validateQuoteBrightlineRules(BrightlineValidator.gs:XXXSTRACERAW:-</v>
      </c>
      <c r="D3571" s="3">
        <f t="shared" si="111"/>
        <v>1</v>
      </c>
    </row>
    <row r="3572" spans="1:4" x14ac:dyDescent="0.35">
      <c r="A3572" t="s">
        <v>3618</v>
      </c>
      <c r="B3572">
        <v>1</v>
      </c>
      <c r="C3572" t="str">
        <f t="shared" si="110"/>
        <v>EMSG:Adriana BerumenSTRACE:gw.job.QuoteProcess.requestQuote(QuoteProcess.gs:XXXSTRACERAW:-</v>
      </c>
      <c r="D3572" s="3">
        <f t="shared" si="111"/>
        <v>1</v>
      </c>
    </row>
    <row r="3573" spans="1:4" x14ac:dyDescent="0.35">
      <c r="A3573" t="s">
        <v>3619</v>
      </c>
      <c r="B3573">
        <v>1</v>
      </c>
      <c r="C3573" t="str">
        <f t="shared" si="110"/>
        <v>EMSG:Albert GarciaSTRACE:gw.job.QuoteProcess.requestQuote(QuoteProcess.gs:XXXSTRACERAW:-</v>
      </c>
      <c r="D3573" s="3">
        <f t="shared" si="111"/>
        <v>1</v>
      </c>
    </row>
    <row r="3574" spans="1:4" x14ac:dyDescent="0.35">
      <c r="A3574" t="s">
        <v>3620</v>
      </c>
      <c r="B3574">
        <v>1</v>
      </c>
      <c r="C3574" t="str">
        <f t="shared" si="110"/>
        <v>EMSG:Alejandra YanezSTRACE:com.farmers.config.pa.validator.BrightlineValidator.validateQuoteBrightlineRules(BrightlineValidator.gs:XXXSTRACERAW:-</v>
      </c>
      <c r="D3574" s="3">
        <f t="shared" si="111"/>
        <v>1</v>
      </c>
    </row>
    <row r="3575" spans="1:4" x14ac:dyDescent="0.35">
      <c r="A3575" t="s">
        <v>3621</v>
      </c>
      <c r="B3575">
        <v>1</v>
      </c>
      <c r="C3575" t="str">
        <f t="shared" si="110"/>
        <v>EMSG:Alejandra YanezSTRACE:gw.job.QuoteProcess.requestQuote(QuoteProcess.gs:XXXSTRACERAW:-</v>
      </c>
      <c r="D3575" s="3">
        <f t="shared" si="111"/>
        <v>1</v>
      </c>
    </row>
    <row r="3576" spans="1:4" x14ac:dyDescent="0.35">
      <c r="A3576" t="s">
        <v>3622</v>
      </c>
      <c r="B3576">
        <v>1</v>
      </c>
      <c r="C3576" t="str">
        <f t="shared" si="110"/>
        <v>EMSG:Amarjeet BediSTRACE:com.farmers.config.pa.validator.BrightlineValidator.validateQuoteBrightlineRules(BrightlineValidator.gs:XXXSTRACERAW:-</v>
      </c>
      <c r="D3576" s="3">
        <f t="shared" si="111"/>
        <v>1</v>
      </c>
    </row>
    <row r="3577" spans="1:4" x14ac:dyDescent="0.35">
      <c r="A3577" t="s">
        <v>3623</v>
      </c>
      <c r="B3577">
        <v>1</v>
      </c>
      <c r="C3577" t="str">
        <f t="shared" si="110"/>
        <v>EMSG:Amarjeet BediSTRACE:gw.job.QuoteProcess.requestQuote(QuoteProcess.gs:XXXSTRACERAW:-</v>
      </c>
      <c r="D3577" s="3">
        <f t="shared" si="111"/>
        <v>1</v>
      </c>
    </row>
    <row r="3578" spans="1:4" x14ac:dyDescent="0.35">
      <c r="A3578" t="s">
        <v>958</v>
      </c>
      <c r="B3578">
        <v>1</v>
      </c>
      <c r="C3578" t="str">
        <f t="shared" si="110"/>
        <v>EMSG:Attempt to access bean of type "PolicyAddlInsured" id=XXX with a null bundleSTRACE:deployment.pc.war//com.guidewire.pl.system.entity.proxy.BeanProxy.checkIsInBundle(BeanProxy.java:XXXSTRACERAW:-</v>
      </c>
      <c r="D3578" s="3">
        <f t="shared" si="111"/>
        <v>1</v>
      </c>
    </row>
    <row r="3579" spans="1:4" x14ac:dyDescent="0.35">
      <c r="A3579" t="s">
        <v>3624</v>
      </c>
      <c r="B3579">
        <v>1</v>
      </c>
      <c r="C3579" t="str">
        <f t="shared" si="110"/>
        <v>EMSG:BAILEY GATSONSTRACE:com.farmers.config.pa.validator.BrightlineValidator.validateQuoteBrightlineRules(BrightlineValidator.gs:XXXSTRACERAW:-</v>
      </c>
      <c r="D3579" s="3">
        <f t="shared" si="111"/>
        <v>1</v>
      </c>
    </row>
    <row r="3580" spans="1:4" x14ac:dyDescent="0.35">
      <c r="A3580" t="s">
        <v>3625</v>
      </c>
      <c r="B3580">
        <v>1</v>
      </c>
      <c r="C3580" t="str">
        <f t="shared" si="110"/>
        <v>EMSG:BAILEY GATSONSTRACE:gw.job.QuoteProcess.requestQuote(QuoteProcess.gs:XXXSTRACERAW:-</v>
      </c>
      <c r="D3580" s="3">
        <f t="shared" si="111"/>
        <v>1</v>
      </c>
    </row>
    <row r="3581" spans="1:4" x14ac:dyDescent="0.35">
      <c r="A3581" t="s">
        <v>3626</v>
      </c>
      <c r="B3581">
        <v>1</v>
      </c>
      <c r="C3581" t="str">
        <f t="shared" si="110"/>
        <v>EMSG:BENJAMIN PEASLEYSTRACE:com.farmers.config.pa.validator.BrightlineValidator.validateQuoteBrightlineRules(BrightlineValidator.gs:XXXSTRACERAW:-</v>
      </c>
      <c r="D3581" s="3">
        <f t="shared" si="111"/>
        <v>1</v>
      </c>
    </row>
    <row r="3582" spans="1:4" x14ac:dyDescent="0.35">
      <c r="A3582" t="s">
        <v>3627</v>
      </c>
      <c r="B3582">
        <v>1</v>
      </c>
      <c r="C3582" t="str">
        <f t="shared" si="110"/>
        <v>EMSG:BENJAMIN PEASLEYSTRACE:gw.job.QuoteProcess.requestQuote(QuoteProcess.gs:XXXSTRACERAW:-</v>
      </c>
      <c r="D3582" s="3">
        <f t="shared" si="111"/>
        <v>1</v>
      </c>
    </row>
    <row r="3583" spans="1:4" x14ac:dyDescent="0.35">
      <c r="A3583" t="s">
        <v>3628</v>
      </c>
      <c r="B3583">
        <v>1</v>
      </c>
      <c r="C3583" t="str">
        <f t="shared" si="110"/>
        <v>EMSG:BRAEDEN WILSONSTRACE:com.farmers.config.pa.validator.BrightlineValidator.validateQuoteBrightlineRules(BrightlineValidator.gs:XXXSTRACERAW:-</v>
      </c>
      <c r="D3583" s="3">
        <f t="shared" si="111"/>
        <v>1</v>
      </c>
    </row>
    <row r="3584" spans="1:4" x14ac:dyDescent="0.35">
      <c r="A3584" t="s">
        <v>3629</v>
      </c>
      <c r="B3584">
        <v>1</v>
      </c>
      <c r="C3584" t="str">
        <f t="shared" si="110"/>
        <v>EMSG:BRAEDEN WILSONSTRACE:gw.job.QuoteProcess.requestQuote(QuoteProcess.gs:XXXSTRACERAW:-</v>
      </c>
      <c r="D3584" s="3">
        <f t="shared" si="111"/>
        <v>1</v>
      </c>
    </row>
    <row r="3585" spans="1:4" x14ac:dyDescent="0.35">
      <c r="A3585" t="s">
        <v>3630</v>
      </c>
      <c r="B3585">
        <v>1</v>
      </c>
      <c r="C3585" t="str">
        <f t="shared" si="110"/>
        <v>EMSG:Bao Yen LuuSTRACE:com.farmers.config.pa.validator.BrightlineValidator.validateQuoteBrightlineRules(BrightlineValidator.gs:XXXSTRACERAW:-</v>
      </c>
      <c r="D3585" s="3">
        <f t="shared" si="111"/>
        <v>1</v>
      </c>
    </row>
    <row r="3586" spans="1:4" x14ac:dyDescent="0.35">
      <c r="A3586" t="s">
        <v>3631</v>
      </c>
      <c r="B3586">
        <v>1</v>
      </c>
      <c r="C3586" t="str">
        <f t="shared" si="110"/>
        <v>EMSG:Bao Yen LuuSTRACE:gw.job.QuoteProcess.requestQuote(QuoteProcess.gs:XXXSTRACERAW:-</v>
      </c>
      <c r="D3586" s="3">
        <f t="shared" si="111"/>
        <v>1</v>
      </c>
    </row>
    <row r="3587" spans="1:4" x14ac:dyDescent="0.35">
      <c r="A3587" t="s">
        <v>3632</v>
      </c>
      <c r="B3587">
        <v>1</v>
      </c>
      <c r="C3587" t="str">
        <f t="shared" ref="C3587:C3650" si="112">LEFT(A3587,255)</f>
        <v>EMSG:Brian GoodingSTRACE:com.farmers.config.pa.validator.BrightlineValidator.validateQuoteBrightlineRules(BrightlineValidator.gs:XXXSTRACERAW:-</v>
      </c>
      <c r="D3587" s="3">
        <f t="shared" ref="D3587:D3650" si="113">IF(AND((B3587/10)&lt;1,(B3587/10)&gt;0),1,(B3587/10)*130%)</f>
        <v>1</v>
      </c>
    </row>
    <row r="3588" spans="1:4" x14ac:dyDescent="0.35">
      <c r="A3588" t="s">
        <v>3633</v>
      </c>
      <c r="B3588">
        <v>1</v>
      </c>
      <c r="C3588" t="str">
        <f t="shared" si="112"/>
        <v>EMSG:Brian GoodingSTRACE:gw.job.QuoteProcess.requestQuote(QuoteProcess.gs:XXXSTRACERAW:-</v>
      </c>
      <c r="D3588" s="3">
        <f t="shared" si="113"/>
        <v>1</v>
      </c>
    </row>
    <row r="3589" spans="1:4" x14ac:dyDescent="0.35">
      <c r="A3589" t="s">
        <v>3634</v>
      </c>
      <c r="B3589">
        <v>1</v>
      </c>
      <c r="C3589" t="str">
        <f t="shared" si="112"/>
        <v>EMSG:CALVIN WRIGHTSTRACE:com.farmers.config.pa.validator.BrightlineValidator.validateQuoteBrightlineRules(BrightlineValidator.gs:XXXSTRACERAW:-</v>
      </c>
      <c r="D3589" s="3">
        <f t="shared" si="113"/>
        <v>1</v>
      </c>
    </row>
    <row r="3590" spans="1:4" x14ac:dyDescent="0.35">
      <c r="A3590" t="s">
        <v>3635</v>
      </c>
      <c r="B3590">
        <v>1</v>
      </c>
      <c r="C3590" t="str">
        <f t="shared" si="112"/>
        <v>EMSG:CAROL A BRAZIL is already a Household Member.STRACE:deployment.pc.war//com.guidewire.pc.domain.policy.period.impl.PolicyPeriodImpl.checkAccountContactIsNotAlreadyAPolicyContactRoleOfType(PolicyPeriodImpl.java:XXXSTRACERAW:-</v>
      </c>
      <c r="D3590" s="3">
        <f t="shared" si="113"/>
        <v>1</v>
      </c>
    </row>
    <row r="3591" spans="1:4" x14ac:dyDescent="0.35">
      <c r="A3591" t="s">
        <v>3636</v>
      </c>
      <c r="B3591">
        <v>1</v>
      </c>
      <c r="C3591" t="str">
        <f t="shared" si="112"/>
        <v>EMSG:CAYDEN EVANSSTRACE:gw.job.QuoteProcess.requestQuote(QuoteProcess.gs:XXXSTRACERAW:-</v>
      </c>
      <c r="D3591" s="3">
        <f t="shared" si="113"/>
        <v>1</v>
      </c>
    </row>
    <row r="3592" spans="1:4" x14ac:dyDescent="0.35">
      <c r="A3592" t="s">
        <v>3637</v>
      </c>
      <c r="B3592">
        <v>1</v>
      </c>
      <c r="C3592" t="str">
        <f t="shared" si="112"/>
        <v>EMSG:Can't remove a bean during message generation: Jeff  SilvermanSTRACE:deployment.pc.war//com.guidewire.pl.system.database.DatabaseBundleWriter.executeBeanCallbacksAfterMessageGen(DatabaseBundleWriter.java:XXXSTRACERAW:-</v>
      </c>
      <c r="D3592" s="3">
        <f t="shared" si="113"/>
        <v>1</v>
      </c>
    </row>
    <row r="3593" spans="1:4" x14ac:dyDescent="0.35">
      <c r="A3593" t="s">
        <v>3638</v>
      </c>
      <c r="B3593">
        <v>1</v>
      </c>
      <c r="C3593" t="str">
        <f t="shared" si="112"/>
        <v>EMSG:Can't remove a bean during message generation: John  EnszSTRACE:deployment.pc.war//com.guidewire.pl.system.database.DatabaseBundleWriter.executeBeanCallbacksAfterMessageGen(DatabaseBundleWriter.java:XXXSTRACERAW:-</v>
      </c>
      <c r="D3593" s="3">
        <f t="shared" si="113"/>
        <v>1</v>
      </c>
    </row>
    <row r="3594" spans="1:4" x14ac:dyDescent="0.35">
      <c r="A3594" t="s">
        <v>3639</v>
      </c>
      <c r="B3594">
        <v>1</v>
      </c>
      <c r="C3594" t="str">
        <f t="shared" si="112"/>
        <v>EMSG:Cannot resolve an incident record XXX of contact role Incident Entity PCR - XXX to a single driver with Contact Roles Michael Griffin : XXXSTRACE:com.farmers.chargeability.pa.info.PAIncidentInfoDto.mapFromEntity(PAIncidentInfoDto.gs:XXXSTRACERAW:-</v>
      </c>
      <c r="D3594" s="3">
        <f t="shared" si="113"/>
        <v>1</v>
      </c>
    </row>
    <row r="3595" spans="1:4" x14ac:dyDescent="0.35">
      <c r="A3595" t="s">
        <v>3640</v>
      </c>
      <c r="B3595">
        <v>1</v>
      </c>
      <c r="C3595" t="str">
        <f t="shared" si="112"/>
        <v>EMSG:Cannot resolve an incident record XXX of contact role Incident Entity PCR - XXX to a single driver with Contact Roles Miguel Ordinola : XXXSTRACE:com.farmers.chargeability.pa.info.PAIncidentInfoDto.mapFromEntity(PAIncidentInfoDto.gs:XXXSTRACERAW:-</v>
      </c>
      <c r="D3595" s="3">
        <f t="shared" si="113"/>
        <v>1</v>
      </c>
    </row>
    <row r="3596" spans="1:4" x14ac:dyDescent="0.35">
      <c r="A3596" t="s">
        <v>3641</v>
      </c>
      <c r="B3596">
        <v>1</v>
      </c>
      <c r="C3596" t="str">
        <f t="shared" si="112"/>
        <v>EMSG:Change pay plan to XXX Pay and/or remove automatic payment method. Only XXX Pay Manual policies may change Who Pays.;STRACE:edge.capabilities.quote.submission.quoting.util.SubmissionUnderwritingIssuesUtil.checkVerifyRateExceptions(SubmissionUnderwrit</v>
      </c>
      <c r="D3596" s="3">
        <f t="shared" si="113"/>
        <v>1</v>
      </c>
    </row>
    <row r="3597" spans="1:4" x14ac:dyDescent="0.35">
      <c r="A3597" t="s">
        <v>3642</v>
      </c>
      <c r="B3597">
        <v>1</v>
      </c>
      <c r="C3597" t="str">
        <f t="shared" si="112"/>
        <v>EMSG:Charlene AdamsSTRACE:com.farmers.config.pa.validator.BrightlineValidator.validateQuoteBrightlineRules(BrightlineValidator.gs:XXXSTRACERAW:-</v>
      </c>
      <c r="D3597" s="3">
        <f t="shared" si="113"/>
        <v>1</v>
      </c>
    </row>
    <row r="3598" spans="1:4" x14ac:dyDescent="0.35">
      <c r="A3598" t="s">
        <v>3643</v>
      </c>
      <c r="B3598">
        <v>1</v>
      </c>
      <c r="C3598" t="str">
        <f t="shared" si="112"/>
        <v>EMSG:Chody ValenzuelaSTRACE:com.farmers.config.pa.validator.BrightlineValidator.validateQuoteBrightlineRules(BrightlineValidator.gs:XXXSTRACERAW:-</v>
      </c>
      <c r="D3598" s="3">
        <f t="shared" si="113"/>
        <v>1</v>
      </c>
    </row>
    <row r="3599" spans="1:4" x14ac:dyDescent="0.35">
      <c r="A3599" t="s">
        <v>3644</v>
      </c>
      <c r="B3599">
        <v>1</v>
      </c>
      <c r="C3599" t="str">
        <f t="shared" si="112"/>
        <v>EMSG:Correct VIN on XXX.  VIN failed verification.;Correct VIN on XXX.  VIN failed verification.;Correct VIN on XXX.  VIN failed verification.;STRACE:edge.capabilities.quote.submission.quoting.util.SubmissionUnderwritingIssuesUtil.checkVerifyRateException</v>
      </c>
      <c r="D3599" s="3">
        <f t="shared" si="113"/>
        <v>1</v>
      </c>
    </row>
    <row r="3600" spans="1:4" x14ac:dyDescent="0.35">
      <c r="A3600" t="s">
        <v>3645</v>
      </c>
      <c r="B3600">
        <v>1</v>
      </c>
      <c r="C3600" t="str">
        <f t="shared" si="112"/>
        <v>EMSG:Danitza MejiaSTRACE:com.farmers.config.pa.validator.BrightlineValidator.validateQuoteBrightlineRules(BrightlineValidator.gs:XXXSTRACERAW:-</v>
      </c>
      <c r="D3600" s="3">
        <f t="shared" si="113"/>
        <v>1</v>
      </c>
    </row>
    <row r="3601" spans="1:4" x14ac:dyDescent="0.35">
      <c r="A3601" t="s">
        <v>3646</v>
      </c>
      <c r="B3601">
        <v>1</v>
      </c>
      <c r="C3601" t="str">
        <f t="shared" si="112"/>
        <v>EMSG:Danitza MejiaSTRACE:gw.job.QuoteProcess.requestQuote(QuoteProcess.gs:XXXSTRACERAW:-</v>
      </c>
      <c r="D3601" s="3">
        <f t="shared" si="113"/>
        <v>1</v>
      </c>
    </row>
    <row r="3602" spans="1:4" ht="29" x14ac:dyDescent="0.35">
      <c r="A3602" s="4" t="s">
        <v>3647</v>
      </c>
      <c r="B3602">
        <v>1</v>
      </c>
      <c r="C3602" t="str">
        <f t="shared" si="112"/>
        <v>EMSG:Database bean version conflict : XXXSTRACE:Bend, KS XXXXXX', and it was changed by Averi Alice Spitzer-Fox at XXX/XXX/XXX XXX:XXX AM. Please cancel and retry your change.
	at deployment.pc.war//com.guidewire.pl.system.database.DatabaseChangedBeanWrit</v>
      </c>
      <c r="D3602" s="3">
        <f t="shared" si="113"/>
        <v>1</v>
      </c>
    </row>
    <row r="3603" spans="1:4" ht="29" x14ac:dyDescent="0.35">
      <c r="A3603" s="4" t="s">
        <v>3648</v>
      </c>
      <c r="B3603">
        <v>1</v>
      </c>
      <c r="C3603" t="str">
        <f t="shared" si="112"/>
        <v>EMSG:Database bean version conflict : XXXSTRACE:Harutyunyan', and it was changed by System at XXX/XXX/XXX XXX:XXX PM. Please cancel and retry your change.
	at deployment.pc.war//com.guidewire.pl.system.database.DatabaseChangedBeanWriter.createConcurrentDa</v>
      </c>
      <c r="D3603" s="3">
        <f t="shared" si="113"/>
        <v>1</v>
      </c>
    </row>
    <row r="3604" spans="1:4" ht="29" x14ac:dyDescent="0.35">
      <c r="A3604" s="4" t="s">
        <v>3649</v>
      </c>
      <c r="B3604">
        <v>1</v>
      </c>
      <c r="C3604" t="str">
        <f t="shared" si="112"/>
        <v>EMSG:Database bean version conflict : XXXSTRACE:Lowry', and it was changed by Ariaona Johnson at XXX/XXX/XXX XXX:XXX PM. Please cancel and retry your change.
	at deployment.pc.war//com.guidewire.pl.system.database.DatabaseChangedBeanWriter.createConcurren</v>
      </c>
      <c r="D3604" s="3">
        <f t="shared" si="113"/>
        <v>1</v>
      </c>
    </row>
    <row r="3605" spans="1:4" x14ac:dyDescent="0.35">
      <c r="A3605" t="s">
        <v>3650</v>
      </c>
      <c r="B3605">
        <v>1</v>
      </c>
      <c r="C3605" t="str">
        <f t="shared" si="112"/>
        <v>EMSG:Duplicate key in AccountLocation "XXX Rancho Mission Rd Unit XXXSTRACE:deployment.pc.war//com.guidewire.pl.system.database.entitywriter.TableWriterImpl.throwDBDuplicateKeyException(TableWriterImpl.java:XXXSTRACERAW:-</v>
      </c>
      <c r="D3605" s="3">
        <f t="shared" si="113"/>
        <v>1</v>
      </c>
    </row>
    <row r="3606" spans="1:4" ht="29" x14ac:dyDescent="0.35">
      <c r="A3606" s="4" t="s">
        <v>3651</v>
      </c>
      <c r="B3606">
        <v>1</v>
      </c>
      <c r="C3606" t="str">
        <f t="shared" si="112"/>
        <v>EMSG:Dwelling at XXXSTRACE:XXX Brisstol Ln, Birmingham, AL: Perils on Personal Property is now available and its value must be verified by the user.
	at gw.api.extension.PCExtensionInterfacesMapper$block_XXX_.invoke(PCExtensionInterfacesMapper.gs:XXXSTRAC</v>
      </c>
      <c r="D3606" s="3">
        <f t="shared" si="113"/>
        <v>1</v>
      </c>
    </row>
    <row r="3607" spans="1:4" ht="29" x14ac:dyDescent="0.35">
      <c r="A3607" s="4" t="s">
        <v>3652</v>
      </c>
      <c r="B3607">
        <v>1</v>
      </c>
      <c r="C3607" t="str">
        <f t="shared" si="112"/>
        <v>EMSG:Dwelling at XXXSTRACE:XXX MOUNTAIN VIEW DR, SOUTHSIDE, AL: Perils on Personal Property is now available and its value must be verified by the user.
	at gw.api.extension.PCExtensionInterfacesMapper$block_XXX_.invoke(PCExtensionInterfacesMapper.gs:XXXS</v>
      </c>
      <c r="D3607" s="3">
        <f t="shared" si="113"/>
        <v>1</v>
      </c>
    </row>
    <row r="3608" spans="1:4" ht="29" x14ac:dyDescent="0.35">
      <c r="A3608" s="4" t="s">
        <v>3653</v>
      </c>
      <c r="B3608">
        <v>1</v>
      </c>
      <c r="C3608" t="str">
        <f t="shared" si="112"/>
        <v>EMSG:Dwelling at XXXSTRACE:XXX Shady Grove Rd, Mount Olive, AL: Perils on Personal Property is now available and its value must be verified by the user.
	at gw.api.extension.PCExtensionInterfacesMapper$block_XXX_.invoke(PCExtensionInterfacesMapper.gs:XXXS</v>
      </c>
      <c r="D3608" s="3">
        <f t="shared" si="113"/>
        <v>1</v>
      </c>
    </row>
    <row r="3609" spans="1:4" ht="29" x14ac:dyDescent="0.35">
      <c r="A3609" s="4" t="s">
        <v>3654</v>
      </c>
      <c r="B3609">
        <v>1</v>
      </c>
      <c r="C3609" t="str">
        <f t="shared" si="112"/>
        <v>EMSG:Dwelling at XXXSTRACE:XXX Stone Ridge Dr, Springville, AL: Perils on Personal Property is now available and its value must be verified by the user.
	at gw.api.extension.PCExtensionInterfacesMapper$block_XXX_.invoke(PCExtensionInterfacesMapper.gs:XXXS</v>
      </c>
      <c r="D3609" s="3">
        <f t="shared" si="113"/>
        <v>1</v>
      </c>
    </row>
    <row r="3610" spans="1:4" ht="29" x14ac:dyDescent="0.35">
      <c r="A3610" s="4" t="s">
        <v>3655</v>
      </c>
      <c r="B3610">
        <v>1</v>
      </c>
      <c r="C3610" t="str">
        <f t="shared" si="112"/>
        <v>EMSG:Dwelling at XXXSTRACE:XXX Sussex Dr SW, Huntsville, AL: Perils on Personal Property is now available and its value must be verified by the user.
	at gw.api.extension.PCExtensionInterfacesMapper$block_XXX_.invoke(PCExtensionInterfacesMapper.gs:XXXSTRA</v>
      </c>
      <c r="D3610" s="3">
        <f t="shared" si="113"/>
        <v>1</v>
      </c>
    </row>
    <row r="3611" spans="1:4" ht="29" x14ac:dyDescent="0.35">
      <c r="A3611" s="4" t="s">
        <v>3656</v>
      </c>
      <c r="B3611">
        <v>1</v>
      </c>
      <c r="C3611" t="str">
        <f t="shared" si="112"/>
        <v>EMSG:Dwelling at XXXSTRACE:XXX Sycamore Ave, Croydon, PA: Perils on Personal Property is now available and its value must be verified by the user.
	at gw.api.extension.PCExtensionInterfacesMapper$block_XXX_.invoke(PCExtensionInterfacesMapper.gs:XXXSTRACER</v>
      </c>
      <c r="D3611" s="3">
        <f t="shared" si="113"/>
        <v>1</v>
      </c>
    </row>
    <row r="3612" spans="1:4" x14ac:dyDescent="0.35">
      <c r="A3612" t="s">
        <v>3657</v>
      </c>
      <c r="B3612">
        <v>1</v>
      </c>
      <c r="C3612" t="str">
        <f t="shared" si="112"/>
        <v>EMSG:Dwelling at XXXSTRACE:null: Deductibles is required and must be added.; Dwelling at null: Loss of Use is required and must be added.; Dwelling at null: Personal Property is no longer available and has been removed.; Dwelling at null: Loss of Use is n</v>
      </c>
      <c r="D3612" s="3">
        <f t="shared" si="113"/>
        <v>1</v>
      </c>
    </row>
    <row r="3613" spans="1:4" ht="43.5" x14ac:dyDescent="0.35">
      <c r="A3613" s="4" t="s">
        <v>3658</v>
      </c>
      <c r="B3613">
        <v>1</v>
      </c>
      <c r="C3613" t="str">
        <f t="shared" si="112"/>
        <v>EMSG:Effective ranges overlap for DriverSignal_Ext with BranchID XXX and with FixedID XXXSTRACE:Oct XXX XXX:XXX:XXX PDT XXX, Fri Apr XXX XXX:XXX:XXX PDT XXX - Sat Oct XXX XXX:XXX:XXX PDT XXX
	at deployment.pc.war//com.guidewire.pl.system.entity.proxy.EffD</v>
      </c>
      <c r="D3613" s="3">
        <f t="shared" si="113"/>
        <v>1</v>
      </c>
    </row>
    <row r="3614" spans="1:4" x14ac:dyDescent="0.35">
      <c r="A3614" t="s">
        <v>3659</v>
      </c>
      <c r="B3614">
        <v>1</v>
      </c>
      <c r="C3614" t="str">
        <f t="shared" si="112"/>
        <v>EMSG:Enoch GatsonSTRACE:com.farmers.config.pa.validator.BrightlineValidator.validateQuoteBrightlineRules(BrightlineValidator.gs:XXXSTRACERAW:-</v>
      </c>
      <c r="D3614" s="3">
        <f t="shared" si="113"/>
        <v>1</v>
      </c>
    </row>
    <row r="3615" spans="1:4" x14ac:dyDescent="0.35">
      <c r="A3615" t="s">
        <v>3660</v>
      </c>
      <c r="B3615">
        <v>1</v>
      </c>
      <c r="C3615" t="str">
        <f t="shared" si="112"/>
        <v>EMSG:Enoch GatsonSTRACE:gw.job.QuoteProcess.requestQuote(QuoteProcess.gs:XXXSTRACERAW:-</v>
      </c>
      <c r="D3615" s="3">
        <f t="shared" si="113"/>
        <v>1</v>
      </c>
    </row>
    <row r="3616" spans="1:4" x14ac:dyDescent="0.35">
      <c r="A3616" t="s">
        <v>3661</v>
      </c>
      <c r="B3616">
        <v>1</v>
      </c>
      <c r="C3616" t="str">
        <f t="shared" si="112"/>
        <v>EMSG:Enter Signal Phone number for Betty Yockers. A cell phone number is required for Signal enrollment.;STRACE:edge.capabilities.quote.submission.quoting.util.SubmissionUnderwritingIssuesUtil.checkVerifyRateExceptions(SubmissionUnderwritingIssuesUtil.gs:</v>
      </c>
      <c r="D3616" s="3">
        <f t="shared" si="113"/>
        <v>1</v>
      </c>
    </row>
    <row r="3617" spans="1:4" x14ac:dyDescent="0.35">
      <c r="A3617" t="s">
        <v>3662</v>
      </c>
      <c r="B3617">
        <v>1</v>
      </c>
      <c r="C3617" t="str">
        <f t="shared" si="112"/>
        <v>EMSG:Erin HubbardSTRACE:com.farmers.config.pa.validator.BrightlineValidator.validateQuoteBrightlineRules(BrightlineValidator.gs:XXXSTRACERAW:-</v>
      </c>
      <c r="D3617" s="3">
        <f t="shared" si="113"/>
        <v>1</v>
      </c>
    </row>
    <row r="3618" spans="1:4" x14ac:dyDescent="0.35">
      <c r="A3618" t="s">
        <v>3663</v>
      </c>
      <c r="B3618">
        <v>1</v>
      </c>
      <c r="C3618" t="str">
        <f t="shared" si="112"/>
        <v>EMSG:Erin HubbardSTRACE:gw.job.QuoteProcess.requestQuote(QuoteProcess.gs:XXXSTRACERAW:-</v>
      </c>
      <c r="D3618" s="3">
        <f t="shared" si="113"/>
        <v>1</v>
      </c>
    </row>
    <row r="3619" spans="1:4" x14ac:dyDescent="0.35">
      <c r="A3619" t="s">
        <v>3664</v>
      </c>
      <c r="B3619">
        <v>1</v>
      </c>
      <c r="C3619" t="str">
        <f t="shared" si="112"/>
        <v>EMSG:Exception during Rating ExecuteIterationsMultiThreaded : gw.api.rating.RatingException: Unable to determine chargeability for loss.  Please ensure correctness of chargeability table 'ho_chargeability' EligibleForChargeability: true OriginalLossPeril:</v>
      </c>
      <c r="D3619" s="3">
        <f t="shared" si="113"/>
        <v>1</v>
      </c>
    </row>
    <row r="3620" spans="1:4" x14ac:dyDescent="0.35">
      <c r="A3620" t="s">
        <v>3665</v>
      </c>
      <c r="B3620">
        <v>1</v>
      </c>
      <c r="C3620" t="str">
        <f t="shared" si="112"/>
        <v>EMSG:For eligible contact Blanca Langford credit score is null. Please make sure credit is orderedSTRACE:com.farmers.config.common.credit.CreditScoreHelper.populateRatingCreditDTO(CreditScoreHelper.gs:XXXSTRACERAW:-</v>
      </c>
      <c r="D3620" s="3">
        <f t="shared" si="113"/>
        <v>1</v>
      </c>
    </row>
    <row r="3621" spans="1:4" x14ac:dyDescent="0.35">
      <c r="A3621" t="s">
        <v>3666</v>
      </c>
      <c r="B3621">
        <v>1</v>
      </c>
      <c r="C3621" t="str">
        <f t="shared" si="112"/>
        <v>EMSG:For eligible contact James Huffine credit score is null. Please make sure credit is orderedSTRACE:com.farmers.config.common.credit.CreditScoreHelper.populateRatingCreditDTO(CreditScoreHelper.gs:XXXSTRACERAW:-</v>
      </c>
      <c r="D3621" s="3">
        <f t="shared" si="113"/>
        <v>1</v>
      </c>
    </row>
    <row r="3622" spans="1:4" x14ac:dyDescent="0.35">
      <c r="A3622" t="s">
        <v>3667</v>
      </c>
      <c r="B3622">
        <v>1</v>
      </c>
      <c r="C3622" t="str">
        <f t="shared" si="112"/>
        <v>EMSG:For eligible contact Raymond Dunn credit score is null. Please make sure credit is orderedSTRACE:com.farmers.config.common.credit.CreditScoreHelper.populateRatingCreditDTO(CreditScoreHelper.gs:XXXSTRACERAW:-</v>
      </c>
      <c r="D3622" s="3">
        <f t="shared" si="113"/>
        <v>1</v>
      </c>
    </row>
    <row r="3623" spans="1:4" x14ac:dyDescent="0.35">
      <c r="A3623" t="s">
        <v>3668</v>
      </c>
      <c r="B3623">
        <v>1</v>
      </c>
      <c r="C3623" t="str">
        <f t="shared" si="112"/>
        <v>EMSG:Francisco Salazar VillaSTRACE:com.farmers.config.pa.validator.BrightlineValidator.validateQuoteBrightlineRules(BrightlineValidator.gs:XXXSTRACERAW:-</v>
      </c>
      <c r="D3623" s="3">
        <f t="shared" si="113"/>
        <v>1</v>
      </c>
    </row>
    <row r="3624" spans="1:4" x14ac:dyDescent="0.35">
      <c r="A3624" t="s">
        <v>3669</v>
      </c>
      <c r="B3624">
        <v>1</v>
      </c>
      <c r="C3624" t="str">
        <f t="shared" si="112"/>
        <v>EMSG:Francisco Salazar VillaSTRACE:gw.job.QuoteProcess.requestQuote(QuoteProcess.gs:XXXSTRACERAW:-</v>
      </c>
      <c r="D3624" s="3">
        <f t="shared" si="113"/>
        <v>1</v>
      </c>
    </row>
    <row r="3625" spans="1:4" x14ac:dyDescent="0.35">
      <c r="A3625" t="s">
        <v>3670</v>
      </c>
      <c r="B3625">
        <v>1</v>
      </c>
      <c r="C3625" t="str">
        <f t="shared" si="112"/>
        <v>EMSG:Francisco YanezSTRACE:com.farmers.config.pa.validator.BrightlineValidator.validateQuoteBrightlineRules(BrightlineValidator.gs:XXXSTRACERAW:-</v>
      </c>
      <c r="D3625" s="3">
        <f t="shared" si="113"/>
        <v>1</v>
      </c>
    </row>
    <row r="3626" spans="1:4" x14ac:dyDescent="0.35">
      <c r="A3626" t="s">
        <v>3671</v>
      </c>
      <c r="B3626">
        <v>1</v>
      </c>
      <c r="C3626" t="str">
        <f t="shared" si="112"/>
        <v>EMSG:Francisco YanezSTRACE:gw.job.QuoteProcess.requestQuote(QuoteProcess.gs:XXXSTRACERAW:-</v>
      </c>
      <c r="D3626" s="3">
        <f t="shared" si="113"/>
        <v>1</v>
      </c>
    </row>
    <row r="3627" spans="1:4" x14ac:dyDescent="0.35">
      <c r="A3627" t="s">
        <v>3672</v>
      </c>
      <c r="B3627">
        <v>1</v>
      </c>
      <c r="C3627" t="str">
        <f t="shared" si="112"/>
        <v>EMSG:GABRIEL TORRESSTRACE:com.farmers.config.pa.validator.BrightlineValidator.validateQuoteBrightlineRules(BrightlineValidator.gs:XXXSTRACERAW:-</v>
      </c>
      <c r="D3627" s="3">
        <f t="shared" si="113"/>
        <v>1</v>
      </c>
    </row>
    <row r="3628" spans="1:4" x14ac:dyDescent="0.35">
      <c r="A3628" t="s">
        <v>3673</v>
      </c>
      <c r="B3628">
        <v>1</v>
      </c>
      <c r="C3628" t="str">
        <f t="shared" si="112"/>
        <v>EMSG:GABRIEL TORRESSTRACE:gw.job.QuoteProcess.requestQuote(QuoteProcess.gs:XXXSTRACERAW:-</v>
      </c>
      <c r="D3628" s="3">
        <f t="shared" si="113"/>
        <v>1</v>
      </c>
    </row>
    <row r="3629" spans="1:4" x14ac:dyDescent="0.35">
      <c r="A3629" t="s">
        <v>3674</v>
      </c>
      <c r="B3629">
        <v>1</v>
      </c>
      <c r="C3629" t="str">
        <f t="shared" si="112"/>
        <v>EMSG:Grady MorrisSTRACE:com.farmers.config.pa.validator.BrightlineValidator.validateQuoteBrightlineRules(BrightlineValidator.gs:XXXSTRACERAW:-</v>
      </c>
      <c r="D3629" s="3">
        <f t="shared" si="113"/>
        <v>1</v>
      </c>
    </row>
    <row r="3630" spans="1:4" x14ac:dyDescent="0.35">
      <c r="A3630" t="s">
        <v>3675</v>
      </c>
      <c r="B3630">
        <v>1</v>
      </c>
      <c r="C3630" t="str">
        <f t="shared" si="112"/>
        <v>EMSG:Grady MorrisSTRACE:gw.job.QuoteProcess.requestQuote(QuoteProcess.gs:XXXSTRACERAW:-</v>
      </c>
      <c r="D3630" s="3">
        <f t="shared" si="113"/>
        <v>1</v>
      </c>
    </row>
    <row r="3631" spans="1:4" x14ac:dyDescent="0.35">
      <c r="A3631" t="s">
        <v>3676</v>
      </c>
      <c r="B3631">
        <v>1</v>
      </c>
      <c r="C3631" t="str">
        <f t="shared" si="112"/>
        <v>EMSG:HELEN HASTRACE:com.farmers.config.pa.validator.BrightlineValidator.validateQuoteBrightlineRules(BrightlineValidator.gs:XXXSTRACERAW:-</v>
      </c>
      <c r="D3631" s="3">
        <f t="shared" si="113"/>
        <v>1</v>
      </c>
    </row>
    <row r="3632" spans="1:4" x14ac:dyDescent="0.35">
      <c r="A3632" t="s">
        <v>3677</v>
      </c>
      <c r="B3632">
        <v>1</v>
      </c>
      <c r="C3632" t="str">
        <f t="shared" si="112"/>
        <v>EMSG:HELEN HASTRACE:gw.job.QuoteProcess.requestQuote(QuoteProcess.gs:XXXSTRACERAW:-</v>
      </c>
      <c r="D3632" s="3">
        <f t="shared" si="113"/>
        <v>1</v>
      </c>
    </row>
    <row r="3633" spans="1:4" x14ac:dyDescent="0.35">
      <c r="A3633" t="s">
        <v>3678</v>
      </c>
      <c r="B3633">
        <v>1</v>
      </c>
      <c r="C3633" t="str">
        <f t="shared" si="112"/>
        <v>EMSG:JACIE COTTERELLSTRACE:com.farmers.config.pa.validator.BrightlineValidator.validateQuoteBrightlineRules(BrightlineValidator.gs:XXXSTRACERAW:-</v>
      </c>
      <c r="D3633" s="3">
        <f t="shared" si="113"/>
        <v>1</v>
      </c>
    </row>
    <row r="3634" spans="1:4" x14ac:dyDescent="0.35">
      <c r="A3634" t="s">
        <v>3679</v>
      </c>
      <c r="B3634">
        <v>1</v>
      </c>
      <c r="C3634" t="str">
        <f t="shared" si="112"/>
        <v>EMSG:JACIE COTTERELLSTRACE:gw.job.QuoteProcess.requestQuote(QuoteProcess.gs:XXXSTRACERAW:-</v>
      </c>
      <c r="D3634" s="3">
        <f t="shared" si="113"/>
        <v>1</v>
      </c>
    </row>
    <row r="3635" spans="1:4" x14ac:dyDescent="0.35">
      <c r="A3635" t="s">
        <v>3680</v>
      </c>
      <c r="B3635">
        <v>1</v>
      </c>
      <c r="C3635" t="str">
        <f t="shared" si="112"/>
        <v>EMSG:JAMES GARCIASTRACE:com.farmers.config.pa.validator.BrightlineValidator.validateQuoteBrightlineRules(BrightlineValidator.gs:XXXSTRACERAW:-</v>
      </c>
      <c r="D3635" s="3">
        <f t="shared" si="113"/>
        <v>1</v>
      </c>
    </row>
    <row r="3636" spans="1:4" x14ac:dyDescent="0.35">
      <c r="A3636" t="s">
        <v>3681</v>
      </c>
      <c r="B3636">
        <v>1</v>
      </c>
      <c r="C3636" t="str">
        <f t="shared" si="112"/>
        <v>EMSG:JAMES GARCIASTRACE:gw.job.QuoteProcess.requestQuote(QuoteProcess.gs:XXXSTRACERAW:-</v>
      </c>
      <c r="D3636" s="3">
        <f t="shared" si="113"/>
        <v>1</v>
      </c>
    </row>
    <row r="3637" spans="1:4" x14ac:dyDescent="0.35">
      <c r="A3637" t="s">
        <v>3682</v>
      </c>
      <c r="B3637">
        <v>1</v>
      </c>
      <c r="C3637" t="str">
        <f t="shared" si="112"/>
        <v>EMSG:JAMES WILLIAMSSTRACE:com.farmers.config.pa.validator.BrightlineValidator.validateQuoteBrightlineRules(BrightlineValidator.gs:XXXSTRACERAW:-</v>
      </c>
      <c r="D3637" s="3">
        <f t="shared" si="113"/>
        <v>1</v>
      </c>
    </row>
    <row r="3638" spans="1:4" x14ac:dyDescent="0.35">
      <c r="A3638" t="s">
        <v>3683</v>
      </c>
      <c r="B3638">
        <v>1</v>
      </c>
      <c r="C3638" t="str">
        <f t="shared" si="112"/>
        <v>EMSG:JAMES WILLIAMSSTRACE:gw.job.QuoteProcess.requestQuote(QuoteProcess.gs:XXXSTRACERAW:-</v>
      </c>
      <c r="D3638" s="3">
        <f t="shared" si="113"/>
        <v>1</v>
      </c>
    </row>
    <row r="3639" spans="1:4" x14ac:dyDescent="0.35">
      <c r="A3639" t="s">
        <v>3684</v>
      </c>
      <c r="B3639">
        <v>1</v>
      </c>
      <c r="C3639" t="str">
        <f t="shared" si="112"/>
        <v>EMSG:JENNIFER ALLISONSTRACE:com.farmers.config.pa.validator.BrightlineValidator.validateQuoteBrightlineRules(BrightlineValidator.gs:XXXSTRACERAW:-</v>
      </c>
      <c r="D3639" s="3">
        <f t="shared" si="113"/>
        <v>1</v>
      </c>
    </row>
    <row r="3640" spans="1:4" x14ac:dyDescent="0.35">
      <c r="A3640" t="s">
        <v>3685</v>
      </c>
      <c r="B3640">
        <v>1</v>
      </c>
      <c r="C3640" t="str">
        <f t="shared" si="112"/>
        <v>EMSG:JENNIFER ALLISONSTRACE:gw.job.QuoteProcess.requestQuote(QuoteProcess.gs:XXXSTRACERAW:-</v>
      </c>
      <c r="D3640" s="3">
        <f t="shared" si="113"/>
        <v>1</v>
      </c>
    </row>
    <row r="3641" spans="1:4" x14ac:dyDescent="0.35">
      <c r="A3641" t="s">
        <v>3686</v>
      </c>
      <c r="B3641">
        <v>1</v>
      </c>
      <c r="C3641" t="str">
        <f t="shared" si="112"/>
        <v>EMSG:James DunniganSTRACE:com.farmers.config.pa.validator.BrightlineValidator.validateQuoteBrightlineRules(BrightlineValidator.gs:XXXSTRACERAW:-</v>
      </c>
      <c r="D3641" s="3">
        <f t="shared" si="113"/>
        <v>1</v>
      </c>
    </row>
    <row r="3642" spans="1:4" x14ac:dyDescent="0.35">
      <c r="A3642" t="s">
        <v>3687</v>
      </c>
      <c r="B3642">
        <v>1</v>
      </c>
      <c r="C3642" t="str">
        <f t="shared" si="112"/>
        <v>EMSG:Janice DurandSTRACE:com.farmers.config.pa.validator.BrightlineValidator.validateQuoteBrightlineRules(BrightlineValidator.gs:XXXSTRACERAW:-</v>
      </c>
      <c r="D3642" s="3">
        <f t="shared" si="113"/>
        <v>1</v>
      </c>
    </row>
    <row r="3643" spans="1:4" x14ac:dyDescent="0.35">
      <c r="A3643" t="s">
        <v>3688</v>
      </c>
      <c r="B3643">
        <v>1</v>
      </c>
      <c r="C3643" t="str">
        <f t="shared" si="112"/>
        <v>EMSG:Janice DurandSTRACE:gw.job.QuoteProcess.requestQuote(QuoteProcess.gs:XXXSTRACERAW:-</v>
      </c>
      <c r="D3643" s="3">
        <f t="shared" si="113"/>
        <v>1</v>
      </c>
    </row>
    <row r="3644" spans="1:4" x14ac:dyDescent="0.35">
      <c r="A3644" t="s">
        <v>3689</v>
      </c>
      <c r="B3644">
        <v>1</v>
      </c>
      <c r="C3644" t="str">
        <f t="shared" si="112"/>
        <v>EMSG:Jaynie RustSTRACE:com.farmers.config.pa.validator.BrightlineValidator.validateQuoteBrightlineRules(BrightlineValidator.gs:XXXSTRACERAW:-</v>
      </c>
      <c r="D3644" s="3">
        <f t="shared" si="113"/>
        <v>1</v>
      </c>
    </row>
    <row r="3645" spans="1:4" x14ac:dyDescent="0.35">
      <c r="A3645" t="s">
        <v>3690</v>
      </c>
      <c r="B3645">
        <v>1</v>
      </c>
      <c r="C3645" t="str">
        <f t="shared" si="112"/>
        <v>EMSG:Jaynie RustSTRACE:gw.job.QuoteProcess.requestQuote(QuoteProcess.gs:XXXSTRACERAW:-</v>
      </c>
      <c r="D3645" s="3">
        <f t="shared" si="113"/>
        <v>1</v>
      </c>
    </row>
    <row r="3646" spans="1:4" x14ac:dyDescent="0.35">
      <c r="A3646" t="s">
        <v>823</v>
      </c>
      <c r="B3646">
        <v>1</v>
      </c>
      <c r="C3646" t="str">
        <f t="shared" si="112"/>
        <v>EMSG:Job "XXX" cannot be committed without a SelectedVersionSTRACE:deployment.pc.war//com.guidewire.pc.domain.job.impl.JobImpl.checkSelectedVersionIsSet(JobImpl.java:XXXSTRACERAW:-</v>
      </c>
      <c r="D3646" s="3">
        <f t="shared" si="113"/>
        <v>1</v>
      </c>
    </row>
    <row r="3647" spans="1:4" x14ac:dyDescent="0.35">
      <c r="A3647" t="s">
        <v>3691</v>
      </c>
      <c r="B3647">
        <v>1</v>
      </c>
      <c r="C3647" t="str">
        <f t="shared" si="112"/>
        <v>EMSG:Jose GonzalezSTRACE:com.farmers.config.pa.validator.BrightlineValidator.validateQuoteBrightlineRules(BrightlineValidator.gs:XXXSTRACERAW:-</v>
      </c>
      <c r="D3647" s="3">
        <f t="shared" si="113"/>
        <v>1</v>
      </c>
    </row>
    <row r="3648" spans="1:4" x14ac:dyDescent="0.35">
      <c r="A3648" t="s">
        <v>3692</v>
      </c>
      <c r="B3648">
        <v>1</v>
      </c>
      <c r="C3648" t="str">
        <f t="shared" si="112"/>
        <v>EMSG:Jose GonzalezSTRACE:gw.job.QuoteProcess.requestQuote(QuoteProcess.gs:XXXSTRACERAW:-</v>
      </c>
      <c r="D3648" s="3">
        <f t="shared" si="113"/>
        <v>1</v>
      </c>
    </row>
    <row r="3649" spans="1:4" x14ac:dyDescent="0.35">
      <c r="A3649" t="s">
        <v>3693</v>
      </c>
      <c r="B3649">
        <v>1</v>
      </c>
      <c r="C3649" t="str">
        <f t="shared" si="112"/>
        <v>EMSG:Jose TavarezSTRACE:com.farmers.config.pa.validator.BrightlineValidator.validateQuoteBrightlineRules(BrightlineValidator.gs:XXXSTRACERAW:-</v>
      </c>
      <c r="D3649" s="3">
        <f t="shared" si="113"/>
        <v>1</v>
      </c>
    </row>
    <row r="3650" spans="1:4" x14ac:dyDescent="0.35">
      <c r="A3650" t="s">
        <v>3694</v>
      </c>
      <c r="B3650">
        <v>1</v>
      </c>
      <c r="C3650" t="str">
        <f t="shared" si="112"/>
        <v>EMSG:Joseph MartinezSTRACE:com.farmers.config.pa.validator.BrightlineValidator.validateQuoteBrightlineRules(BrightlineValidator.gs:XXXSTRACERAW:-</v>
      </c>
      <c r="D3650" s="3">
        <f t="shared" si="113"/>
        <v>1</v>
      </c>
    </row>
    <row r="3651" spans="1:4" x14ac:dyDescent="0.35">
      <c r="A3651" t="s">
        <v>3695</v>
      </c>
      <c r="B3651">
        <v>1</v>
      </c>
      <c r="C3651" t="str">
        <f t="shared" ref="C3651:C3714" si="114">LEFT(A3651,255)</f>
        <v>EMSG:Joseph MartinezSTRACE:gw.job.QuoteProcess.requestQuote(QuoteProcess.gs:XXXSTRACERAW:-</v>
      </c>
      <c r="D3651" s="3">
        <f t="shared" ref="D3651:D3714" si="115">IF(AND((B3651/10)&lt;1,(B3651/10)&gt;0),1,(B3651/10)*130%)</f>
        <v>1</v>
      </c>
    </row>
    <row r="3652" spans="1:4" x14ac:dyDescent="0.35">
      <c r="A3652" t="s">
        <v>3696</v>
      </c>
      <c r="B3652">
        <v>1</v>
      </c>
      <c r="C3652" t="str">
        <f t="shared" si="114"/>
        <v>EMSG:Juanita MorrisSTRACE:com.farmers.config.pa.validator.BrightlineValidator.validateQuoteBrightlineRules(BrightlineValidator.gs:XXXSTRACERAW:-</v>
      </c>
      <c r="D3652" s="3">
        <f t="shared" si="115"/>
        <v>1</v>
      </c>
    </row>
    <row r="3653" spans="1:4" x14ac:dyDescent="0.35">
      <c r="A3653" t="s">
        <v>3697</v>
      </c>
      <c r="B3653">
        <v>1</v>
      </c>
      <c r="C3653" t="str">
        <f t="shared" si="114"/>
        <v>EMSG:Juanita MorrisSTRACE:gw.job.QuoteProcess.requestQuote(QuoteProcess.gs:XXXSTRACERAW:-</v>
      </c>
      <c r="D3653" s="3">
        <f t="shared" si="115"/>
        <v>1</v>
      </c>
    </row>
    <row r="3654" spans="1:4" x14ac:dyDescent="0.35">
      <c r="A3654" t="s">
        <v>3698</v>
      </c>
      <c r="B3654">
        <v>1</v>
      </c>
      <c r="C3654" t="str">
        <f t="shared" si="114"/>
        <v>EMSG:KAIDEN HIGGSSTRACE:com.farmers.config.pa.validator.BrightlineValidator.validateQuoteBrightlineRules(BrightlineValidator.gs:XXXSTRACERAW:-</v>
      </c>
      <c r="D3654" s="3">
        <f t="shared" si="115"/>
        <v>1</v>
      </c>
    </row>
    <row r="3655" spans="1:4" x14ac:dyDescent="0.35">
      <c r="A3655" t="s">
        <v>3699</v>
      </c>
      <c r="B3655">
        <v>1</v>
      </c>
      <c r="C3655" t="str">
        <f t="shared" si="114"/>
        <v>EMSG:KAIDEN HIGGSSTRACE:gw.job.QuoteProcess.requestQuote(QuoteProcess.gs:XXXSTRACERAW:-</v>
      </c>
      <c r="D3655" s="3">
        <f t="shared" si="115"/>
        <v>1</v>
      </c>
    </row>
    <row r="3656" spans="1:4" x14ac:dyDescent="0.35">
      <c r="A3656" t="s">
        <v>3700</v>
      </c>
      <c r="B3656">
        <v>1</v>
      </c>
      <c r="C3656" t="str">
        <f t="shared" si="114"/>
        <v>EMSG:KRISTA WOODSSTRACE:com.farmers.config.pa.validator.BrightlineValidator.validateQuoteBrightlineRules(BrightlineValidator.gs:XXXSTRACERAW:-</v>
      </c>
      <c r="D3656" s="3">
        <f t="shared" si="115"/>
        <v>1</v>
      </c>
    </row>
    <row r="3657" spans="1:4" x14ac:dyDescent="0.35">
      <c r="A3657" t="s">
        <v>3701</v>
      </c>
      <c r="B3657">
        <v>1</v>
      </c>
      <c r="C3657" t="str">
        <f t="shared" si="114"/>
        <v>EMSG:KRISTA WOODSSTRACE:gw.job.QuoteProcess.requestQuote(QuoteProcess.gs:XXXSTRACERAW:-</v>
      </c>
      <c r="D3657" s="3">
        <f t="shared" si="115"/>
        <v>1</v>
      </c>
    </row>
    <row r="3658" spans="1:4" x14ac:dyDescent="0.35">
      <c r="A3658" t="s">
        <v>3702</v>
      </c>
      <c r="B3658">
        <v>1</v>
      </c>
      <c r="C3658" t="str">
        <f t="shared" si="114"/>
        <v>EMSG:Kevin MaiSTRACE:com.farmers.config.pa.validator.BrightlineValidator.validateQuoteBrightlineRules(BrightlineValidator.gs:XXXSTRACERAW:-</v>
      </c>
      <c r="D3658" s="3">
        <f t="shared" si="115"/>
        <v>1</v>
      </c>
    </row>
    <row r="3659" spans="1:4" x14ac:dyDescent="0.35">
      <c r="A3659" t="s">
        <v>3703</v>
      </c>
      <c r="B3659">
        <v>1</v>
      </c>
      <c r="C3659" t="str">
        <f t="shared" si="114"/>
        <v>EMSG:Kevin MaiSTRACE:gw.job.QuoteProcess.requestQuote(QuoteProcess.gs:XXXSTRACERAW:-</v>
      </c>
      <c r="D3659" s="3">
        <f t="shared" si="115"/>
        <v>1</v>
      </c>
    </row>
    <row r="3660" spans="1:4" x14ac:dyDescent="0.35">
      <c r="A3660" t="s">
        <v>3704</v>
      </c>
      <c r="B3660">
        <v>1</v>
      </c>
      <c r="C3660" t="str">
        <f t="shared" si="114"/>
        <v>EMSG:LAJUNNE RedmanSTRACE:com.farmers.config.pa.validator.BrightlineValidator.validateQuoteBrightlineRules(BrightlineValidator.gs:XXXSTRACERAW:-</v>
      </c>
      <c r="D3660" s="3">
        <f t="shared" si="115"/>
        <v>1</v>
      </c>
    </row>
    <row r="3661" spans="1:4" x14ac:dyDescent="0.35">
      <c r="A3661" t="s">
        <v>3705</v>
      </c>
      <c r="B3661">
        <v>1</v>
      </c>
      <c r="C3661" t="str">
        <f t="shared" si="114"/>
        <v>EMSG:LAJUNNE RedmanSTRACE:gw.job.QuoteProcess.requestQuote(QuoteProcess.gs:XXXSTRACERAW:-</v>
      </c>
      <c r="D3661" s="3">
        <f t="shared" si="115"/>
        <v>1</v>
      </c>
    </row>
    <row r="3662" spans="1:4" x14ac:dyDescent="0.35">
      <c r="A3662" t="s">
        <v>3706</v>
      </c>
      <c r="B3662">
        <v>1</v>
      </c>
      <c r="C3662" t="str">
        <f t="shared" si="114"/>
        <v>EMSG:LUCAS JIMENEZSTRACE:com.farmers.config.pa.validator.BrightlineValidator.validateQuoteBrightlineRules(BrightlineValidator.gs:XXXSTRACERAW:-</v>
      </c>
      <c r="D3662" s="3">
        <f t="shared" si="115"/>
        <v>1</v>
      </c>
    </row>
    <row r="3663" spans="1:4" x14ac:dyDescent="0.35">
      <c r="A3663" t="s">
        <v>3707</v>
      </c>
      <c r="B3663">
        <v>1</v>
      </c>
      <c r="C3663" t="str">
        <f t="shared" si="114"/>
        <v>EMSG:LUCAS JIMENEZSTRACE:gw.job.QuoteProcess.requestQuote(QuoteProcess.gs:XXXSTRACERAW:-</v>
      </c>
      <c r="D3663" s="3">
        <f t="shared" si="115"/>
        <v>1</v>
      </c>
    </row>
    <row r="3664" spans="1:4" ht="116" x14ac:dyDescent="0.35">
      <c r="A3664" s="4" t="s">
        <v>3708</v>
      </c>
      <c r="B3664">
        <v>1</v>
      </c>
      <c r="C3664" t="str">
        <f t="shared" si="114"/>
        <v>EMSG:LUW Policy Change Job XXX: The object you are trying to update was XXXSTRACE:XXX/XXX/XXX XXX:XXX AM. Please cancel and retry your change.
LUW Policy Change Job XXX: The object you are trying to update was 'Policy:CN:2357744140072809936108XXX - CN:235</v>
      </c>
      <c r="D3664" s="3">
        <f t="shared" si="115"/>
        <v>1</v>
      </c>
    </row>
    <row r="3665" spans="1:4" ht="58" x14ac:dyDescent="0.35">
      <c r="A3665" s="4" t="s">
        <v>3709</v>
      </c>
      <c r="B3665">
        <v>1</v>
      </c>
      <c r="C3665" t="str">
        <f t="shared" si="114"/>
        <v>EMSG:LUW Policy Change Job XXX: The object you are trying to update was XXXSTRACE:XXX/XXX/XXX XXX:XXX AM. Please cancel and retry your change.
The object you are trying to update was 'Policy:CN:0529771367094XXX - CN:0529771367094XXX', and it was changed b</v>
      </c>
      <c r="D3665" s="3">
        <f t="shared" si="115"/>
        <v>1</v>
      </c>
    </row>
    <row r="3666" spans="1:4" ht="43.5" x14ac:dyDescent="0.35">
      <c r="A3666" s="4" t="s">
        <v>3710</v>
      </c>
      <c r="B3666">
        <v>1</v>
      </c>
      <c r="C3666" t="str">
        <f t="shared" si="114"/>
        <v>EMSG:LUW Policy Change Job XXX: The object you are trying to update was XXXSTRACE:XXX/XXX/XXX XXX:XXX AM. Please cancel and retry your change.
The object you are trying to update was 'Policy:pc:XXX - pc:XXX', and it was changed by Susana Vazquez at XXX/XX</v>
      </c>
      <c r="D3666" s="3">
        <f t="shared" si="115"/>
        <v>1</v>
      </c>
    </row>
    <row r="3667" spans="1:4" x14ac:dyDescent="0.35">
      <c r="A3667" t="s">
        <v>3711</v>
      </c>
      <c r="B3667">
        <v>1</v>
      </c>
      <c r="C3667" t="str">
        <f t="shared" si="114"/>
        <v>EMSG:Liliana GarciaSTRACE:com.farmers.config.pa.validator.BrightlineValidator.validateQuoteBrightlineRules(BrightlineValidator.gs:XXXSTRACERAW:-</v>
      </c>
      <c r="D3667" s="3">
        <f t="shared" si="115"/>
        <v>1</v>
      </c>
    </row>
    <row r="3668" spans="1:4" x14ac:dyDescent="0.35">
      <c r="A3668" t="s">
        <v>3712</v>
      </c>
      <c r="B3668">
        <v>1</v>
      </c>
      <c r="C3668" t="str">
        <f t="shared" si="114"/>
        <v>EMSG:Liliana GarciaSTRACE:gw.job.QuoteProcess.requestQuote(QuoteProcess.gs:XXXSTRACERAW:-</v>
      </c>
      <c r="D3668" s="3">
        <f t="shared" si="115"/>
        <v>1</v>
      </c>
    </row>
    <row r="3669" spans="1:4" x14ac:dyDescent="0.35">
      <c r="A3669" t="s">
        <v>3713</v>
      </c>
      <c r="B3669">
        <v>1</v>
      </c>
      <c r="C3669" t="str">
        <f t="shared" si="114"/>
        <v>EMSG:MARIA PAESANOSTRACE:com.farmers.config.pa.validator.BrightlineValidator.validateQuoteBrightlineRules(BrightlineValidator.gs:XXXSTRACERAW:-</v>
      </c>
      <c r="D3669" s="3">
        <f t="shared" si="115"/>
        <v>1</v>
      </c>
    </row>
    <row r="3670" spans="1:4" x14ac:dyDescent="0.35">
      <c r="A3670" t="s">
        <v>3714</v>
      </c>
      <c r="B3670">
        <v>1</v>
      </c>
      <c r="C3670" t="str">
        <f t="shared" si="114"/>
        <v>EMSG:MARIA PAESANOSTRACE:gw.job.QuoteProcess.requestQuote(QuoteProcess.gs:XXXSTRACERAW:-</v>
      </c>
      <c r="D3670" s="3">
        <f t="shared" si="115"/>
        <v>1</v>
      </c>
    </row>
    <row r="3671" spans="1:4" x14ac:dyDescent="0.35">
      <c r="A3671" t="s">
        <v>3715</v>
      </c>
      <c r="B3671">
        <v>1</v>
      </c>
      <c r="C3671" t="str">
        <f t="shared" si="114"/>
        <v>EMSG:MVR APP ERROR: GA-LEXISNEXIS REJECT:LAST NAME INVALID OR MISSING for unit XXXGASTRACE:com.farmers.config.common.mvr.MVRProcess.createCacheFromResponse(MVRProcess.gs:XXXSTRACERAW:-</v>
      </c>
      <c r="D3671" s="3">
        <f t="shared" si="115"/>
        <v>1</v>
      </c>
    </row>
    <row r="3672" spans="1:4" x14ac:dyDescent="0.35">
      <c r="A3672" t="s">
        <v>3716</v>
      </c>
      <c r="B3672">
        <v>1</v>
      </c>
      <c r="C3672" t="str">
        <f t="shared" si="114"/>
        <v>EMSG:MVR Ordering Failed! - [Exception occurs while transforming response for RetrieveMVRReportResponseInfo ]STRACE:com.farmers.config.common.mvr.MVRProcess.orderMVR(MVRProcess.gs:XXXSTRACERAW:-</v>
      </c>
      <c r="D3672" s="3">
        <f t="shared" si="115"/>
        <v>1</v>
      </c>
    </row>
    <row r="3673" spans="1:4" x14ac:dyDescent="0.35">
      <c r="A3673" t="s">
        <v>3717</v>
      </c>
      <c r="B3673">
        <v>1</v>
      </c>
      <c r="C3673" t="str">
        <f t="shared" si="114"/>
        <v>EMSG:Marcus RoeSTRACE:com.farmers.config.pa.validator.BrightlineValidator.validateQuoteBrightlineRules(BrightlineValidator.gs:XXXSTRACERAW:-</v>
      </c>
      <c r="D3673" s="3">
        <f t="shared" si="115"/>
        <v>1</v>
      </c>
    </row>
    <row r="3674" spans="1:4" x14ac:dyDescent="0.35">
      <c r="A3674" t="s">
        <v>3718</v>
      </c>
      <c r="B3674">
        <v>1</v>
      </c>
      <c r="C3674" t="str">
        <f t="shared" si="114"/>
        <v>EMSG:Marcus RoeSTRACE:gw.job.QuoteProcess.requestQuote(QuoteProcess.gs:XXXSTRACERAW:-</v>
      </c>
      <c r="D3674" s="3">
        <f t="shared" si="115"/>
        <v>1</v>
      </c>
    </row>
    <row r="3675" spans="1:4" x14ac:dyDescent="0.35">
      <c r="A3675" t="s">
        <v>3719</v>
      </c>
      <c r="B3675">
        <v>1</v>
      </c>
      <c r="C3675" t="str">
        <f t="shared" si="114"/>
        <v>EMSG:Mark BowenSTRACE:com.farmers.config.pa.validator.BrightlineValidator.validateQuoteBrightlineRules(BrightlineValidator.gs:XXXSTRACERAW:-</v>
      </c>
      <c r="D3675" s="3">
        <f t="shared" si="115"/>
        <v>1</v>
      </c>
    </row>
    <row r="3676" spans="1:4" x14ac:dyDescent="0.35">
      <c r="A3676" t="s">
        <v>3720</v>
      </c>
      <c r="B3676">
        <v>1</v>
      </c>
      <c r="C3676" t="str">
        <f t="shared" si="114"/>
        <v>EMSG:Mark BowenSTRACE:gw.job.QuoteProcess.requestQuote(QuoteProcess.gs:XXXSTRACERAW:-</v>
      </c>
      <c r="D3676" s="3">
        <f t="shared" si="115"/>
        <v>1</v>
      </c>
    </row>
    <row r="3677" spans="1:4" x14ac:dyDescent="0.35">
      <c r="A3677" t="s">
        <v>3721</v>
      </c>
      <c r="B3677">
        <v>1</v>
      </c>
      <c r="C3677" t="str">
        <f t="shared" si="114"/>
        <v>EMSG:Melika KashkouliSTRACE:com.farmers.config.pa.validator.BrightlineValidator.validateQuoteBrightlineRules(BrightlineValidator.gs:XXXSTRACERAW:-</v>
      </c>
      <c r="D3677" s="3">
        <f t="shared" si="115"/>
        <v>1</v>
      </c>
    </row>
    <row r="3678" spans="1:4" x14ac:dyDescent="0.35">
      <c r="A3678" t="s">
        <v>3722</v>
      </c>
      <c r="B3678">
        <v>1</v>
      </c>
      <c r="C3678" t="str">
        <f t="shared" si="114"/>
        <v>EMSG:Melika KashkouliSTRACE:gw.job.QuoteProcess.requestQuote(QuoteProcess.gs:XXXSTRACERAW:-</v>
      </c>
      <c r="D3678" s="3">
        <f t="shared" si="115"/>
        <v>1</v>
      </c>
    </row>
    <row r="3679" spans="1:4" x14ac:dyDescent="0.35">
      <c r="A3679" t="s">
        <v>3723</v>
      </c>
      <c r="B3679">
        <v>1</v>
      </c>
      <c r="C3679" t="str">
        <f t="shared" si="114"/>
        <v>EMSG:NINA CHAUNCEYSTRACE:com.farmers.config.pa.validator.BrightlineValidator.validateQuoteBrightlineRules(BrightlineValidator.gs:XXXSTRACERAW:-</v>
      </c>
      <c r="D3679" s="3">
        <f t="shared" si="115"/>
        <v>1</v>
      </c>
    </row>
    <row r="3680" spans="1:4" x14ac:dyDescent="0.35">
      <c r="A3680" t="s">
        <v>3724</v>
      </c>
      <c r="B3680">
        <v>1</v>
      </c>
      <c r="C3680" t="str">
        <f t="shared" si="114"/>
        <v>EMSG:NYESHA PHILLIPSSTRACE:com.farmers.config.pa.validator.BrightlineValidator.validateQuoteBrightlineRules(BrightlineValidator.gs:XXXSTRACERAW:-</v>
      </c>
      <c r="D3680" s="3">
        <f t="shared" si="115"/>
        <v>1</v>
      </c>
    </row>
    <row r="3681" spans="1:4" x14ac:dyDescent="0.35">
      <c r="A3681" t="s">
        <v>3725</v>
      </c>
      <c r="B3681">
        <v>1</v>
      </c>
      <c r="C3681" t="str">
        <f t="shared" si="114"/>
        <v>EMSG:NYESHA PHILLIPSSTRACE:gw.job.QuoteProcess.requestQuote(QuoteProcess.gs:XXXSTRACERAW:-</v>
      </c>
      <c r="D3681" s="3">
        <f t="shared" si="115"/>
        <v>1</v>
      </c>
    </row>
    <row r="3682" spans="1:4" x14ac:dyDescent="0.35">
      <c r="A3682" t="s">
        <v>3726</v>
      </c>
      <c r="B3682">
        <v>1</v>
      </c>
      <c r="C3682" t="str">
        <f t="shared" si="114"/>
        <v>EMSG:Personal Auto Line: Coverage is on Accident Forgiveness is now available and its value must be verified by the user.; XXX JEEP GR CHERK PHEV XXXDXXXWD OVRLND XXXXE in Colorado: Coverage is on Comprehensive is now available and its value must be verif</v>
      </c>
      <c r="D3682" s="3">
        <f t="shared" si="115"/>
        <v>1</v>
      </c>
    </row>
    <row r="3683" spans="1:4" x14ac:dyDescent="0.35">
      <c r="A3683" t="s">
        <v>3727</v>
      </c>
      <c r="B3683">
        <v>1</v>
      </c>
      <c r="C3683" t="str">
        <f t="shared" si="114"/>
        <v>EMSG:Personal Auto Line: Uninsured Motorist - Bodily Injury is required and must be added. XXXSTRACE:-STRACERAW:</v>
      </c>
      <c r="D3683" s="3">
        <f t="shared" si="115"/>
        <v>1</v>
      </c>
    </row>
    <row r="3684" spans="1:4" x14ac:dyDescent="0.35">
      <c r="A3684" t="s">
        <v>3728</v>
      </c>
      <c r="B3684">
        <v>1</v>
      </c>
      <c r="C3684" t="str">
        <f t="shared" si="114"/>
        <v>EMSG:RICARDO QUILESSTRACE:com.farmers.config.pa.validator.BrightlineValidator.validateQuoteBrightlineRules(BrightlineValidator.gs:XXXSTRACERAW:-</v>
      </c>
      <c r="D3684" s="3">
        <f t="shared" si="115"/>
        <v>1</v>
      </c>
    </row>
    <row r="3685" spans="1:4" x14ac:dyDescent="0.35">
      <c r="A3685" t="s">
        <v>3729</v>
      </c>
      <c r="B3685">
        <v>1</v>
      </c>
      <c r="C3685" t="str">
        <f t="shared" si="114"/>
        <v>EMSG:Re-enter "License #". Duplicate License Number entered for the following Drivers Rebecca BalesSTRACE:edge.capabilities.quote.submission.quoting.util.SubmissionUnderwritingIssuesUtil.checkVerifyRateExceptions(SubmissionUnderwritingIssuesUtil.gs:XXXSTR</v>
      </c>
      <c r="D3685" s="3">
        <f t="shared" si="115"/>
        <v>1</v>
      </c>
    </row>
    <row r="3686" spans="1:4" x14ac:dyDescent="0.35">
      <c r="A3686" t="s">
        <v>3730</v>
      </c>
      <c r="B3686">
        <v>1</v>
      </c>
      <c r="C3686" t="str">
        <f t="shared" si="114"/>
        <v>EMSG:Re-enter "License #". Duplicate License Number entered for the following Drivers Robert TokarskySTRACE:edge.capabilities.quote.submission.quoting.util.SubmissionUnderwritingIssuesUtil.checkVerifyRateExceptions(SubmissionUnderwritingIssuesUtil.gs:XXXS</v>
      </c>
      <c r="D3686" s="3">
        <f t="shared" si="115"/>
        <v>1</v>
      </c>
    </row>
    <row r="3687" spans="1:4" x14ac:dyDescent="0.35">
      <c r="A3687" t="s">
        <v>3731</v>
      </c>
      <c r="B3687">
        <v>1</v>
      </c>
      <c r="C3687" t="str">
        <f t="shared" si="114"/>
        <v>EMSG:Remove Angelina Padilla in order to add the contact as a driverSTRACE:edge.capabilities.policychange.lob.personalauto.coverables.DefaultPaCoverablePlugin.updateCoverables(DefaultPaCoverablePlugin.gs:XXXSTRACERAW:-</v>
      </c>
      <c r="D3687" s="3">
        <f t="shared" si="115"/>
        <v>1</v>
      </c>
    </row>
    <row r="3688" spans="1:4" x14ac:dyDescent="0.35">
      <c r="A3688" t="s">
        <v>3732</v>
      </c>
      <c r="B3688">
        <v>1</v>
      </c>
      <c r="C3688" t="str">
        <f t="shared" si="114"/>
        <v>EMSG:Remove Francesca Castro in order to add the contact as a driverSTRACE:edge.capabilities.policychange.lob.personalauto.coverables.DefaultPaCoverablePlugin.updateCoverables(DefaultPaCoverablePlugin.gs:XXXSTRACERAW:-</v>
      </c>
      <c r="D3688" s="3">
        <f t="shared" si="115"/>
        <v>1</v>
      </c>
    </row>
    <row r="3689" spans="1:4" x14ac:dyDescent="0.35">
      <c r="A3689" t="s">
        <v>3733</v>
      </c>
      <c r="B3689">
        <v>1</v>
      </c>
      <c r="C3689" t="str">
        <f t="shared" si="114"/>
        <v>EMSG:Richard SalazarSTRACE:com.farmers.config.pa.validator.BrightlineValidator.validateQuoteBrightlineRules(BrightlineValidator.gs:XXXSTRACERAW:-</v>
      </c>
      <c r="D3689" s="3">
        <f t="shared" si="115"/>
        <v>1</v>
      </c>
    </row>
    <row r="3690" spans="1:4" x14ac:dyDescent="0.35">
      <c r="A3690" t="s">
        <v>3734</v>
      </c>
      <c r="B3690">
        <v>1</v>
      </c>
      <c r="C3690" t="str">
        <f t="shared" si="114"/>
        <v>EMSG:Richard SalazarSTRACE:gw.job.QuoteProcess.requestQuote(QuoteProcess.gs:XXXSTRACERAW:-</v>
      </c>
      <c r="D3690" s="3">
        <f t="shared" si="115"/>
        <v>1</v>
      </c>
    </row>
    <row r="3691" spans="1:4" x14ac:dyDescent="0.35">
      <c r="A3691" t="s">
        <v>3735</v>
      </c>
      <c r="B3691">
        <v>1</v>
      </c>
      <c r="C3691" t="str">
        <f t="shared" si="114"/>
        <v>EMSG:Rikki GutierrezSTRACE:com.farmers.config.pa.validator.BrightlineValidator.validateQuoteBrightlineRules(BrightlineValidator.gs:XXXSTRACERAW:-</v>
      </c>
      <c r="D3691" s="3">
        <f t="shared" si="115"/>
        <v>1</v>
      </c>
    </row>
    <row r="3692" spans="1:4" x14ac:dyDescent="0.35">
      <c r="A3692" t="s">
        <v>3736</v>
      </c>
      <c r="B3692">
        <v>1</v>
      </c>
      <c r="C3692" t="str">
        <f t="shared" si="114"/>
        <v>EMSG:Rikki GutierrezSTRACE:gw.job.QuoteProcess.requestQuote(QuoteProcess.gs:XXXSTRACERAW:-</v>
      </c>
      <c r="D3692" s="3">
        <f t="shared" si="115"/>
        <v>1</v>
      </c>
    </row>
    <row r="3693" spans="1:4" x14ac:dyDescent="0.35">
      <c r="A3693" t="s">
        <v>3737</v>
      </c>
      <c r="B3693">
        <v>1</v>
      </c>
      <c r="C3693" t="str">
        <f t="shared" si="114"/>
        <v>EMSG:SHARRI THOMASSTRACE:com.farmers.config.pa.validator.BrightlineValidator.validateQuoteBrightlineRules(BrightlineValidator.gs:XXXSTRACERAW:-</v>
      </c>
      <c r="D3693" s="3">
        <f t="shared" si="115"/>
        <v>1</v>
      </c>
    </row>
    <row r="3694" spans="1:4" x14ac:dyDescent="0.35">
      <c r="A3694" t="s">
        <v>3738</v>
      </c>
      <c r="B3694">
        <v>1</v>
      </c>
      <c r="C3694" t="str">
        <f t="shared" si="114"/>
        <v>EMSG:SHARRI THOMASSTRACE:gw.job.QuoteProcess.requestQuote(QuoteProcess.gs:XXXSTRACERAW:-</v>
      </c>
      <c r="D3694" s="3">
        <f t="shared" si="115"/>
        <v>1</v>
      </c>
    </row>
    <row r="3695" spans="1:4" x14ac:dyDescent="0.35">
      <c r="A3695" t="s">
        <v>3739</v>
      </c>
      <c r="B3695">
        <v>1</v>
      </c>
      <c r="C3695" t="str">
        <f t="shared" si="114"/>
        <v>EMSG:SHEILA PEGUEROSTRACE:com.farmers.config.pa.validator.BrightlineValidator.validateQuoteBrightlineRules(BrightlineValidator.gs:XXXSTRACERAW:-</v>
      </c>
      <c r="D3695" s="3">
        <f t="shared" si="115"/>
        <v>1</v>
      </c>
    </row>
    <row r="3696" spans="1:4" x14ac:dyDescent="0.35">
      <c r="A3696" t="s">
        <v>3740</v>
      </c>
      <c r="B3696">
        <v>1</v>
      </c>
      <c r="C3696" t="str">
        <f t="shared" si="114"/>
        <v>EMSG:SHEILA PEGUEROSTRACE:gw.job.QuoteProcess.requestQuote(QuoteProcess.gs:XXXSTRACERAW:-</v>
      </c>
      <c r="D3696" s="3">
        <f t="shared" si="115"/>
        <v>1</v>
      </c>
    </row>
    <row r="3697" spans="1:4" x14ac:dyDescent="0.35">
      <c r="A3697" t="s">
        <v>3741</v>
      </c>
      <c r="B3697">
        <v>1</v>
      </c>
      <c r="C3697" t="str">
        <f t="shared" si="114"/>
        <v>EMSG:Sarah BoydSTRACE:com.farmers.config.pa.validator.BrightlineValidator.validateQuoteBrightlineRules(BrightlineValidator.gs:XXXSTRACERAW:-</v>
      </c>
      <c r="D3697" s="3">
        <f t="shared" si="115"/>
        <v>1</v>
      </c>
    </row>
    <row r="3698" spans="1:4" x14ac:dyDescent="0.35">
      <c r="A3698" t="s">
        <v>3742</v>
      </c>
      <c r="B3698">
        <v>1</v>
      </c>
      <c r="C3698" t="str">
        <f t="shared" si="114"/>
        <v>EMSG:Scott CorrellSTRACE:com.farmers.config.pa.validator.BrightlineValidator.validateQuoteBrightlineRules(BrightlineValidator.gs:XXXSTRACERAW:-</v>
      </c>
      <c r="D3698" s="3">
        <f t="shared" si="115"/>
        <v>1</v>
      </c>
    </row>
    <row r="3699" spans="1:4" x14ac:dyDescent="0.35">
      <c r="A3699" t="s">
        <v>3743</v>
      </c>
      <c r="B3699">
        <v>1</v>
      </c>
      <c r="C3699" t="str">
        <f t="shared" si="114"/>
        <v>EMSG:Scott CorrellSTRACE:gw.job.QuoteProcess.requestQuote(QuoteProcess.gs:XXXSTRACERAW:-</v>
      </c>
      <c r="D3699" s="3">
        <f t="shared" si="115"/>
        <v>1</v>
      </c>
    </row>
    <row r="3700" spans="1:4" x14ac:dyDescent="0.35">
      <c r="A3700" t="s">
        <v>3744</v>
      </c>
      <c r="B3700">
        <v>1</v>
      </c>
      <c r="C3700" t="str">
        <f t="shared" si="114"/>
        <v>EMSG:Service Not availableSTRACE:com.farmers.config.ho.thirdparty.process.HOMortgageeProcess.displayServiceException(HOMortgageeProcess.gs:XXXSTRACERAW:-</v>
      </c>
      <c r="D3700" s="3">
        <f t="shared" si="115"/>
        <v>1</v>
      </c>
    </row>
    <row r="3701" spans="1:4" x14ac:dyDescent="0.35">
      <c r="A3701" t="s">
        <v>3745</v>
      </c>
      <c r="B3701">
        <v>1</v>
      </c>
      <c r="C3701" t="str">
        <f t="shared" si="114"/>
        <v>EMSG:Suzanne ManibhaiSTRACE:com.farmers.config.pa.validator.BrightlineValidator.validateQuoteBrightlineRules(BrightlineValidator.gs:XXXSTRACERAW:-</v>
      </c>
      <c r="D3701" s="3">
        <f t="shared" si="115"/>
        <v>1</v>
      </c>
    </row>
    <row r="3702" spans="1:4" x14ac:dyDescent="0.35">
      <c r="A3702" t="s">
        <v>3746</v>
      </c>
      <c r="B3702">
        <v>1</v>
      </c>
      <c r="C3702" t="str">
        <f t="shared" si="114"/>
        <v>EMSG:The value "ARMEN BARSEGYAN AND LARISA BARSEGYANSTRACE:deployment.pc.war//gw.datatype.impl.StringConstraintsHandlerBase.validateStringLength(StringConstraintsHandlerBase.java:XXXSTRACERAW:-</v>
      </c>
      <c r="D3702" s="3">
        <f t="shared" si="115"/>
        <v>1</v>
      </c>
    </row>
    <row r="3703" spans="1:4" x14ac:dyDescent="0.35">
      <c r="A3703" t="s">
        <v>3747</v>
      </c>
      <c r="B3703">
        <v>1</v>
      </c>
      <c r="C3703" t="str">
        <f t="shared" si="114"/>
        <v>EMSG:The value "ARTO NAZARETIAN AND NELLIE NAZARETIANSTRACE:deployment.pc.war//gw.datatype.impl.StringConstraintsHandlerBase.validateStringLength(StringConstraintsHandlerBase.java:XXXSTRACERAW:-</v>
      </c>
      <c r="D3703" s="3">
        <f t="shared" si="115"/>
        <v>1</v>
      </c>
    </row>
    <row r="3704" spans="1:4" x14ac:dyDescent="0.35">
      <c r="A3704" t="s">
        <v>3748</v>
      </c>
      <c r="B3704">
        <v>1</v>
      </c>
      <c r="C3704" t="str">
        <f t="shared" si="114"/>
        <v>EMSG:The value "BINH LAM AND GWEN NGUYEN LAMSTRACE:deployment.pc.war//gw.datatype.impl.StringConstraintsHandlerBase.validateStringLength(StringConstraintsHandlerBase.java:XXXSTRACERAW:-</v>
      </c>
      <c r="D3704" s="3">
        <f t="shared" si="115"/>
        <v>1</v>
      </c>
    </row>
    <row r="3705" spans="1:4" x14ac:dyDescent="0.35">
      <c r="A3705" t="s">
        <v>3749</v>
      </c>
      <c r="B3705">
        <v>1</v>
      </c>
      <c r="C3705" t="str">
        <f t="shared" si="114"/>
        <v>EMSG:The value "CHARLIE CRUZ DONIZ AND YOLANDA CRUZSTRACE:deployment.pc.war//gw.datatype.impl.StringConstraintsHandlerBase.validateStringLength(StringConstraintsHandlerBase.java:XXXSTRACERAW:-</v>
      </c>
      <c r="D3705" s="3">
        <f t="shared" si="115"/>
        <v>1</v>
      </c>
    </row>
    <row r="3706" spans="1:4" x14ac:dyDescent="0.35">
      <c r="A3706" t="s">
        <v>3750</v>
      </c>
      <c r="B3706">
        <v>1</v>
      </c>
      <c r="C3706" t="str">
        <f t="shared" si="114"/>
        <v>EMSG:The value "ELSA DURANTE ALBASTRACE:deployment.pc.war//gw.datatype.impl.StringConstraintsHandlerBase.validateStringLength(StringConstraintsHandlerBase.java:XXXSTRACERAW:-</v>
      </c>
      <c r="D3706" s="3">
        <f t="shared" si="115"/>
        <v>1</v>
      </c>
    </row>
    <row r="3707" spans="1:4" x14ac:dyDescent="0.35">
      <c r="A3707" t="s">
        <v>3751</v>
      </c>
      <c r="B3707">
        <v>1</v>
      </c>
      <c r="C3707" t="str">
        <f t="shared" si="114"/>
        <v>EMSG:The value "JERRY J MAGNESS AND MARTHA J MAGNESSSTRACE:deployment.pc.war//gw.datatype.impl.StringConstraintsHandlerBase.validateStringLength(StringConstraintsHandlerBase.java:XXXSTRACERAW:-</v>
      </c>
      <c r="D3707" s="3">
        <f t="shared" si="115"/>
        <v>1</v>
      </c>
    </row>
    <row r="3708" spans="1:4" x14ac:dyDescent="0.35">
      <c r="A3708" t="s">
        <v>3752</v>
      </c>
      <c r="B3708">
        <v>1</v>
      </c>
      <c r="C3708" t="str">
        <f t="shared" si="114"/>
        <v>EMSG:The value "LYNDA J  MARDIS SUCSR TRUSTEE OF SCOBIE FMLY TRUSTSTRACE:deployment.pc.war//gw.datatype.impl.StringConstraintsHandlerBase.validateStringLength(StringConstraintsHandlerBase.java:XXXSTRACERAW:-</v>
      </c>
      <c r="D3708" s="3">
        <f t="shared" si="115"/>
        <v>1</v>
      </c>
    </row>
    <row r="3709" spans="1:4" x14ac:dyDescent="0.35">
      <c r="A3709" t="s">
        <v>3753</v>
      </c>
      <c r="B3709">
        <v>1</v>
      </c>
      <c r="C3709" t="str">
        <f t="shared" si="114"/>
        <v>EMSG:The value "ROJAS PROPERTY INVESTMENTS LLCSTRACE:deployment.pc.war//gw.datatype.impl.StringConstraintsHandlerBase.validateStringLength(StringConstraintsHandlerBase.java:XXXSTRACERAW:-</v>
      </c>
      <c r="D3709" s="3">
        <f t="shared" si="115"/>
        <v>1</v>
      </c>
    </row>
    <row r="3710" spans="1:4" x14ac:dyDescent="0.35">
      <c r="A3710" t="s">
        <v>3754</v>
      </c>
      <c r="B3710">
        <v>1</v>
      </c>
      <c r="C3710" t="str">
        <f t="shared" si="114"/>
        <v>EMSG:The value "THE CHARLES GRIFFIN SURVIVOR'S TRUST ESTABLISHED DECEMBER XXXSTRACE:deployment.pc.war//gw.datatype.impl.StringConstraintsHandlerBase.validateStringLength(StringConstraintsHandlerBase.java:XXXSTRACERAW:-</v>
      </c>
      <c r="D3710" s="3">
        <f t="shared" si="115"/>
        <v>1</v>
      </c>
    </row>
    <row r="3711" spans="1:4" x14ac:dyDescent="0.35">
      <c r="A3711" t="s">
        <v>3755</v>
      </c>
      <c r="B3711">
        <v>1</v>
      </c>
      <c r="C3711" t="str">
        <f t="shared" si="114"/>
        <v>EMSG:The value "TRINY RAMIREZ AND MIGUEL M. RAMIREZSTRACE:deployment.pc.war//gw.datatype.impl.StringConstraintsHandlerBase.validateStringLength(StringConstraintsHandlerBase.java:XXXSTRACERAW:-</v>
      </c>
      <c r="D3711" s="3">
        <f t="shared" si="115"/>
        <v>1</v>
      </c>
    </row>
    <row r="3712" spans="1:4" x14ac:dyDescent="0.35">
      <c r="A3712" t="s">
        <v>3756</v>
      </c>
      <c r="B3712">
        <v>1</v>
      </c>
      <c r="C3712" t="str">
        <f t="shared" si="114"/>
        <v>EMSG:The value "VICTORIO F. RIVADA AND MARIA M. RIVADASTRACE:deployment.pc.war//gw.datatype.impl.StringConstraintsHandlerBase.validateStringLength(StringConstraintsHandlerBase.java:XXXSTRACERAW:-</v>
      </c>
      <c r="D3712" s="3">
        <f t="shared" si="115"/>
        <v>1</v>
      </c>
    </row>
    <row r="3713" spans="1:4" x14ac:dyDescent="0.35">
      <c r="A3713" t="s">
        <v>3757</v>
      </c>
      <c r="B3713">
        <v>1</v>
      </c>
      <c r="C3713" t="str">
        <f t="shared" si="114"/>
        <v>EMSG:The value "WILLIAM KENTON EVERHARTSTRACE:deployment.pc.war//gw.datatype.impl.StringConstraintsHandlerBase.validateStringLength(StringConstraintsHandlerBase.java:XXXSTRACERAW:-</v>
      </c>
      <c r="D3713" s="3">
        <f t="shared" si="115"/>
        <v>1</v>
      </c>
    </row>
    <row r="3714" spans="1:4" x14ac:dyDescent="0.35">
      <c r="A3714" t="s">
        <v>3758</v>
      </c>
      <c r="B3714">
        <v>1</v>
      </c>
      <c r="C3714" t="str">
        <f t="shared" si="114"/>
        <v>EMSG:The value "s: XXX N Plano Rd.STRACE:deployment.pc.war//com.guidewire.pl.metadata.datatypeXXX.fieldvalidator.FieldValidatorInfo.validateFormat(FieldValidatorInfo.java:XXXSTRACERAW:-</v>
      </c>
      <c r="D3714" s="3">
        <f t="shared" si="115"/>
        <v>1</v>
      </c>
    </row>
    <row r="3715" spans="1:4" x14ac:dyDescent="0.35">
      <c r="A3715" t="s">
        <v>3759</v>
      </c>
      <c r="B3715">
        <v>1</v>
      </c>
      <c r="C3715" t="str">
        <f t="shared" ref="C3715:C3738" si="116">LEFT(A3715,255)</f>
        <v>EMSG:The value XXX is not formatted correctly for the field "AgentOfRecord": Exceeds the maximum length of XXX characters (XXX)STRACE:deployment.pc.war//gw.datatype.impl.StringConstraintsHandlerBase.validateStringLength(StringConstraintsHandlerBase.java:X</v>
      </c>
      <c r="D3715" s="3">
        <f t="shared" ref="D3715:D3738" si="117">IF(AND((B3715/10)&lt;1,(B3715/10)&gt;0),1,(B3715/10)*130%)</f>
        <v>1</v>
      </c>
    </row>
    <row r="3716" spans="1:4" x14ac:dyDescent="0.35">
      <c r="A3716" t="s">
        <v>941</v>
      </c>
      <c r="B3716">
        <v>1</v>
      </c>
      <c r="C3716" t="str">
        <f t="shared" si="116"/>
        <v>EMSG:Verify Risk Address city. The city is either invalid or ineligible for coverage.STRACE:com.farmers.config.ho.dwelling.location.process.HOLocationProcess.getLocationReportsCW(HOLocationProcess.gs:XXXSTRACERAW:-</v>
      </c>
      <c r="D3716" s="3">
        <f t="shared" si="117"/>
        <v>1</v>
      </c>
    </row>
    <row r="3717" spans="1:4" x14ac:dyDescent="0.35">
      <c r="A3717" t="s">
        <v>3760</v>
      </c>
      <c r="B3717">
        <v>1</v>
      </c>
      <c r="C3717" t="str">
        <f t="shared" si="116"/>
        <v>EMSG:Warren RossSTRACE:gw.job.QuoteProcess.requestQuote(QuoteProcess.gs:XXXSTRACERAW:-</v>
      </c>
      <c r="D3717" s="3">
        <f t="shared" si="117"/>
        <v>1</v>
      </c>
    </row>
    <row r="3718" spans="1:4" x14ac:dyDescent="0.35">
      <c r="A3718" t="s">
        <v>3761</v>
      </c>
      <c r="B3718">
        <v>1</v>
      </c>
      <c r="C3718" t="str">
        <f t="shared" si="116"/>
        <v>EMSG:XXX AM GENERAL HUMMER HXXX XXXD XXXXXXX in Colorado: Coverage is on Comprehensive is now available and its value must be verified by the user.; XXX AM GENERAL HUMMER HXXX XXXD XXXXXXX in Colorado: Coverage is on Collision is now available and its val</v>
      </c>
      <c r="D3718" s="3">
        <f t="shared" si="117"/>
        <v>1</v>
      </c>
    </row>
    <row r="3719" spans="1:4" x14ac:dyDescent="0.35">
      <c r="A3719" t="s">
        <v>3762</v>
      </c>
      <c r="B3719">
        <v>1</v>
      </c>
      <c r="C3719" t="str">
        <f t="shared" si="116"/>
        <v>EMSG:XXX CHRYSLER XXX XXXD XXXWD TOURING in Nevada: Comprehensive is required and must be added. XXXSTRACE:gw.api.extension.PCExtensionInterfacesMapper$block_XXX_.invoke(PCExtensionInterfacesMapper.gs:XXXSTRACERAW:-</v>
      </c>
      <c r="D3719" s="3">
        <f t="shared" si="117"/>
        <v>1</v>
      </c>
    </row>
    <row r="3720" spans="1:4" x14ac:dyDescent="0.35">
      <c r="A3720" t="s">
        <v>3763</v>
      </c>
      <c r="B3720">
        <v>1</v>
      </c>
      <c r="C3720" t="str">
        <f t="shared" si="116"/>
        <v>EMSG:XXX DODGE TRUCK GRAND CARAVAN XXXWD SE in Kentucky: Acquisition Expense is no longer available and has been removed.; XXX DODGE TRUCK GRAND CARAVAN XXXWD SE in Kentucky: Operations Expense is no longer available and has been removed.; XXX DODGE TRUCK</v>
      </c>
      <c r="D3720" s="3">
        <f t="shared" si="117"/>
        <v>1</v>
      </c>
    </row>
    <row r="3721" spans="1:4" x14ac:dyDescent="0.35">
      <c r="A3721" t="s">
        <v>3764</v>
      </c>
      <c r="B3721">
        <v>1</v>
      </c>
      <c r="C3721" t="str">
        <f t="shared" si="116"/>
        <v>EMSG:XXX FORD BRONCO XXXD XXXXXXX XXX-WHEEL DRIVE in Colorado: Coverage is on Comprehensive is now available and its value must be verified by the user.; XXX FORD BRONCO XXXD XXXXXXX XXX-WHEEL DRIVE in Colorado: Coverage is on Collision is now available a</v>
      </c>
      <c r="D3721" s="3">
        <f t="shared" si="117"/>
        <v>1</v>
      </c>
    </row>
    <row r="3722" spans="1:4" x14ac:dyDescent="0.35">
      <c r="A3722" t="s">
        <v>3765</v>
      </c>
      <c r="B3722">
        <v>1</v>
      </c>
      <c r="C3722" t="str">
        <f t="shared" si="116"/>
        <v>EMSG:XXX FORD TRUCK EXXX ECONO CG VAN SUPER CARGO in Colorado: Coverage is on Comprehensive is now available and its value must be verified by the user.; XXX FORD TRUCK EXXX ECONO CG VAN SUPER CARGO in Colorado: Coverage is on Collision is now available a</v>
      </c>
      <c r="D3722" s="3">
        <f t="shared" si="117"/>
        <v>1</v>
      </c>
    </row>
    <row r="3723" spans="1:4" x14ac:dyDescent="0.35">
      <c r="A3723" t="s">
        <v>3766</v>
      </c>
      <c r="B3723">
        <v>1</v>
      </c>
      <c r="C3723" t="str">
        <f t="shared" si="116"/>
        <v>EMSG:XXX GMC TRUCK SIERRA XXX CR XXXXXXX NEW DENALI in Colorado: Coverage is on Comprehensive is now available and its value must be verified by the user.; XXX GMC TRUCK SIERRA XXX CR XXXXXXX NEW DENALI in Colorado: Coverage is on Collision is now availab</v>
      </c>
      <c r="D3723" s="3">
        <f t="shared" si="117"/>
        <v>1</v>
      </c>
    </row>
    <row r="3724" spans="1:4" x14ac:dyDescent="0.35">
      <c r="A3724" t="s">
        <v>3767</v>
      </c>
      <c r="B3724">
        <v>1</v>
      </c>
      <c r="C3724" t="str">
        <f t="shared" si="116"/>
        <v>EMSG:XXX HONDA CR-V XXXD XXXWD EX-L in Colorado: Coverage is on Comprehensive is now available and its value must be verified by the user.; XXX HONDA CR-V XXXD XXXWD EX-L in Colorado: Coverage is on Collision is now available and its value must be verifie</v>
      </c>
      <c r="D3724" s="3">
        <f t="shared" si="117"/>
        <v>1</v>
      </c>
    </row>
    <row r="3725" spans="1:4" x14ac:dyDescent="0.35">
      <c r="A3725" t="s">
        <v>3768</v>
      </c>
      <c r="B3725">
        <v>1</v>
      </c>
      <c r="C3725" t="str">
        <f t="shared" si="116"/>
        <v>EMSG:XXX JEEP WRANGLER XXXD XXXXXXX UNLIMTD SPORT in Colorado: Coverage is on Comprehensive is now available and its value must be verified by the user.; XXX JEEP WRANGLER XXXD XXXXXXX UNLIMTD SPORT in Colorado: Coverage is on Collision is now available a</v>
      </c>
      <c r="D3725" s="3">
        <f t="shared" si="117"/>
        <v>1</v>
      </c>
    </row>
    <row r="3726" spans="1:4" x14ac:dyDescent="0.35">
      <c r="A3726" t="s">
        <v>3769</v>
      </c>
      <c r="B3726">
        <v>1</v>
      </c>
      <c r="C3726" t="str">
        <f t="shared" si="116"/>
        <v xml:space="preserve">EMSG:XXX NISSAN ROGUE XXXD XXXWD S/SV/SL in Colorado: Coverage is on Comprehensive is now available and its value must be verified by the user.; XXX NISSAN ROGUE XXXD XXXWD S/SV/SL in Colorado: Coverage is on Collision is now available and its value must </v>
      </c>
      <c r="D3726" s="3">
        <f t="shared" si="117"/>
        <v>1</v>
      </c>
    </row>
    <row r="3727" spans="1:4" x14ac:dyDescent="0.35">
      <c r="A3727" t="s">
        <v>3770</v>
      </c>
      <c r="B3727">
        <v>1</v>
      </c>
      <c r="C3727" t="str">
        <f t="shared" si="116"/>
        <v>EMSG:XXX TOYOTA SIENNA VAN XXXWD CE XXXD in Oregon: Comprehensive is required and must be added. XXXSTRACE:gw.api.extension.PCExtensionInterfacesMapper$block_XXX_.invoke(PCExtensionInterfacesMapper.gs:XXXSTRACERAW:-</v>
      </c>
      <c r="D3727" s="3">
        <f t="shared" si="117"/>
        <v>1</v>
      </c>
    </row>
    <row r="3728" spans="1:4" x14ac:dyDescent="0.35">
      <c r="A3728" t="s">
        <v>3771</v>
      </c>
      <c r="B3728">
        <v>1</v>
      </c>
      <c r="C3728" t="str">
        <f t="shared" si="116"/>
        <v>EMSG:XXX TOYOTA XXXRUNNER XXXD XXXXXXX SRXXX/LTD/TRL VXXX in Colorado: Coverage is on Comprehensive is now available and its value must be verified by the user.; XXX TOYOTA XXXRUNNER XXXD XXXXXXX SRXXX/LTD/TRL VXXX in Colorado: Coverage is on Collision is</v>
      </c>
      <c r="D3728" s="3">
        <f t="shared" si="117"/>
        <v>1</v>
      </c>
    </row>
    <row r="3729" spans="1:4" ht="43.5" x14ac:dyDescent="0.35">
      <c r="A3729" s="4" t="s">
        <v>3772</v>
      </c>
      <c r="B3729">
        <v>1</v>
      </c>
      <c r="C3729" t="str">
        <f t="shared" si="116"/>
        <v>EMSG:XXX has exceeded the accident and/or violation threshold for eligibility in this program.STRACE:Pham has exceeded the accident and/or violation threshold for eligibility in this program.
	at com.farmers.config.pa.validator.BrightlineValidator.validat</v>
      </c>
      <c r="D3729" s="3">
        <f t="shared" si="117"/>
        <v>1</v>
      </c>
    </row>
    <row r="3730" spans="1:4" ht="43.5" x14ac:dyDescent="0.35">
      <c r="A3730" s="4" t="s">
        <v>3773</v>
      </c>
      <c r="B3730">
        <v>1</v>
      </c>
      <c r="C3730" t="str">
        <f t="shared" si="116"/>
        <v>EMSG:XXX has exceeded the accident and/or violation threshold for eligibility in this program.STRACE:Pham has exceeded the accident and/or violation threshold for eligibility in this program.
	at gw.job.QuoteProcess.requestQuote(QuoteProcess.gs:XXXSTRACER</v>
      </c>
      <c r="D3730" s="3">
        <f t="shared" si="117"/>
        <v>1</v>
      </c>
    </row>
    <row r="3731" spans="1:4" ht="43.5" x14ac:dyDescent="0.35">
      <c r="A3731" s="4" t="s">
        <v>3774</v>
      </c>
      <c r="B3731">
        <v>1</v>
      </c>
      <c r="C3731" t="str">
        <f t="shared" si="116"/>
        <v>EMSG:XXX has exceeded the accident and/or violation threshold for eligibility in this program.STRACE:Selshtut has exceeded the accident and/or violation threshold for eligibility in this program.
	at gw.job.QuoteProcess.requestQuote(QuoteProcess.gs:XXXSTR</v>
      </c>
      <c r="D3731" s="3">
        <f t="shared" si="117"/>
        <v>1</v>
      </c>
    </row>
    <row r="3732" spans="1:4" ht="29" x14ac:dyDescent="0.35">
      <c r="A3732" s="4" t="s">
        <v>3775</v>
      </c>
      <c r="B3732">
        <v>1</v>
      </c>
      <c r="C3732" t="str">
        <f t="shared" si="116"/>
        <v>EMSG:XXX has exceeded the accident and/or violation threshold for eligibility in this program.STRACE:Six has exceeded the accident and/or violation threshold for eligibility in this program.
	at com.farmers.config.pa.validator.BrightlineValidator.validate</v>
      </c>
      <c r="D3732" s="3">
        <f t="shared" si="117"/>
        <v>1</v>
      </c>
    </row>
    <row r="3733" spans="1:4" ht="29" x14ac:dyDescent="0.35">
      <c r="A3733" s="4" t="s">
        <v>3776</v>
      </c>
      <c r="B3733">
        <v>1</v>
      </c>
      <c r="C3733" t="str">
        <f t="shared" si="116"/>
        <v>EMSG:XXX has exceeded the accident and/or violation threshold for eligibility in this program.STRACE:Six has exceeded the accident and/or violation threshold for eligibility in this program.
	at gw.job.QuoteProcess.requestQuote(QuoteProcess.gs:XXXSTRACERA</v>
      </c>
      <c r="D3733" s="3">
        <f t="shared" si="117"/>
        <v>1</v>
      </c>
    </row>
    <row r="3734" spans="1:4" x14ac:dyDescent="0.35">
      <c r="A3734" t="s">
        <v>3777</v>
      </c>
      <c r="B3734">
        <v>1</v>
      </c>
      <c r="C3734" t="str">
        <f t="shared" si="116"/>
        <v>EMSG:YIDNEKACHEW TSEGAYESTRACE:com.farmers.config.pa.validator.BrightlineValidator.validateQuoteBrightlineRules(BrightlineValidator.gs:XXXSTRACERAW:-</v>
      </c>
      <c r="D3734" s="3">
        <f t="shared" si="117"/>
        <v>1</v>
      </c>
    </row>
    <row r="3735" spans="1:4" x14ac:dyDescent="0.35">
      <c r="A3735" t="s">
        <v>3778</v>
      </c>
      <c r="B3735">
        <v>1</v>
      </c>
      <c r="C3735" t="str">
        <f t="shared" si="116"/>
        <v>EMSG:YIDNEKACHEW TSEGAYESTRACE:gw.job.QuoteProcess.requestQuote(QuoteProcess.gs:XXXSTRACERAW:-</v>
      </c>
      <c r="D3735" s="3">
        <f t="shared" si="117"/>
        <v>1</v>
      </c>
    </row>
    <row r="3736" spans="1:4" x14ac:dyDescent="0.35">
      <c r="A3736" t="s">
        <v>3779</v>
      </c>
      <c r="B3736">
        <v>1</v>
      </c>
      <c r="C3736" t="str">
        <f t="shared" si="116"/>
        <v>EMSG:[BUSINESS_ERROR::Agent not available starXXXa]STRACE:com.farmers.edge.capabilities.communitymodel.checkgrantaccess.processor.CheckGrantAccessProcessor.processGrantAccess(CheckGrantAccessProcessor.gs:XXXSTRACERAW:-</v>
      </c>
      <c r="D3736" s="3">
        <f t="shared" si="117"/>
        <v>1</v>
      </c>
    </row>
    <row r="3737" spans="1:4" x14ac:dyDescent="0.35">
      <c r="A3737" t="s">
        <v>3780</v>
      </c>
      <c r="B3737">
        <v>1</v>
      </c>
      <c r="C3737" t="str">
        <f t="shared" si="116"/>
        <v>EMSG:[BUSINESS_ERROR::Agent not available waldXXXm]STRACE:com.farmers.edge.capabilities.communitymodel.checkgrantaccess.processor.CheckGrantAccessProcessor.processGrantAccess(CheckGrantAccessProcessor.gs:XXXSTRACERAW:-</v>
      </c>
      <c r="D3737" s="3">
        <f t="shared" si="117"/>
        <v>1</v>
      </c>
    </row>
    <row r="3738" spans="1:4" x14ac:dyDescent="0.35">
      <c r="A3738" t="s">
        <v>3781</v>
      </c>
      <c r="B3738">
        <v>1</v>
      </c>
      <c r="C3738" t="str">
        <f t="shared" si="116"/>
        <v>EMSG:class gw.lang.parser.EvaluationException cannot be cast to class edge.validation.EdgeValidationException (gw.lang.parser.EvaluationException is in unnamed module of loader 'deployment.pc.war' @XXXfXXXe; edge.validation.EdgeValidationException is in u</v>
      </c>
      <c r="D3738" s="3">
        <f t="shared" si="117"/>
        <v>1</v>
      </c>
    </row>
    <row r="3739" spans="1:4" x14ac:dyDescent="0.35">
      <c r="B3739"/>
    </row>
    <row r="3740" spans="1:4" x14ac:dyDescent="0.35">
      <c r="B3740"/>
    </row>
    <row r="3741" spans="1:4" x14ac:dyDescent="0.35">
      <c r="B3741"/>
    </row>
    <row r="3742" spans="1:4" x14ac:dyDescent="0.35">
      <c r="B3742"/>
    </row>
    <row r="3743" spans="1:4" x14ac:dyDescent="0.35">
      <c r="B3743"/>
    </row>
    <row r="3744" spans="1:4" x14ac:dyDescent="0.35">
      <c r="B3744"/>
    </row>
    <row r="3745" spans="2:2" x14ac:dyDescent="0.35">
      <c r="B3745"/>
    </row>
    <row r="3746" spans="2:2" x14ac:dyDescent="0.35">
      <c r="B3746"/>
    </row>
    <row r="3747" spans="2:2" x14ac:dyDescent="0.35">
      <c r="B3747"/>
    </row>
    <row r="3748" spans="2:2" x14ac:dyDescent="0.35">
      <c r="B3748"/>
    </row>
    <row r="3749" spans="2:2" x14ac:dyDescent="0.35">
      <c r="B3749"/>
    </row>
    <row r="3750" spans="2:2" x14ac:dyDescent="0.35">
      <c r="B3750"/>
    </row>
    <row r="3751" spans="2:2" x14ac:dyDescent="0.35">
      <c r="B3751"/>
    </row>
    <row r="3752" spans="2:2" x14ac:dyDescent="0.35">
      <c r="B3752"/>
    </row>
    <row r="3753" spans="2:2" x14ac:dyDescent="0.35">
      <c r="B3753"/>
    </row>
    <row r="3754" spans="2:2" x14ac:dyDescent="0.35">
      <c r="B3754"/>
    </row>
    <row r="3755" spans="2:2" x14ac:dyDescent="0.35">
      <c r="B3755"/>
    </row>
    <row r="3756" spans="2:2" x14ac:dyDescent="0.35">
      <c r="B3756"/>
    </row>
    <row r="3757" spans="2:2" x14ac:dyDescent="0.35">
      <c r="B3757"/>
    </row>
    <row r="3758" spans="2:2" x14ac:dyDescent="0.35">
      <c r="B3758"/>
    </row>
    <row r="3759" spans="2:2" x14ac:dyDescent="0.35">
      <c r="B3759"/>
    </row>
    <row r="3760" spans="2:2" x14ac:dyDescent="0.35">
      <c r="B3760"/>
    </row>
    <row r="3761" spans="2:2" x14ac:dyDescent="0.35">
      <c r="B3761"/>
    </row>
    <row r="3762" spans="2:2" x14ac:dyDescent="0.35">
      <c r="B3762"/>
    </row>
    <row r="3763" spans="2:2" x14ac:dyDescent="0.35">
      <c r="B3763"/>
    </row>
    <row r="3764" spans="2:2" x14ac:dyDescent="0.35">
      <c r="B3764"/>
    </row>
    <row r="3765" spans="2:2" x14ac:dyDescent="0.35">
      <c r="B3765"/>
    </row>
    <row r="3766" spans="2:2" x14ac:dyDescent="0.35">
      <c r="B3766"/>
    </row>
    <row r="3767" spans="2:2" x14ac:dyDescent="0.35">
      <c r="B3767"/>
    </row>
    <row r="3768" spans="2:2" x14ac:dyDescent="0.35">
      <c r="B3768"/>
    </row>
    <row r="3769" spans="2:2" x14ac:dyDescent="0.35">
      <c r="B3769"/>
    </row>
    <row r="3770" spans="2:2" x14ac:dyDescent="0.35">
      <c r="B3770"/>
    </row>
    <row r="3771" spans="2:2" x14ac:dyDescent="0.35">
      <c r="B3771"/>
    </row>
    <row r="3772" spans="2:2" x14ac:dyDescent="0.35">
      <c r="B3772"/>
    </row>
    <row r="3773" spans="2:2" x14ac:dyDescent="0.35">
      <c r="B3773"/>
    </row>
    <row r="3774" spans="2:2" x14ac:dyDescent="0.35">
      <c r="B3774"/>
    </row>
    <row r="3775" spans="2:2" x14ac:dyDescent="0.35">
      <c r="B3775"/>
    </row>
    <row r="3776" spans="2:2" x14ac:dyDescent="0.35">
      <c r="B3776"/>
    </row>
    <row r="3777" spans="2:2" x14ac:dyDescent="0.35">
      <c r="B3777"/>
    </row>
    <row r="3778" spans="2:2" x14ac:dyDescent="0.35">
      <c r="B3778"/>
    </row>
    <row r="3779" spans="2:2" x14ac:dyDescent="0.35">
      <c r="B3779"/>
    </row>
    <row r="3780" spans="2:2" x14ac:dyDescent="0.35">
      <c r="B3780"/>
    </row>
    <row r="3781" spans="2:2" x14ac:dyDescent="0.35">
      <c r="B3781"/>
    </row>
    <row r="3782" spans="2:2" x14ac:dyDescent="0.35">
      <c r="B3782"/>
    </row>
    <row r="3783" spans="2:2" x14ac:dyDescent="0.35">
      <c r="B3783"/>
    </row>
    <row r="3784" spans="2:2" x14ac:dyDescent="0.35">
      <c r="B3784"/>
    </row>
    <row r="3785" spans="2:2" x14ac:dyDescent="0.35">
      <c r="B3785"/>
    </row>
    <row r="3786" spans="2:2" x14ac:dyDescent="0.35">
      <c r="B3786"/>
    </row>
    <row r="3787" spans="2:2" x14ac:dyDescent="0.35">
      <c r="B3787"/>
    </row>
    <row r="3788" spans="2:2" x14ac:dyDescent="0.35">
      <c r="B3788"/>
    </row>
    <row r="3789" spans="2:2" x14ac:dyDescent="0.35">
      <c r="B3789"/>
    </row>
    <row r="3790" spans="2:2" x14ac:dyDescent="0.35">
      <c r="B3790"/>
    </row>
    <row r="3791" spans="2:2" x14ac:dyDescent="0.35">
      <c r="B3791"/>
    </row>
    <row r="3792" spans="2:2" x14ac:dyDescent="0.35">
      <c r="B3792"/>
    </row>
    <row r="3793" spans="2:2" x14ac:dyDescent="0.35">
      <c r="B3793"/>
    </row>
    <row r="3794" spans="2:2" x14ac:dyDescent="0.35">
      <c r="B3794"/>
    </row>
    <row r="3795" spans="2:2" x14ac:dyDescent="0.35">
      <c r="B3795"/>
    </row>
    <row r="3796" spans="2:2" x14ac:dyDescent="0.35">
      <c r="B3796"/>
    </row>
    <row r="3797" spans="2:2" x14ac:dyDescent="0.35">
      <c r="B3797"/>
    </row>
    <row r="3798" spans="2:2" x14ac:dyDescent="0.35">
      <c r="B3798"/>
    </row>
    <row r="3799" spans="2:2" x14ac:dyDescent="0.35">
      <c r="B3799"/>
    </row>
    <row r="3800" spans="2:2" x14ac:dyDescent="0.35">
      <c r="B3800"/>
    </row>
    <row r="3801" spans="2:2" x14ac:dyDescent="0.35">
      <c r="B3801"/>
    </row>
    <row r="3802" spans="2:2" x14ac:dyDescent="0.35">
      <c r="B3802"/>
    </row>
    <row r="3803" spans="2:2" x14ac:dyDescent="0.35">
      <c r="B3803"/>
    </row>
    <row r="3804" spans="2:2" x14ac:dyDescent="0.35">
      <c r="B3804"/>
    </row>
    <row r="3805" spans="2:2" x14ac:dyDescent="0.35">
      <c r="B3805"/>
    </row>
    <row r="3806" spans="2:2" x14ac:dyDescent="0.35">
      <c r="B3806"/>
    </row>
    <row r="3807" spans="2:2" x14ac:dyDescent="0.35">
      <c r="B3807"/>
    </row>
    <row r="3808" spans="2:2" x14ac:dyDescent="0.35">
      <c r="B3808"/>
    </row>
    <row r="3809" spans="2:2" x14ac:dyDescent="0.35">
      <c r="B3809"/>
    </row>
    <row r="3810" spans="2:2" x14ac:dyDescent="0.35">
      <c r="B3810"/>
    </row>
    <row r="3811" spans="2:2" x14ac:dyDescent="0.35">
      <c r="B3811"/>
    </row>
    <row r="3812" spans="2:2" x14ac:dyDescent="0.35">
      <c r="B3812"/>
    </row>
    <row r="3813" spans="2:2" x14ac:dyDescent="0.35">
      <c r="B3813"/>
    </row>
    <row r="3814" spans="2:2" x14ac:dyDescent="0.35">
      <c r="B3814"/>
    </row>
    <row r="3815" spans="2:2" x14ac:dyDescent="0.35">
      <c r="B3815"/>
    </row>
    <row r="3816" spans="2:2" x14ac:dyDescent="0.35">
      <c r="B3816"/>
    </row>
    <row r="3817" spans="2:2" x14ac:dyDescent="0.35">
      <c r="B3817"/>
    </row>
    <row r="3818" spans="2:2" x14ac:dyDescent="0.35">
      <c r="B3818"/>
    </row>
    <row r="3819" spans="2:2" x14ac:dyDescent="0.35">
      <c r="B3819"/>
    </row>
    <row r="3820" spans="2:2" x14ac:dyDescent="0.35">
      <c r="B3820"/>
    </row>
    <row r="3821" spans="2:2" x14ac:dyDescent="0.35">
      <c r="B3821"/>
    </row>
    <row r="3822" spans="2:2" x14ac:dyDescent="0.35">
      <c r="B3822"/>
    </row>
    <row r="3823" spans="2:2" x14ac:dyDescent="0.35">
      <c r="B3823"/>
    </row>
    <row r="3824" spans="2:2" x14ac:dyDescent="0.35">
      <c r="B3824"/>
    </row>
    <row r="3825" spans="2:2" x14ac:dyDescent="0.35">
      <c r="B3825"/>
    </row>
    <row r="3826" spans="2:2" x14ac:dyDescent="0.35">
      <c r="B3826"/>
    </row>
    <row r="3827" spans="2:2" x14ac:dyDescent="0.35">
      <c r="B3827"/>
    </row>
    <row r="3828" spans="2:2" x14ac:dyDescent="0.35">
      <c r="B3828"/>
    </row>
    <row r="3829" spans="2:2" x14ac:dyDescent="0.35">
      <c r="B3829"/>
    </row>
    <row r="3830" spans="2:2" x14ac:dyDescent="0.35">
      <c r="B3830"/>
    </row>
    <row r="3831" spans="2:2" x14ac:dyDescent="0.35">
      <c r="B3831"/>
    </row>
    <row r="3832" spans="2:2" x14ac:dyDescent="0.35">
      <c r="B3832"/>
    </row>
    <row r="3833" spans="2:2" x14ac:dyDescent="0.35">
      <c r="B3833"/>
    </row>
    <row r="3834" spans="2:2" x14ac:dyDescent="0.35">
      <c r="B3834"/>
    </row>
    <row r="3835" spans="2:2" x14ac:dyDescent="0.35">
      <c r="B3835"/>
    </row>
    <row r="3836" spans="2:2" x14ac:dyDescent="0.35">
      <c r="B3836"/>
    </row>
    <row r="3837" spans="2:2" x14ac:dyDescent="0.35">
      <c r="B3837"/>
    </row>
    <row r="3838" spans="2:2" x14ac:dyDescent="0.35">
      <c r="B3838"/>
    </row>
    <row r="3839" spans="2:2" x14ac:dyDescent="0.35">
      <c r="B3839"/>
    </row>
    <row r="3840" spans="2:2" x14ac:dyDescent="0.35">
      <c r="B3840"/>
    </row>
    <row r="3841" spans="2:2" x14ac:dyDescent="0.35">
      <c r="B3841"/>
    </row>
    <row r="3842" spans="2:2" x14ac:dyDescent="0.35">
      <c r="B3842"/>
    </row>
    <row r="3843" spans="2:2" x14ac:dyDescent="0.35">
      <c r="B3843"/>
    </row>
    <row r="3844" spans="2:2" x14ac:dyDescent="0.35">
      <c r="B3844"/>
    </row>
    <row r="3845" spans="2:2" x14ac:dyDescent="0.35">
      <c r="B3845"/>
    </row>
    <row r="3846" spans="2:2" x14ac:dyDescent="0.35">
      <c r="B3846"/>
    </row>
    <row r="3847" spans="2:2" x14ac:dyDescent="0.35">
      <c r="B3847"/>
    </row>
    <row r="3848" spans="2:2" x14ac:dyDescent="0.35">
      <c r="B3848"/>
    </row>
    <row r="3849" spans="2:2" x14ac:dyDescent="0.35">
      <c r="B3849"/>
    </row>
    <row r="3850" spans="2:2" x14ac:dyDescent="0.35">
      <c r="B3850"/>
    </row>
    <row r="3851" spans="2:2" x14ac:dyDescent="0.35">
      <c r="B3851"/>
    </row>
    <row r="3852" spans="2:2" x14ac:dyDescent="0.35">
      <c r="B3852"/>
    </row>
    <row r="3853" spans="2:2" x14ac:dyDescent="0.35">
      <c r="B3853"/>
    </row>
    <row r="3854" spans="2:2" x14ac:dyDescent="0.35">
      <c r="B3854"/>
    </row>
    <row r="3855" spans="2:2" x14ac:dyDescent="0.35">
      <c r="B3855"/>
    </row>
    <row r="3856" spans="2:2" x14ac:dyDescent="0.35">
      <c r="B3856"/>
    </row>
    <row r="3857" spans="2:2" x14ac:dyDescent="0.35">
      <c r="B3857"/>
    </row>
    <row r="3858" spans="2:2" x14ac:dyDescent="0.35">
      <c r="B3858"/>
    </row>
    <row r="3859" spans="2:2" x14ac:dyDescent="0.35">
      <c r="B3859"/>
    </row>
    <row r="3860" spans="2:2" x14ac:dyDescent="0.35">
      <c r="B3860"/>
    </row>
    <row r="3861" spans="2:2" x14ac:dyDescent="0.35">
      <c r="B3861"/>
    </row>
    <row r="3862" spans="2:2" x14ac:dyDescent="0.35">
      <c r="B3862"/>
    </row>
    <row r="3863" spans="2:2" x14ac:dyDescent="0.35">
      <c r="B3863"/>
    </row>
    <row r="3864" spans="2:2" x14ac:dyDescent="0.35">
      <c r="B3864"/>
    </row>
    <row r="3865" spans="2:2" x14ac:dyDescent="0.35">
      <c r="B3865"/>
    </row>
    <row r="3866" spans="2:2" x14ac:dyDescent="0.35">
      <c r="B3866"/>
    </row>
    <row r="3867" spans="2:2" x14ac:dyDescent="0.35">
      <c r="B3867"/>
    </row>
    <row r="3868" spans="2:2" x14ac:dyDescent="0.35">
      <c r="B3868"/>
    </row>
    <row r="3869" spans="2:2" x14ac:dyDescent="0.35">
      <c r="B3869"/>
    </row>
    <row r="3870" spans="2:2" x14ac:dyDescent="0.35">
      <c r="B3870"/>
    </row>
    <row r="3871" spans="2:2" x14ac:dyDescent="0.35">
      <c r="B3871"/>
    </row>
    <row r="3872" spans="2:2" x14ac:dyDescent="0.35">
      <c r="B3872"/>
    </row>
    <row r="3873" spans="2:2" x14ac:dyDescent="0.35">
      <c r="B3873"/>
    </row>
    <row r="3874" spans="2:2" x14ac:dyDescent="0.35">
      <c r="B3874"/>
    </row>
    <row r="3875" spans="2:2" x14ac:dyDescent="0.35">
      <c r="B3875"/>
    </row>
    <row r="3876" spans="2:2" x14ac:dyDescent="0.35">
      <c r="B3876"/>
    </row>
    <row r="3877" spans="2:2" x14ac:dyDescent="0.35">
      <c r="B3877"/>
    </row>
    <row r="3878" spans="2:2" x14ac:dyDescent="0.35">
      <c r="B3878"/>
    </row>
    <row r="3879" spans="2:2" x14ac:dyDescent="0.35">
      <c r="B3879"/>
    </row>
    <row r="3880" spans="2:2" x14ac:dyDescent="0.35">
      <c r="B3880"/>
    </row>
    <row r="3881" spans="2:2" x14ac:dyDescent="0.35">
      <c r="B3881"/>
    </row>
    <row r="3882" spans="2:2" x14ac:dyDescent="0.35">
      <c r="B3882"/>
    </row>
    <row r="3883" spans="2:2" x14ac:dyDescent="0.35">
      <c r="B3883"/>
    </row>
    <row r="3884" spans="2:2" x14ac:dyDescent="0.35">
      <c r="B3884"/>
    </row>
    <row r="3885" spans="2:2" x14ac:dyDescent="0.35">
      <c r="B3885"/>
    </row>
    <row r="3886" spans="2:2" x14ac:dyDescent="0.35">
      <c r="B3886"/>
    </row>
    <row r="3887" spans="2:2" x14ac:dyDescent="0.35">
      <c r="B3887"/>
    </row>
    <row r="3888" spans="2:2" x14ac:dyDescent="0.35">
      <c r="B3888"/>
    </row>
    <row r="3889" spans="2:2" x14ac:dyDescent="0.35">
      <c r="B3889"/>
    </row>
    <row r="3890" spans="2:2" x14ac:dyDescent="0.35">
      <c r="B3890"/>
    </row>
    <row r="3891" spans="2:2" x14ac:dyDescent="0.35">
      <c r="B3891"/>
    </row>
    <row r="3892" spans="2:2" x14ac:dyDescent="0.35">
      <c r="B3892"/>
    </row>
    <row r="3893" spans="2:2" x14ac:dyDescent="0.35">
      <c r="B3893"/>
    </row>
    <row r="3894" spans="2:2" x14ac:dyDescent="0.35">
      <c r="B3894"/>
    </row>
    <row r="3895" spans="2:2" x14ac:dyDescent="0.35">
      <c r="B3895"/>
    </row>
    <row r="3896" spans="2:2" x14ac:dyDescent="0.35">
      <c r="B3896"/>
    </row>
    <row r="3897" spans="2:2" x14ac:dyDescent="0.35">
      <c r="B3897"/>
    </row>
    <row r="3898" spans="2:2" x14ac:dyDescent="0.35">
      <c r="B3898"/>
    </row>
    <row r="3899" spans="2:2" x14ac:dyDescent="0.35">
      <c r="B3899"/>
    </row>
    <row r="3900" spans="2:2" x14ac:dyDescent="0.35">
      <c r="B3900"/>
    </row>
    <row r="3901" spans="2:2" x14ac:dyDescent="0.35">
      <c r="B3901"/>
    </row>
    <row r="3902" spans="2:2" x14ac:dyDescent="0.35">
      <c r="B3902"/>
    </row>
    <row r="3903" spans="2:2" x14ac:dyDescent="0.35">
      <c r="B3903"/>
    </row>
    <row r="3904" spans="2:2" x14ac:dyDescent="0.35">
      <c r="B3904"/>
    </row>
    <row r="3905" spans="2:2" x14ac:dyDescent="0.35">
      <c r="B3905"/>
    </row>
    <row r="3906" spans="2:2" x14ac:dyDescent="0.35">
      <c r="B3906"/>
    </row>
    <row r="3907" spans="2:2" x14ac:dyDescent="0.35">
      <c r="B3907"/>
    </row>
    <row r="3908" spans="2:2" x14ac:dyDescent="0.35">
      <c r="B3908"/>
    </row>
    <row r="3909" spans="2:2" x14ac:dyDescent="0.35">
      <c r="B3909"/>
    </row>
    <row r="3910" spans="2:2" x14ac:dyDescent="0.35">
      <c r="B3910"/>
    </row>
    <row r="3911" spans="2:2" x14ac:dyDescent="0.35">
      <c r="B3911"/>
    </row>
    <row r="3912" spans="2:2" x14ac:dyDescent="0.35">
      <c r="B3912"/>
    </row>
    <row r="3913" spans="2:2" x14ac:dyDescent="0.35">
      <c r="B3913"/>
    </row>
    <row r="3914" spans="2:2" x14ac:dyDescent="0.35">
      <c r="B3914"/>
    </row>
    <row r="3915" spans="2:2" x14ac:dyDescent="0.35">
      <c r="B3915"/>
    </row>
    <row r="3916" spans="2:2" x14ac:dyDescent="0.35">
      <c r="B3916"/>
    </row>
    <row r="3917" spans="2:2" x14ac:dyDescent="0.35">
      <c r="B3917"/>
    </row>
    <row r="3918" spans="2:2" x14ac:dyDescent="0.35">
      <c r="B3918"/>
    </row>
    <row r="3919" spans="2:2" x14ac:dyDescent="0.35">
      <c r="B3919"/>
    </row>
    <row r="3920" spans="2:2" x14ac:dyDescent="0.35">
      <c r="B3920"/>
    </row>
    <row r="3921" spans="2:2" x14ac:dyDescent="0.35">
      <c r="B3921"/>
    </row>
    <row r="3922" spans="2:2" x14ac:dyDescent="0.35">
      <c r="B3922"/>
    </row>
    <row r="3923" spans="2:2" x14ac:dyDescent="0.35">
      <c r="B3923"/>
    </row>
    <row r="3924" spans="2:2" x14ac:dyDescent="0.35">
      <c r="B3924"/>
    </row>
    <row r="3925" spans="2:2" x14ac:dyDescent="0.35">
      <c r="B3925"/>
    </row>
    <row r="3926" spans="2:2" x14ac:dyDescent="0.35">
      <c r="B3926"/>
    </row>
    <row r="3927" spans="2:2" x14ac:dyDescent="0.35">
      <c r="B3927"/>
    </row>
    <row r="3928" spans="2:2" x14ac:dyDescent="0.35">
      <c r="B3928"/>
    </row>
    <row r="3929" spans="2:2" x14ac:dyDescent="0.35">
      <c r="B3929"/>
    </row>
    <row r="3930" spans="2:2" x14ac:dyDescent="0.35">
      <c r="B3930"/>
    </row>
    <row r="3931" spans="2:2" x14ac:dyDescent="0.35">
      <c r="B3931"/>
    </row>
    <row r="3932" spans="2:2" x14ac:dyDescent="0.35">
      <c r="B3932"/>
    </row>
    <row r="3933" spans="2:2" x14ac:dyDescent="0.35">
      <c r="B3933"/>
    </row>
    <row r="3934" spans="2:2" x14ac:dyDescent="0.35">
      <c r="B3934"/>
    </row>
    <row r="3935" spans="2:2" x14ac:dyDescent="0.35">
      <c r="B3935"/>
    </row>
    <row r="3936" spans="2:2" x14ac:dyDescent="0.35">
      <c r="B3936"/>
    </row>
    <row r="3937" spans="2:2" x14ac:dyDescent="0.35">
      <c r="B3937"/>
    </row>
    <row r="3938" spans="2:2" x14ac:dyDescent="0.35">
      <c r="B3938"/>
    </row>
    <row r="3939" spans="2:2" x14ac:dyDescent="0.35">
      <c r="B3939"/>
    </row>
    <row r="3940" spans="2:2" x14ac:dyDescent="0.35">
      <c r="B3940"/>
    </row>
    <row r="3941" spans="2:2" x14ac:dyDescent="0.35">
      <c r="B3941"/>
    </row>
    <row r="3942" spans="2:2" x14ac:dyDescent="0.35">
      <c r="B3942"/>
    </row>
    <row r="3943" spans="2:2" x14ac:dyDescent="0.35">
      <c r="B3943"/>
    </row>
    <row r="3944" spans="2:2" x14ac:dyDescent="0.35">
      <c r="B3944"/>
    </row>
    <row r="3945" spans="2:2" x14ac:dyDescent="0.35">
      <c r="B3945"/>
    </row>
    <row r="3946" spans="2:2" x14ac:dyDescent="0.35">
      <c r="B3946"/>
    </row>
    <row r="3947" spans="2:2" x14ac:dyDescent="0.35">
      <c r="B3947"/>
    </row>
    <row r="3948" spans="2:2" x14ac:dyDescent="0.35">
      <c r="B3948"/>
    </row>
    <row r="3949" spans="2:2" x14ac:dyDescent="0.35">
      <c r="B3949"/>
    </row>
    <row r="3950" spans="2:2" x14ac:dyDescent="0.35">
      <c r="B3950"/>
    </row>
    <row r="3951" spans="2:2" x14ac:dyDescent="0.35">
      <c r="B3951"/>
    </row>
    <row r="3952" spans="2:2" x14ac:dyDescent="0.35">
      <c r="B3952"/>
    </row>
    <row r="3953" spans="2:2" x14ac:dyDescent="0.35">
      <c r="B3953"/>
    </row>
    <row r="3954" spans="2:2" x14ac:dyDescent="0.35">
      <c r="B3954"/>
    </row>
    <row r="3955" spans="2:2" x14ac:dyDescent="0.35">
      <c r="B3955"/>
    </row>
    <row r="3956" spans="2:2" x14ac:dyDescent="0.35">
      <c r="B3956"/>
    </row>
    <row r="3957" spans="2:2" x14ac:dyDescent="0.35">
      <c r="B3957"/>
    </row>
    <row r="3958" spans="2:2" x14ac:dyDescent="0.35">
      <c r="B3958"/>
    </row>
    <row r="3959" spans="2:2" x14ac:dyDescent="0.35">
      <c r="B3959"/>
    </row>
    <row r="3960" spans="2:2" x14ac:dyDescent="0.35">
      <c r="B3960"/>
    </row>
    <row r="3961" spans="2:2" x14ac:dyDescent="0.35">
      <c r="B3961"/>
    </row>
    <row r="3962" spans="2:2" x14ac:dyDescent="0.35">
      <c r="B3962"/>
    </row>
    <row r="3963" spans="2:2" x14ac:dyDescent="0.35">
      <c r="B3963"/>
    </row>
    <row r="3964" spans="2:2" x14ac:dyDescent="0.35">
      <c r="B3964"/>
    </row>
    <row r="3965" spans="2:2" x14ac:dyDescent="0.35">
      <c r="B3965"/>
    </row>
    <row r="3966" spans="2:2" x14ac:dyDescent="0.35">
      <c r="B3966"/>
    </row>
    <row r="3967" spans="2:2" x14ac:dyDescent="0.35">
      <c r="B3967"/>
    </row>
    <row r="3968" spans="2:2" x14ac:dyDescent="0.35">
      <c r="B3968"/>
    </row>
    <row r="3969" spans="2:2" x14ac:dyDescent="0.35">
      <c r="B3969"/>
    </row>
    <row r="3970" spans="2:2" x14ac:dyDescent="0.35">
      <c r="B3970"/>
    </row>
    <row r="3971" spans="2:2" x14ac:dyDescent="0.35">
      <c r="B3971"/>
    </row>
    <row r="3972" spans="2:2" x14ac:dyDescent="0.35">
      <c r="B3972"/>
    </row>
    <row r="3973" spans="2:2" x14ac:dyDescent="0.35">
      <c r="B3973"/>
    </row>
    <row r="3974" spans="2:2" x14ac:dyDescent="0.35">
      <c r="B3974"/>
    </row>
    <row r="3975" spans="2:2" x14ac:dyDescent="0.35">
      <c r="B3975"/>
    </row>
    <row r="3976" spans="2:2" x14ac:dyDescent="0.35">
      <c r="B3976"/>
    </row>
    <row r="3977" spans="2:2" x14ac:dyDescent="0.35">
      <c r="B3977"/>
    </row>
    <row r="3978" spans="2:2" x14ac:dyDescent="0.35">
      <c r="B3978"/>
    </row>
    <row r="3979" spans="2:2" x14ac:dyDescent="0.35">
      <c r="B3979"/>
    </row>
    <row r="3980" spans="2:2" x14ac:dyDescent="0.35">
      <c r="B3980"/>
    </row>
    <row r="3981" spans="2:2" x14ac:dyDescent="0.35">
      <c r="B3981"/>
    </row>
    <row r="3982" spans="2:2" x14ac:dyDescent="0.35">
      <c r="B3982"/>
    </row>
    <row r="3983" spans="2:2" x14ac:dyDescent="0.35">
      <c r="B3983"/>
    </row>
    <row r="3984" spans="2:2" x14ac:dyDescent="0.35">
      <c r="B3984"/>
    </row>
    <row r="3985" spans="2:2" x14ac:dyDescent="0.35">
      <c r="B3985"/>
    </row>
    <row r="3986" spans="2:2" x14ac:dyDescent="0.35">
      <c r="B3986"/>
    </row>
    <row r="3987" spans="2:2" x14ac:dyDescent="0.35">
      <c r="B3987"/>
    </row>
    <row r="3988" spans="2:2" x14ac:dyDescent="0.35">
      <c r="B3988"/>
    </row>
    <row r="3989" spans="2:2" x14ac:dyDescent="0.35">
      <c r="B3989"/>
    </row>
    <row r="3990" spans="2:2" x14ac:dyDescent="0.35">
      <c r="B3990"/>
    </row>
    <row r="3991" spans="2:2" x14ac:dyDescent="0.35">
      <c r="B3991"/>
    </row>
    <row r="3992" spans="2:2" x14ac:dyDescent="0.35">
      <c r="B3992"/>
    </row>
    <row r="3993" spans="2:2" x14ac:dyDescent="0.35">
      <c r="B3993"/>
    </row>
    <row r="3994" spans="2:2" x14ac:dyDescent="0.35">
      <c r="B3994"/>
    </row>
    <row r="3995" spans="2:2" x14ac:dyDescent="0.35">
      <c r="B3995"/>
    </row>
    <row r="3996" spans="2:2" x14ac:dyDescent="0.35">
      <c r="B3996"/>
    </row>
    <row r="3997" spans="2:2" x14ac:dyDescent="0.35">
      <c r="B3997"/>
    </row>
    <row r="3998" spans="2:2" x14ac:dyDescent="0.35">
      <c r="B3998"/>
    </row>
    <row r="3999" spans="2:2" x14ac:dyDescent="0.35">
      <c r="B3999"/>
    </row>
    <row r="4000" spans="2:2" x14ac:dyDescent="0.35">
      <c r="B4000"/>
    </row>
    <row r="4001" spans="2:2" x14ac:dyDescent="0.35">
      <c r="B4001"/>
    </row>
    <row r="4002" spans="2:2" x14ac:dyDescent="0.35">
      <c r="B4002"/>
    </row>
    <row r="4003" spans="2:2" x14ac:dyDescent="0.35">
      <c r="B4003"/>
    </row>
    <row r="4004" spans="2:2" x14ac:dyDescent="0.35">
      <c r="B4004"/>
    </row>
    <row r="4005" spans="2:2" x14ac:dyDescent="0.35">
      <c r="B4005"/>
    </row>
    <row r="4006" spans="2:2" x14ac:dyDescent="0.35">
      <c r="B4006"/>
    </row>
    <row r="4007" spans="2:2" x14ac:dyDescent="0.35">
      <c r="B4007"/>
    </row>
    <row r="4008" spans="2:2" x14ac:dyDescent="0.35">
      <c r="B4008"/>
    </row>
    <row r="4009" spans="2:2" x14ac:dyDescent="0.35">
      <c r="B4009"/>
    </row>
    <row r="4010" spans="2:2" x14ac:dyDescent="0.35">
      <c r="B4010"/>
    </row>
    <row r="4011" spans="2:2" x14ac:dyDescent="0.35">
      <c r="B4011"/>
    </row>
    <row r="4012" spans="2:2" x14ac:dyDescent="0.35">
      <c r="B4012"/>
    </row>
    <row r="4013" spans="2:2" x14ac:dyDescent="0.35">
      <c r="B4013"/>
    </row>
    <row r="4014" spans="2:2" x14ac:dyDescent="0.35">
      <c r="B4014"/>
    </row>
    <row r="4015" spans="2:2" x14ac:dyDescent="0.35">
      <c r="B4015"/>
    </row>
    <row r="4016" spans="2:2" x14ac:dyDescent="0.35">
      <c r="B4016"/>
    </row>
    <row r="4017" spans="2:2" x14ac:dyDescent="0.35">
      <c r="B4017"/>
    </row>
    <row r="4018" spans="2:2" x14ac:dyDescent="0.35">
      <c r="B4018"/>
    </row>
    <row r="4019" spans="2:2" x14ac:dyDescent="0.35">
      <c r="B4019"/>
    </row>
    <row r="4020" spans="2:2" x14ac:dyDescent="0.35">
      <c r="B4020"/>
    </row>
    <row r="4021" spans="2:2" x14ac:dyDescent="0.35">
      <c r="B4021"/>
    </row>
    <row r="4022" spans="2:2" x14ac:dyDescent="0.35">
      <c r="B4022"/>
    </row>
    <row r="4023" spans="2:2" x14ac:dyDescent="0.35">
      <c r="B4023"/>
    </row>
    <row r="4024" spans="2:2" x14ac:dyDescent="0.35">
      <c r="B4024"/>
    </row>
    <row r="4025" spans="2:2" x14ac:dyDescent="0.35">
      <c r="B4025"/>
    </row>
    <row r="4026" spans="2:2" x14ac:dyDescent="0.35">
      <c r="B4026"/>
    </row>
    <row r="4027" spans="2:2" x14ac:dyDescent="0.35">
      <c r="B4027"/>
    </row>
    <row r="4028" spans="2:2" x14ac:dyDescent="0.35">
      <c r="B4028"/>
    </row>
    <row r="4029" spans="2:2" x14ac:dyDescent="0.35">
      <c r="B4029"/>
    </row>
    <row r="4030" spans="2:2" x14ac:dyDescent="0.35">
      <c r="B4030"/>
    </row>
    <row r="4031" spans="2:2" x14ac:dyDescent="0.35">
      <c r="B4031"/>
    </row>
    <row r="4032" spans="2:2" x14ac:dyDescent="0.35">
      <c r="B4032"/>
    </row>
    <row r="4033" spans="2:2" x14ac:dyDescent="0.35">
      <c r="B4033"/>
    </row>
    <row r="4034" spans="2:2" x14ac:dyDescent="0.35">
      <c r="B4034"/>
    </row>
    <row r="4035" spans="2:2" x14ac:dyDescent="0.35">
      <c r="B4035"/>
    </row>
    <row r="4036" spans="2:2" x14ac:dyDescent="0.35">
      <c r="B4036"/>
    </row>
    <row r="4037" spans="2:2" x14ac:dyDescent="0.35">
      <c r="B4037"/>
    </row>
    <row r="4038" spans="2:2" x14ac:dyDescent="0.35">
      <c r="B4038"/>
    </row>
    <row r="4039" spans="2:2" x14ac:dyDescent="0.35">
      <c r="B4039"/>
    </row>
    <row r="4040" spans="2:2" x14ac:dyDescent="0.35">
      <c r="B4040"/>
    </row>
    <row r="4041" spans="2:2" x14ac:dyDescent="0.35">
      <c r="B4041"/>
    </row>
    <row r="4042" spans="2:2" x14ac:dyDescent="0.35">
      <c r="B4042"/>
    </row>
    <row r="4043" spans="2:2" x14ac:dyDescent="0.35">
      <c r="B4043"/>
    </row>
    <row r="4044" spans="2:2" x14ac:dyDescent="0.35">
      <c r="B4044"/>
    </row>
    <row r="4045" spans="2:2" x14ac:dyDescent="0.35">
      <c r="B4045"/>
    </row>
    <row r="4046" spans="2:2" x14ac:dyDescent="0.35">
      <c r="B4046"/>
    </row>
    <row r="4047" spans="2:2" x14ac:dyDescent="0.35">
      <c r="B4047"/>
    </row>
    <row r="4048" spans="2:2" x14ac:dyDescent="0.35">
      <c r="B4048"/>
    </row>
    <row r="4049" spans="2:2" x14ac:dyDescent="0.35">
      <c r="B4049"/>
    </row>
    <row r="4050" spans="2:2" x14ac:dyDescent="0.35">
      <c r="B4050"/>
    </row>
    <row r="4051" spans="2:2" x14ac:dyDescent="0.35">
      <c r="B4051"/>
    </row>
    <row r="4052" spans="2:2" x14ac:dyDescent="0.35">
      <c r="B4052"/>
    </row>
    <row r="4053" spans="2:2" x14ac:dyDescent="0.35">
      <c r="B4053"/>
    </row>
    <row r="4054" spans="2:2" x14ac:dyDescent="0.35">
      <c r="B4054"/>
    </row>
    <row r="4055" spans="2:2" x14ac:dyDescent="0.35">
      <c r="B4055"/>
    </row>
    <row r="4056" spans="2:2" x14ac:dyDescent="0.35">
      <c r="B4056"/>
    </row>
    <row r="4057" spans="2:2" x14ac:dyDescent="0.35">
      <c r="B4057"/>
    </row>
    <row r="4058" spans="2:2" x14ac:dyDescent="0.35">
      <c r="B4058"/>
    </row>
    <row r="4059" spans="2:2" x14ac:dyDescent="0.35">
      <c r="B4059"/>
    </row>
    <row r="4060" spans="2:2" x14ac:dyDescent="0.35">
      <c r="B4060"/>
    </row>
    <row r="4061" spans="2:2" x14ac:dyDescent="0.35">
      <c r="B4061"/>
    </row>
    <row r="4062" spans="2:2" x14ac:dyDescent="0.35">
      <c r="B4062"/>
    </row>
    <row r="4063" spans="2:2" x14ac:dyDescent="0.35">
      <c r="B4063"/>
    </row>
    <row r="4064" spans="2:2" x14ac:dyDescent="0.35">
      <c r="B4064"/>
    </row>
    <row r="4065" spans="2:2" x14ac:dyDescent="0.35">
      <c r="B4065"/>
    </row>
    <row r="4066" spans="2:2" x14ac:dyDescent="0.35">
      <c r="B4066"/>
    </row>
    <row r="4067" spans="2:2" x14ac:dyDescent="0.35">
      <c r="B4067"/>
    </row>
    <row r="4068" spans="2:2" x14ac:dyDescent="0.35">
      <c r="B4068"/>
    </row>
    <row r="4069" spans="2:2" x14ac:dyDescent="0.35">
      <c r="B4069"/>
    </row>
    <row r="4070" spans="2:2" x14ac:dyDescent="0.35">
      <c r="B4070"/>
    </row>
    <row r="4071" spans="2:2" x14ac:dyDescent="0.35">
      <c r="B4071"/>
    </row>
    <row r="4072" spans="2:2" x14ac:dyDescent="0.35">
      <c r="B4072"/>
    </row>
    <row r="4073" spans="2:2" x14ac:dyDescent="0.35">
      <c r="B4073"/>
    </row>
    <row r="4074" spans="2:2" x14ac:dyDescent="0.35">
      <c r="B4074"/>
    </row>
    <row r="4075" spans="2:2" x14ac:dyDescent="0.35">
      <c r="B4075"/>
    </row>
    <row r="4076" spans="2:2" x14ac:dyDescent="0.35">
      <c r="B4076"/>
    </row>
    <row r="4077" spans="2:2" x14ac:dyDescent="0.35">
      <c r="B4077"/>
    </row>
    <row r="4078" spans="2:2" x14ac:dyDescent="0.35">
      <c r="B4078"/>
    </row>
    <row r="4079" spans="2:2" x14ac:dyDescent="0.35">
      <c r="B4079"/>
    </row>
    <row r="4080" spans="2:2" x14ac:dyDescent="0.35">
      <c r="B4080"/>
    </row>
    <row r="4081" spans="2:2" x14ac:dyDescent="0.35">
      <c r="B4081"/>
    </row>
    <row r="4082" spans="2:2" x14ac:dyDescent="0.35">
      <c r="B4082"/>
    </row>
    <row r="4083" spans="2:2" x14ac:dyDescent="0.35">
      <c r="B4083"/>
    </row>
    <row r="4084" spans="2:2" x14ac:dyDescent="0.35">
      <c r="B4084"/>
    </row>
    <row r="4085" spans="2:2" x14ac:dyDescent="0.35">
      <c r="B4085"/>
    </row>
    <row r="4086" spans="2:2" x14ac:dyDescent="0.35">
      <c r="B4086"/>
    </row>
    <row r="4087" spans="2:2" x14ac:dyDescent="0.35">
      <c r="B4087"/>
    </row>
    <row r="4088" spans="2:2" x14ac:dyDescent="0.35">
      <c r="B4088"/>
    </row>
    <row r="4089" spans="2:2" x14ac:dyDescent="0.35">
      <c r="B4089"/>
    </row>
    <row r="4090" spans="2:2" x14ac:dyDescent="0.35">
      <c r="B4090"/>
    </row>
    <row r="4091" spans="2:2" x14ac:dyDescent="0.35">
      <c r="B4091"/>
    </row>
    <row r="4092" spans="2:2" x14ac:dyDescent="0.35">
      <c r="B4092"/>
    </row>
    <row r="4093" spans="2:2" x14ac:dyDescent="0.35">
      <c r="B4093"/>
    </row>
    <row r="4094" spans="2:2" x14ac:dyDescent="0.35">
      <c r="B4094"/>
    </row>
    <row r="4095" spans="2:2" x14ac:dyDescent="0.35">
      <c r="B4095"/>
    </row>
    <row r="4096" spans="2:2" x14ac:dyDescent="0.35">
      <c r="B4096"/>
    </row>
    <row r="4097" spans="2:2" x14ac:dyDescent="0.35">
      <c r="B4097"/>
    </row>
    <row r="4098" spans="2:2" x14ac:dyDescent="0.35">
      <c r="B4098"/>
    </row>
    <row r="4099" spans="2:2" x14ac:dyDescent="0.35">
      <c r="B4099"/>
    </row>
    <row r="4100" spans="2:2" x14ac:dyDescent="0.35">
      <c r="B4100"/>
    </row>
    <row r="4101" spans="2:2" x14ac:dyDescent="0.35">
      <c r="B4101"/>
    </row>
    <row r="4102" spans="2:2" x14ac:dyDescent="0.35">
      <c r="B4102"/>
    </row>
    <row r="4103" spans="2:2" x14ac:dyDescent="0.35">
      <c r="B4103"/>
    </row>
    <row r="4104" spans="2:2" x14ac:dyDescent="0.35">
      <c r="B4104"/>
    </row>
    <row r="4105" spans="2:2" x14ac:dyDescent="0.35">
      <c r="B4105"/>
    </row>
    <row r="4106" spans="2:2" x14ac:dyDescent="0.35">
      <c r="B4106"/>
    </row>
    <row r="4107" spans="2:2" x14ac:dyDescent="0.35">
      <c r="B4107"/>
    </row>
    <row r="4108" spans="2:2" x14ac:dyDescent="0.35">
      <c r="B4108"/>
    </row>
    <row r="4109" spans="2:2" x14ac:dyDescent="0.35">
      <c r="B4109"/>
    </row>
    <row r="4110" spans="2:2" x14ac:dyDescent="0.35">
      <c r="B4110"/>
    </row>
    <row r="4111" spans="2:2" x14ac:dyDescent="0.35">
      <c r="B4111"/>
    </row>
    <row r="4112" spans="2:2" x14ac:dyDescent="0.35">
      <c r="B4112"/>
    </row>
    <row r="4113" spans="2:2" x14ac:dyDescent="0.35">
      <c r="B4113"/>
    </row>
    <row r="4114" spans="2:2" x14ac:dyDescent="0.35">
      <c r="B4114"/>
    </row>
    <row r="4115" spans="2:2" x14ac:dyDescent="0.35">
      <c r="B4115"/>
    </row>
    <row r="4116" spans="2:2" x14ac:dyDescent="0.35">
      <c r="B4116"/>
    </row>
    <row r="4117" spans="2:2" x14ac:dyDescent="0.35">
      <c r="B4117"/>
    </row>
    <row r="4118" spans="2:2" x14ac:dyDescent="0.35">
      <c r="B4118"/>
    </row>
    <row r="4119" spans="2:2" x14ac:dyDescent="0.35">
      <c r="B4119"/>
    </row>
    <row r="4120" spans="2:2" x14ac:dyDescent="0.35">
      <c r="B4120"/>
    </row>
    <row r="4121" spans="2:2" x14ac:dyDescent="0.35">
      <c r="B4121"/>
    </row>
    <row r="4122" spans="2:2" x14ac:dyDescent="0.35">
      <c r="B4122"/>
    </row>
    <row r="4123" spans="2:2" x14ac:dyDescent="0.35">
      <c r="B4123"/>
    </row>
    <row r="4124" spans="2:2" x14ac:dyDescent="0.35">
      <c r="B4124"/>
    </row>
    <row r="4125" spans="2:2" x14ac:dyDescent="0.35">
      <c r="B4125"/>
    </row>
    <row r="4126" spans="2:2" x14ac:dyDescent="0.35">
      <c r="B4126"/>
    </row>
    <row r="4127" spans="2:2" x14ac:dyDescent="0.35">
      <c r="B4127"/>
    </row>
    <row r="4128" spans="2:2" x14ac:dyDescent="0.35">
      <c r="B4128"/>
    </row>
    <row r="4129" spans="2:2" x14ac:dyDescent="0.35">
      <c r="B4129"/>
    </row>
    <row r="4130" spans="2:2" x14ac:dyDescent="0.35">
      <c r="B4130"/>
    </row>
    <row r="4131" spans="2:2" x14ac:dyDescent="0.35">
      <c r="B4131"/>
    </row>
    <row r="4132" spans="2:2" x14ac:dyDescent="0.35">
      <c r="B4132"/>
    </row>
    <row r="4133" spans="2:2" x14ac:dyDescent="0.35">
      <c r="B4133"/>
    </row>
    <row r="4134" spans="2:2" x14ac:dyDescent="0.35">
      <c r="B4134"/>
    </row>
    <row r="4135" spans="2:2" x14ac:dyDescent="0.35">
      <c r="B4135"/>
    </row>
    <row r="4136" spans="2:2" x14ac:dyDescent="0.35">
      <c r="B4136"/>
    </row>
    <row r="4137" spans="2:2" x14ac:dyDescent="0.35">
      <c r="B4137"/>
    </row>
    <row r="4138" spans="2:2" x14ac:dyDescent="0.35">
      <c r="B4138"/>
    </row>
    <row r="4139" spans="2:2" x14ac:dyDescent="0.35">
      <c r="B4139"/>
    </row>
    <row r="4140" spans="2:2" x14ac:dyDescent="0.35">
      <c r="B4140"/>
    </row>
    <row r="4141" spans="2:2" x14ac:dyDescent="0.35">
      <c r="B4141"/>
    </row>
    <row r="4142" spans="2:2" x14ac:dyDescent="0.35">
      <c r="B4142"/>
    </row>
    <row r="4143" spans="2:2" x14ac:dyDescent="0.35">
      <c r="B4143"/>
    </row>
    <row r="4144" spans="2:2" x14ac:dyDescent="0.35">
      <c r="B4144"/>
    </row>
    <row r="4145" spans="2:2" x14ac:dyDescent="0.35">
      <c r="B4145"/>
    </row>
    <row r="4146" spans="2:2" x14ac:dyDescent="0.35">
      <c r="B4146"/>
    </row>
    <row r="4147" spans="2:2" x14ac:dyDescent="0.35">
      <c r="B4147"/>
    </row>
    <row r="4148" spans="2:2" x14ac:dyDescent="0.35">
      <c r="B4148"/>
    </row>
    <row r="4149" spans="2:2" x14ac:dyDescent="0.35">
      <c r="B4149"/>
    </row>
    <row r="4150" spans="2:2" x14ac:dyDescent="0.35">
      <c r="B4150"/>
    </row>
    <row r="4151" spans="2:2" x14ac:dyDescent="0.35">
      <c r="B4151"/>
    </row>
    <row r="4152" spans="2:2" x14ac:dyDescent="0.35">
      <c r="B4152"/>
    </row>
    <row r="4153" spans="2:2" x14ac:dyDescent="0.35">
      <c r="B4153"/>
    </row>
    <row r="4154" spans="2:2" x14ac:dyDescent="0.35">
      <c r="B4154"/>
    </row>
    <row r="4155" spans="2:2" x14ac:dyDescent="0.35">
      <c r="B4155"/>
    </row>
    <row r="4156" spans="2:2" x14ac:dyDescent="0.35">
      <c r="B4156"/>
    </row>
    <row r="4157" spans="2:2" x14ac:dyDescent="0.35">
      <c r="B4157"/>
    </row>
    <row r="4158" spans="2:2" x14ac:dyDescent="0.35">
      <c r="B4158"/>
    </row>
    <row r="4159" spans="2:2" x14ac:dyDescent="0.35">
      <c r="B4159"/>
    </row>
    <row r="4160" spans="2:2" x14ac:dyDescent="0.35">
      <c r="B4160"/>
    </row>
    <row r="4161" spans="2:2" x14ac:dyDescent="0.35">
      <c r="B4161"/>
    </row>
    <row r="4162" spans="2:2" x14ac:dyDescent="0.35">
      <c r="B4162"/>
    </row>
    <row r="4163" spans="2:2" x14ac:dyDescent="0.35">
      <c r="B416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workbookViewId="0">
      <selection activeCell="A13" sqref="A13"/>
    </sheetView>
  </sheetViews>
  <sheetFormatPr defaultRowHeight="14.5" x14ac:dyDescent="0.35"/>
  <cols>
    <col min="1" max="1" width="110.54296875" customWidth="1"/>
    <col min="3" max="3" width="50.1796875" bestFit="1" customWidth="1"/>
  </cols>
  <sheetData>
    <row r="1" spans="1:3" x14ac:dyDescent="0.35">
      <c r="A1" t="s">
        <v>15</v>
      </c>
      <c r="B1" t="s">
        <v>16</v>
      </c>
      <c r="C1" t="s">
        <v>17</v>
      </c>
    </row>
    <row r="2" spans="1:3" x14ac:dyDescent="0.35">
      <c r="A2" s="5" t="s">
        <v>18</v>
      </c>
      <c r="B2" t="str">
        <f>LEFT(A2,255)</f>
        <v>EMSG:- MSG:- STRACE1:deployment.pc.war//gw.api.webservice.workflow.WorkflowAPIImpl.resumeWorkflow</v>
      </c>
      <c r="C2" t="s">
        <v>19</v>
      </c>
    </row>
    <row r="3" spans="1:3" x14ac:dyDescent="0.35">
      <c r="A3" s="5" t="s">
        <v>20</v>
      </c>
      <c r="B3" t="str">
        <f t="shared" ref="B3:B31" si="0">LEFT(A3,255)</f>
        <v>EMSG:- MSG:Business Content Population Failed STRACE1:-</v>
      </c>
      <c r="C3" t="s">
        <v>19</v>
      </c>
    </row>
    <row r="4" spans="1:3" x14ac:dyDescent="0.35">
      <c r="A4" s="5" t="s">
        <v>21</v>
      </c>
      <c r="B4" t="str">
        <f t="shared" si="0"/>
        <v>EMSG:There MSG:Failed to Quote Enhanced STRACE1:gw.job.QuoteProcess.requestQuote</v>
      </c>
      <c r="C4" t="s">
        <v>19</v>
      </c>
    </row>
    <row r="5" spans="1:3" x14ac:dyDescent="0.35">
      <c r="A5" s="5" t="s">
        <v>22</v>
      </c>
      <c r="B5" t="str">
        <f t="shared" si="0"/>
        <v>EMSG:- MSG:- STRACE1:com.guidewire.pl.system.cache.RarelyChangingBeanDataCache.ensureIsStarted</v>
      </c>
      <c r="C5" t="s">
        <v>19</v>
      </c>
    </row>
    <row r="6" spans="1:3" x14ac:dyDescent="0.35">
      <c r="A6" s="5" t="s">
        <v>12</v>
      </c>
      <c r="B6" t="str">
        <f t="shared" si="0"/>
        <v>EMSG:- MSG:- STRACE1:com.guidewire.pl.system.workqueue.DistributedWorkerControllerImpl.checkOutWorkItems</v>
      </c>
      <c r="C6" t="s">
        <v>19</v>
      </c>
    </row>
    <row r="7" spans="1:3" x14ac:dyDescent="0.35">
      <c r="A7" s="5" t="s">
        <v>23</v>
      </c>
      <c r="B7" t="str">
        <f t="shared" si="0"/>
        <v>EMSG:- MSG:- STRACE1:com.farmers.config.pup.prefill.legacy.PUPULClientDetailsLoaderAndRefresher$block_24_.invoke</v>
      </c>
      <c r="C7" t="s">
        <v>19</v>
      </c>
    </row>
    <row r="8" spans="1:3" x14ac:dyDescent="0.35">
      <c r="A8" s="5" t="s">
        <v>24</v>
      </c>
      <c r="B8" t="str">
        <f t="shared" si="0"/>
        <v>EMSG:There is no bi code in the table 'pa_pi_bi_codes' for 30000_65000 BI limits MSG:There STRACE1:com.farmers.tier.pa.pitier.impl.PITierCodesCalculatorImpl.calculateBILimitCode</v>
      </c>
      <c r="C8" t="s">
        <v>19</v>
      </c>
    </row>
    <row r="9" spans="1:3" x14ac:dyDescent="0.35">
      <c r="A9" s="5" t="s">
        <v>25</v>
      </c>
      <c r="B9" t="str">
        <f t="shared" si="0"/>
        <v>EMSG:There is no bi code in the table 'pa_pi_bi_codes' for 35000_80000 BI limits MSG:There STRACE1:com.farmers.tier.pa.pitier.impl.PITierCodesCalculatorImpl.calculateBILimitCode</v>
      </c>
      <c r="C9" t="s">
        <v>19</v>
      </c>
    </row>
    <row r="10" spans="1:3" x14ac:dyDescent="0.35">
      <c r="A10" s="5" t="s">
        <v>26</v>
      </c>
      <c r="B10" t="str">
        <f t="shared" si="0"/>
        <v>EMSG:\ MSG:Exception Occurred STRACE1:com.farmers.integ.framework.job.automatejob.AutomatedJob.executeJob</v>
      </c>
      <c r="C10" t="s">
        <v>19</v>
      </c>
    </row>
    <row r="11" spans="1:3" x14ac:dyDescent="0.35">
      <c r="A11" s="5" t="s">
        <v>13</v>
      </c>
      <c r="B11" t="str">
        <f t="shared" si="0"/>
        <v>EMSG:\ MSG:AutomatedJob STRACE1:gw.lang.enhancements.CoreIterableEnhancement.partitionUniquely</v>
      </c>
      <c r="C11" t="s">
        <v>19</v>
      </c>
    </row>
    <row r="12" spans="1:3" x14ac:dyDescent="0.35">
      <c r="A12" s="5" t="s">
        <v>14</v>
      </c>
      <c r="B12" t="str">
        <f t="shared" si="0"/>
        <v>EMSG:- MSG:- STRACE1:com.guidewire.pl.system.integration.messaging.dispatch.MessagingHelperProxy$Operation.getDestinationNotOwnedResult</v>
      </c>
      <c r="C12" t="s">
        <v>19</v>
      </c>
    </row>
    <row r="13" spans="1:3" ht="87" x14ac:dyDescent="0.35">
      <c r="A13" s="6" t="s">
        <v>27</v>
      </c>
      <c r="B13" t="str">
        <f t="shared" si="0"/>
        <v xml:space="preserve">EMSG:- MSG:- STRACE1:[row,col {unknown-source}]: [205,27], while reading `payload` as Xml.
 [row,col]: [205,27]" evaluating expression: "%dw 2.0 
output application/xml 
ns soapenv http://schemas.xmlsoap.org/soap/envelope/  
--- 
</v>
      </c>
      <c r="C13" t="s">
        <v>19</v>
      </c>
    </row>
    <row r="14" spans="1:3" x14ac:dyDescent="0.35">
      <c r="A14" s="5" t="s">
        <v>7</v>
      </c>
      <c r="B14" t="str">
        <f t="shared" si="0"/>
        <v>EMSG:- MSG:- STRACE1:com.farmers.lob.pa.driverassignment.DriverAssignmentDriver.setDriverOrderData</v>
      </c>
      <c r="C14" t="s">
        <v>19</v>
      </c>
    </row>
    <row r="15" spans="1:3" x14ac:dyDescent="0.35">
      <c r="A15" s="5" t="s">
        <v>8</v>
      </c>
      <c r="B15" t="str">
        <f t="shared" si="0"/>
        <v>EMSG:- MSG:Failed to find Driver Order Class Code for XXX STRACE1:-</v>
      </c>
      <c r="C15" t="s">
        <v>19</v>
      </c>
    </row>
    <row r="16" spans="1:3" x14ac:dyDescent="0.35">
      <c r="A16" s="5" t="s">
        <v>28</v>
      </c>
      <c r="B16" t="str">
        <f t="shared" si="0"/>
        <v>EMSG:Correct the PNI and/or Spouse Name MSG:Exception has occured STRACE1:com.farmers.config.common.credit.ho.HOCreditScoreProcess.invokeService</v>
      </c>
      <c r="C16" t="s">
        <v>19</v>
      </c>
    </row>
    <row r="17" spans="1:3" x14ac:dyDescent="0.35">
      <c r="A17" s="5" t="s">
        <v>29</v>
      </c>
      <c r="B17" t="str">
        <f t="shared" si="0"/>
        <v>EMSG:Correct the PNI and/or Spouse Name MSG:gw.api.util.DisplayableException type exception occured STRACE1:com.farmers.config.common.credit.ho.HOCreditScoreProcess.invokeService</v>
      </c>
      <c r="C17" t="s">
        <v>19</v>
      </c>
    </row>
    <row r="18" spans="1:3" x14ac:dyDescent="0.35">
      <c r="A18" s="5" t="s">
        <v>9</v>
      </c>
      <c r="B18" t="str">
        <f t="shared" si="0"/>
        <v>EMSG:Failed to find Driver Order Class Code for XXX MSG:Error in Executing DriverAssignmentLUWRule#satisfied: STRACE1:com.farmers.lob.pa.driverassignment.DriverAssignmentDriver.setDriverOrderData</v>
      </c>
      <c r="C18" t="s">
        <v>19</v>
      </c>
    </row>
    <row r="19" spans="1:3" x14ac:dyDescent="0.35">
      <c r="A19" s="5" t="s">
        <v>10</v>
      </c>
      <c r="B19" t="str">
        <f t="shared" si="0"/>
        <v>EMSG:Failed to find Driver Order Class Code for XXX MSG:Exception occurred during QuoteProcess_requestQuote... STRACE1:com.farmers.lob.pa.driverassignment.DriverAssignmentDriver.setDriverOrderData</v>
      </c>
      <c r="C19" t="s">
        <v>19</v>
      </c>
    </row>
    <row r="20" spans="1:3" x14ac:dyDescent="0.35">
      <c r="A20" s="5" t="s">
        <v>11</v>
      </c>
      <c r="B20" t="str">
        <f t="shared" si="0"/>
        <v>EMSG:Failed to find Driver Order Class Code for XXX MSG:Failed to find Driver Order Class Code for XXX STRACE1:com.farmers.lob.pa.driverassignment.DriverAssignmentDriver.setDriverOrderData</v>
      </c>
      <c r="C20" t="s">
        <v>19</v>
      </c>
    </row>
    <row r="21" spans="1:3" x14ac:dyDescent="0.35">
      <c r="A21" s="5" t="s">
        <v>30</v>
      </c>
      <c r="B21" t="str">
        <f t="shared" si="0"/>
        <v>EMSG:Period dates overlap an existing bound period MSG:BlockedRenewal - Other Issues STRACE1:deployment.pc.war//com.guidewire.pl.system.entity.proxy.EffDatedBranchProxy.checkForOverlapsAndGaps</v>
      </c>
      <c r="C21" t="s">
        <v>19</v>
      </c>
    </row>
    <row r="22" spans="1:3" x14ac:dyDescent="0.35">
      <c r="A22" s="5" t="s">
        <v>31</v>
      </c>
      <c r="B22" t="str">
        <f t="shared" si="0"/>
        <v>EMSG:There MSG:Failed to Quote Basic STRACE1:gw.job.QuoteProcess.requestQuote</v>
      </c>
      <c r="C22" t="s">
        <v>19</v>
      </c>
    </row>
    <row r="23" spans="1:3" x14ac:dyDescent="0.35">
      <c r="A23" s="5" t="s">
        <v>32</v>
      </c>
      <c r="B23" t="str">
        <f t="shared" si="0"/>
        <v>EMSG:There is no bi code in the table 'pa_pi_bi_codes' for 25000_65000 BI limits MSG:There STRACE1:com.farmers.tier.pa.pitier.impl.PITierCodesCalculatorImpl.calculateBILimitCode</v>
      </c>
      <c r="C23" t="s">
        <v>19</v>
      </c>
    </row>
    <row r="24" spans="1:3" x14ac:dyDescent="0.35">
      <c r="A24" s="5" t="s">
        <v>33</v>
      </c>
      <c r="B24" t="str">
        <f t="shared" si="0"/>
        <v>EMSG:\ MSG:com.farmers.integ.batch.epolicy.plugin.CSSEPolicyInboundBatchImpl STRACE1:com.farmers.integ.framework.job.automatejob.AutomatedJob.executeJob</v>
      </c>
      <c r="C24" t="s">
        <v>19</v>
      </c>
    </row>
    <row r="25" spans="1:3" x14ac:dyDescent="0.35">
      <c r="A25" s="5" t="s">
        <v>34</v>
      </c>
      <c r="B25" t="str">
        <f t="shared" si="0"/>
        <v>EMSG:error:entity.PUPLine_PUE/Enter the License # for Driver XXX. This is required to validate. MSG:Exception Occurred STRACE1:com.farmers.integ.framework.job.automatejob.AutomatedJob.executeJob</v>
      </c>
      <c r="C25" t="s">
        <v>19</v>
      </c>
    </row>
    <row r="26" spans="1:3" x14ac:dyDescent="0.35">
      <c r="A26" t="s">
        <v>35</v>
      </c>
      <c r="B26" t="str">
        <f t="shared" si="0"/>
        <v>EMSG:- MSG:Exception STRACE1:com.sun.proxy.$Proxy151.invoke</v>
      </c>
      <c r="C26" t="s">
        <v>19</v>
      </c>
    </row>
    <row r="27" spans="1:3" x14ac:dyDescent="0.35">
      <c r="A27" t="s">
        <v>36</v>
      </c>
      <c r="B27" t="str">
        <f t="shared" si="0"/>
        <v>EMSG:- MSG:Exception STRACE1:com.sun.proxy.$Proxy150.invoke</v>
      </c>
      <c r="C27" t="s">
        <v>19</v>
      </c>
    </row>
    <row r="28" spans="1:3" x14ac:dyDescent="0.35">
      <c r="A28" t="s">
        <v>37</v>
      </c>
      <c r="B28" t="str">
        <f t="shared" si="0"/>
        <v>EMSG:class entity.RelatedPolicyDetail_Ext cannot be cast to class entity.MDMPolicyDetail_Ext (entity.RelatedPolicyDetail_Ext and entity.MDMPolicyDetail_Ext are in unnamed module of loader 'deployment.pc.war' @705096dd) MSG:Exception STRACE1:com.farmers.co</v>
      </c>
      <c r="C28" t="s">
        <v>38</v>
      </c>
    </row>
    <row r="29" spans="1:3" x14ac:dyDescent="0.35">
      <c r="A29" t="s">
        <v>39</v>
      </c>
      <c r="B29" t="str">
        <f t="shared" si="0"/>
        <v>EMSG:class entity.RelatedPolicyDetail_Ext cannot be cast to class entity.MDMPolicyDetail_Ext (entity.RelatedPolicyDetail_Ext and entity.MDMPolicyDetail_Ext are in unnamed module of loader 'deployment.pc.war' @39c2db6b) MSG:Exception STRACE1:com.farmers.co</v>
      </c>
      <c r="C29" t="s">
        <v>38</v>
      </c>
    </row>
    <row r="30" spans="1:3" x14ac:dyDescent="0.35">
      <c r="A30" t="s">
        <v>40</v>
      </c>
      <c r="B30" t="str">
        <f t="shared" si="0"/>
        <v>EMSG:class entity.RelatedPolicyDetail_Ext cannot be cast to class entity.MDMPolicyDetail_Ext (entity.RelatedPolicyDetail_Ext and entity.MDMPolicyDetail_Ext are in unnamed module of loader 'deployment.pc.war' @4b65ffe1) MSG:Exception STRACE1:com.farmers.co</v>
      </c>
      <c r="C30" t="s">
        <v>38</v>
      </c>
    </row>
    <row r="31" spans="1:3" x14ac:dyDescent="0.35">
      <c r="A31" t="s">
        <v>41</v>
      </c>
      <c r="B31" t="str">
        <f t="shared" si="0"/>
        <v>EMSG:class entity.RelatedPolicyDetail_Ext cannot be cast to class entity.MDMPolicyDetail_Ext (entity.RelatedPolicyDetail_Ext and entity.MDMPolicyDetail_Ext are in unnamed module of loader 'deployment.pc.war' @5fb4994e) MSG:Exception STRACE1:com.farmers.co</v>
      </c>
      <c r="C31" t="s">
        <v>38</v>
      </c>
    </row>
  </sheetData>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erson xmlns="3f2645f8-03b8-4db8-bd50-0b81c586660b">
      <UserInfo>
        <DisplayName/>
        <AccountId xsi:nil="true"/>
        <AccountType/>
      </UserInfo>
    </person>
    <TaxCatchAll xmlns="03c9a7f1-552a-46be-a290-f6abb4ab77bf" xsi:nil="true"/>
    <lcf76f155ced4ddcb4097134ff3c332f xmlns="3f2645f8-03b8-4db8-bd50-0b81c586660b">
      <Terms xmlns="http://schemas.microsoft.com/office/infopath/2007/PartnerControls"/>
    </lcf76f155ced4ddcb4097134ff3c332f>
    <SharedWithUsers xmlns="03c9a7f1-552a-46be-a290-f6abb4ab77bf">
      <UserInfo>
        <DisplayName>Shaikh, Saipan</DisplayName>
        <AccountId>360</AccountId>
        <AccountType/>
      </UserInfo>
      <UserInfo>
        <DisplayName>Garrepalli, Shamili Sreedivya</DisplayName>
        <AccountId>421</AccountId>
        <AccountType/>
      </UserInfo>
      <UserInfo>
        <DisplayName>Kareem, Mohammed Akif</DisplayName>
        <AccountId>348</AccountId>
        <AccountType/>
      </UserInfo>
      <UserInfo>
        <DisplayName>DANGI, ANSHU</DisplayName>
        <AccountId>346</AccountId>
        <AccountType/>
      </UserInfo>
      <UserInfo>
        <DisplayName>Kumar, Sonu</DisplayName>
        <AccountId>361</AccountId>
        <AccountType/>
      </UserInfo>
      <UserInfo>
        <DisplayName>Shahi, Shishir</DisplayName>
        <AccountId>494</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7469E14EA636849B1E03FA0D4264378" ma:contentTypeVersion="18" ma:contentTypeDescription="Create a new document." ma:contentTypeScope="" ma:versionID="dc5a88146ea56372bd0bef4e21447448">
  <xsd:schema xmlns:xsd="http://www.w3.org/2001/XMLSchema" xmlns:xs="http://www.w3.org/2001/XMLSchema" xmlns:p="http://schemas.microsoft.com/office/2006/metadata/properties" xmlns:ns2="3f2645f8-03b8-4db8-bd50-0b81c586660b" xmlns:ns3="03c9a7f1-552a-46be-a290-f6abb4ab77bf" targetNamespace="http://schemas.microsoft.com/office/2006/metadata/properties" ma:root="true" ma:fieldsID="2804dca37217c1f106ba098e9d3095be" ns2:_="" ns3:_="">
    <xsd:import namespace="3f2645f8-03b8-4db8-bd50-0b81c586660b"/>
    <xsd:import namespace="03c9a7f1-552a-46be-a290-f6abb4ab77b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person"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2645f8-03b8-4db8-bd50-0b81c58666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person" ma:index="20"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3c9a7f1-552a-46be-a290-f6abb4ab77b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bd28ac9d-96a1-4961-9c48-1e6515e582ca}" ma:internalName="TaxCatchAll" ma:showField="CatchAllData" ma:web="03c9a7f1-552a-46be-a290-f6abb4ab77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BF4126-FD6F-4E12-AAAB-70276AB7E12E}">
  <ds:schemaRefs>
    <ds:schemaRef ds:uri="http://schemas.microsoft.com/office/2006/metadata/properties"/>
    <ds:schemaRef ds:uri="http://schemas.microsoft.com/office/infopath/2007/PartnerControls"/>
    <ds:schemaRef ds:uri="3f2645f8-03b8-4db8-bd50-0b81c586660b"/>
    <ds:schemaRef ds:uri="03c9a7f1-552a-46be-a290-f6abb4ab77bf"/>
  </ds:schemaRefs>
</ds:datastoreItem>
</file>

<file path=customXml/itemProps2.xml><?xml version="1.0" encoding="utf-8"?>
<ds:datastoreItem xmlns:ds="http://schemas.openxmlformats.org/officeDocument/2006/customXml" ds:itemID="{66FB15E1-A9DC-4A0B-8593-8AA95160E4A0}">
  <ds:schemaRefs>
    <ds:schemaRef ds:uri="http://schemas.microsoft.com/sharepoint/v3/contenttype/forms"/>
  </ds:schemaRefs>
</ds:datastoreItem>
</file>

<file path=customXml/itemProps3.xml><?xml version="1.0" encoding="utf-8"?>
<ds:datastoreItem xmlns:ds="http://schemas.openxmlformats.org/officeDocument/2006/customXml" ds:itemID="{02799C54-24FF-4703-9AB8-2C53AFEB7F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2645f8-03b8-4db8-bd50-0b81c586660b"/>
    <ds:schemaRef ds:uri="03c9a7f1-552a-46be-a290-f6abb4ab77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Current</vt:lpstr>
      <vt:lpstr>30Days-Baseline</vt:lpstr>
      <vt:lpstr>Reviewed</vt:lpstr>
    </vt:vector>
  </TitlesOfParts>
  <Manager/>
  <Company>Farmers Insurance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EZAZ AHAMED, SK</cp:lastModifiedBy>
  <cp:revision/>
  <dcterms:created xsi:type="dcterms:W3CDTF">2021-11-16T14:19:36Z</dcterms:created>
  <dcterms:modified xsi:type="dcterms:W3CDTF">2026-02-13T09:44:25Z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bedcbcb-ab54-401f-bf77-cdeb80bf94b4_Enabled">
    <vt:lpwstr>true</vt:lpwstr>
  </property>
  <property fmtid="{D5CDD505-2E9C-101B-9397-08002B2CF9AE}" pid="3" name="MSIP_Label_bbedcbcb-ab54-401f-bf77-cdeb80bf94b4_SetDate">
    <vt:lpwstr>2022-12-06T14:11:24Z</vt:lpwstr>
  </property>
  <property fmtid="{D5CDD505-2E9C-101B-9397-08002B2CF9AE}" pid="4" name="MSIP_Label_bbedcbcb-ab54-401f-bf77-cdeb80bf94b4_Method">
    <vt:lpwstr>Standard</vt:lpwstr>
  </property>
  <property fmtid="{D5CDD505-2E9C-101B-9397-08002B2CF9AE}" pid="5" name="MSIP_Label_bbedcbcb-ab54-401f-bf77-cdeb80bf94b4_Name">
    <vt:lpwstr>Confidential</vt:lpwstr>
  </property>
  <property fmtid="{D5CDD505-2E9C-101B-9397-08002B2CF9AE}" pid="6" name="MSIP_Label_bbedcbcb-ab54-401f-bf77-cdeb80bf94b4_SiteId">
    <vt:lpwstr>d3f34466-54cf-46df-aedc-78d165d9fd31</vt:lpwstr>
  </property>
  <property fmtid="{D5CDD505-2E9C-101B-9397-08002B2CF9AE}" pid="7" name="MSIP_Label_bbedcbcb-ab54-401f-bf77-cdeb80bf94b4_ActionId">
    <vt:lpwstr>dd2fce69-8323-4063-8486-e386701652af</vt:lpwstr>
  </property>
  <property fmtid="{D5CDD505-2E9C-101B-9397-08002B2CF9AE}" pid="8" name="MSIP_Label_bbedcbcb-ab54-401f-bf77-cdeb80bf94b4_ContentBits">
    <vt:lpwstr>2</vt:lpwstr>
  </property>
  <property fmtid="{D5CDD505-2E9C-101B-9397-08002B2CF9AE}" pid="9" name="ContentTypeId">
    <vt:lpwstr>0x010100D7469E14EA636849B1E03FA0D4264378</vt:lpwstr>
  </property>
  <property fmtid="{D5CDD505-2E9C-101B-9397-08002B2CF9AE}" pid="10" name="MediaServiceImageTags">
    <vt:lpwstr/>
  </property>
</Properties>
</file>